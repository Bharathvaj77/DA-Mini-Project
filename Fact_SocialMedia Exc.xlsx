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e893aea36b69e932/Documents/Mini Project/"/>
    </mc:Choice>
  </mc:AlternateContent>
  <xr:revisionPtr revIDLastSave="0" documentId="8_{2FB282EB-CB83-42DA-B5A0-BA54F182CC6D}" xr6:coauthVersionLast="47" xr6:coauthVersionMax="47" xr10:uidLastSave="{00000000-0000-0000-0000-000000000000}"/>
  <bookViews>
    <workbookView xWindow="-108" yWindow="-108" windowWidth="23256" windowHeight="12456" firstSheet="1" activeTab="4" xr2:uid="{AA170BED-F8D3-4BAA-9E1E-9289965FAC6B}"/>
  </bookViews>
  <sheets>
    <sheet name="SocialMedia Raw Data" sheetId="1" r:id="rId1"/>
    <sheet name="Pivot tab1" sheetId="3" r:id="rId2"/>
    <sheet name="Pivot tab2" sheetId="4" r:id="rId3"/>
    <sheet name="Pivot tab3" sheetId="8" r:id="rId4"/>
    <sheet name="Social Media 500" sheetId="2" r:id="rId5"/>
  </sheets>
  <definedNames>
    <definedName name="Slicer_Campaign_ID">#N/A</definedName>
    <definedName name="Slicer_Platform_ID">#N/A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 i="2" l="1"/>
  <c r="T2" i="2" s="1"/>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2" i="2"/>
  <c r="Q11" i="2"/>
  <c r="Q10" i="2"/>
  <c r="Q9" i="2"/>
  <c r="Q8" i="2"/>
  <c r="Q7" i="2"/>
  <c r="Q6" i="2"/>
  <c r="Q5" i="2"/>
  <c r="Q4" i="2"/>
  <c r="Q3" i="2"/>
  <c r="Q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2" i="2"/>
</calcChain>
</file>

<file path=xl/sharedStrings.xml><?xml version="1.0" encoding="utf-8"?>
<sst xmlns="http://schemas.openxmlformats.org/spreadsheetml/2006/main" count="12484" uniqueCount="2047">
  <si>
    <t>Post_ID</t>
  </si>
  <si>
    <t>Date_Key</t>
  </si>
  <si>
    <t>Platform_ID</t>
  </si>
  <si>
    <t>Campaign_ID</t>
  </si>
  <si>
    <t>Content_ID</t>
  </si>
  <si>
    <t>Reach</t>
  </si>
  <si>
    <t>Impressions</t>
  </si>
  <si>
    <t>Likes</t>
  </si>
  <si>
    <t>Comments</t>
  </si>
  <si>
    <t>Shares</t>
  </si>
  <si>
    <t>Saves</t>
  </si>
  <si>
    <t>Video_Views</t>
  </si>
  <si>
    <t>Followers_Gained</t>
  </si>
  <si>
    <t>Posting_Time</t>
  </si>
  <si>
    <t>Location</t>
  </si>
  <si>
    <t>P11812</t>
  </si>
  <si>
    <t>PL001</t>
  </si>
  <si>
    <t>C007</t>
  </si>
  <si>
    <t>CT002</t>
  </si>
  <si>
    <t>Kolkata</t>
  </si>
  <si>
    <t>P10374</t>
  </si>
  <si>
    <t>C004</t>
  </si>
  <si>
    <t>CT005</t>
  </si>
  <si>
    <t>Bengaluru</t>
  </si>
  <si>
    <t>P10672</t>
  </si>
  <si>
    <t>PL004</t>
  </si>
  <si>
    <t>CT006</t>
  </si>
  <si>
    <t>Mumbai</t>
  </si>
  <si>
    <t>P10689</t>
  </si>
  <si>
    <t>C006</t>
  </si>
  <si>
    <t>Delhi</t>
  </si>
  <si>
    <t>P10189</t>
  </si>
  <si>
    <t>PL005</t>
  </si>
  <si>
    <t>C003</t>
  </si>
  <si>
    <t>Madurai</t>
  </si>
  <si>
    <t>P11531</t>
  </si>
  <si>
    <t>C005</t>
  </si>
  <si>
    <t>P11539</t>
  </si>
  <si>
    <t>Chennai</t>
  </si>
  <si>
    <t>P11030</t>
  </si>
  <si>
    <t>PL003</t>
  </si>
  <si>
    <t>CT004</t>
  </si>
  <si>
    <t>Kochi</t>
  </si>
  <si>
    <t>P10467</t>
  </si>
  <si>
    <t>PL002</t>
  </si>
  <si>
    <t>P10623</t>
  </si>
  <si>
    <t>CT001</t>
  </si>
  <si>
    <t>Hyderabad</t>
  </si>
  <si>
    <t>P10538</t>
  </si>
  <si>
    <t>Pune</t>
  </si>
  <si>
    <t>P11874</t>
  </si>
  <si>
    <t>CT003</t>
  </si>
  <si>
    <t>P10536</t>
  </si>
  <si>
    <t>Coimbatore</t>
  </si>
  <si>
    <t>P11614</t>
  </si>
  <si>
    <t>P11219</t>
  </si>
  <si>
    <t>P11970</t>
  </si>
  <si>
    <t>P10994</t>
  </si>
  <si>
    <t>P10957</t>
  </si>
  <si>
    <t>P11669</t>
  </si>
  <si>
    <t>P10847</t>
  </si>
  <si>
    <t>C002</t>
  </si>
  <si>
    <t>P11919</t>
  </si>
  <si>
    <t>P10816</t>
  </si>
  <si>
    <t>P10225</t>
  </si>
  <si>
    <t>P10749</t>
  </si>
  <si>
    <t>P10685</t>
  </si>
  <si>
    <t>P10678</t>
  </si>
  <si>
    <t>C001</t>
  </si>
  <si>
    <t>P10266</t>
  </si>
  <si>
    <t>P10848</t>
  </si>
  <si>
    <t>P11853</t>
  </si>
  <si>
    <t>P11064</t>
  </si>
  <si>
    <t>P10965</t>
  </si>
  <si>
    <t>P11113</t>
  </si>
  <si>
    <t>P10865</t>
  </si>
  <si>
    <t>P10175</t>
  </si>
  <si>
    <t>P10426</t>
  </si>
  <si>
    <t>P10481</t>
  </si>
  <si>
    <t>P11885</t>
  </si>
  <si>
    <t>P11667</t>
  </si>
  <si>
    <t>P10825</t>
  </si>
  <si>
    <t>P10128</t>
  </si>
  <si>
    <t>P11338</t>
  </si>
  <si>
    <t>P10042</t>
  </si>
  <si>
    <t>P11576</t>
  </si>
  <si>
    <t>P11524</t>
  </si>
  <si>
    <t>P11293</t>
  </si>
  <si>
    <t>P10255</t>
  </si>
  <si>
    <t>P11321</t>
  </si>
  <si>
    <t>P10711</t>
  </si>
  <si>
    <t>P11796</t>
  </si>
  <si>
    <t>P10907</t>
  </si>
  <si>
    <t>P10935</t>
  </si>
  <si>
    <t>P11896</t>
  </si>
  <si>
    <t>P11174</t>
  </si>
  <si>
    <t>P10519</t>
  </si>
  <si>
    <t>P10572</t>
  </si>
  <si>
    <t>P10095</t>
  </si>
  <si>
    <t>P10066</t>
  </si>
  <si>
    <t>P10383</t>
  </si>
  <si>
    <t>P10129</t>
  </si>
  <si>
    <t>P10534</t>
  </si>
  <si>
    <t>P10440</t>
  </si>
  <si>
    <t>P10043</t>
  </si>
  <si>
    <t>P10812</t>
  </si>
  <si>
    <t>P10598</t>
  </si>
  <si>
    <t>P11462</t>
  </si>
  <si>
    <t>P10799</t>
  </si>
  <si>
    <t>P10104</t>
  </si>
  <si>
    <t>P10506</t>
  </si>
  <si>
    <t>P11520</t>
  </si>
  <si>
    <t>P11016</t>
  </si>
  <si>
    <t>P11916</t>
  </si>
  <si>
    <t>P11040</t>
  </si>
  <si>
    <t>P10013</t>
  </si>
  <si>
    <t>P11313</t>
  </si>
  <si>
    <t>P11613</t>
  </si>
  <si>
    <t>P10993</t>
  </si>
  <si>
    <t>P10076</t>
  </si>
  <si>
    <t>P10357</t>
  </si>
  <si>
    <t>P11697</t>
  </si>
  <si>
    <t>P10202</t>
  </si>
  <si>
    <t>P11265</t>
  </si>
  <si>
    <t>P11164</t>
  </si>
  <si>
    <t>P11797</t>
  </si>
  <si>
    <t>P10659</t>
  </si>
  <si>
    <t>P10833</t>
  </si>
  <si>
    <t>P10238</t>
  </si>
  <si>
    <t>P11034</t>
  </si>
  <si>
    <t>P11663</t>
  </si>
  <si>
    <t>P11723</t>
  </si>
  <si>
    <t>P11440</t>
  </si>
  <si>
    <t>P10551</t>
  </si>
  <si>
    <t>P11336</t>
  </si>
  <si>
    <t>P10556</t>
  </si>
  <si>
    <t>P10892</t>
  </si>
  <si>
    <t>P10624</t>
  </si>
  <si>
    <t>P10902</t>
  </si>
  <si>
    <t>P11014</t>
  </si>
  <si>
    <t>P11964</t>
  </si>
  <si>
    <t>P10466</t>
  </si>
  <si>
    <t>P11764</t>
  </si>
  <si>
    <t>P10351</t>
  </si>
  <si>
    <t>P10285</t>
  </si>
  <si>
    <t>P10267</t>
  </si>
  <si>
    <t>P10858</t>
  </si>
  <si>
    <t>P10871</t>
  </si>
  <si>
    <t>P10939</t>
  </si>
  <si>
    <t>P11701</t>
  </si>
  <si>
    <t>P11002</t>
  </si>
  <si>
    <t>P10274</t>
  </si>
  <si>
    <t>P11954</t>
  </si>
  <si>
    <t>P10055</t>
  </si>
  <si>
    <t>P11746</t>
  </si>
  <si>
    <t>P10173</t>
  </si>
  <si>
    <t>P10718</t>
  </si>
  <si>
    <t>P11893</t>
  </si>
  <si>
    <t>P11024</t>
  </si>
  <si>
    <t>P10541</t>
  </si>
  <si>
    <t>P10549</t>
  </si>
  <si>
    <t>P10026</t>
  </si>
  <si>
    <t>P11442</t>
  </si>
  <si>
    <t>P10047</t>
  </si>
  <si>
    <t>P10985</t>
  </si>
  <si>
    <t>P11753</t>
  </si>
  <si>
    <t>P11686</t>
  </si>
  <si>
    <t>P11816</t>
  </si>
  <si>
    <t>P10408</t>
  </si>
  <si>
    <t>P11572</t>
  </si>
  <si>
    <t>P10444</t>
  </si>
  <si>
    <t>P11408</t>
  </si>
  <si>
    <t>P10157</t>
  </si>
  <si>
    <t>P10756</t>
  </si>
  <si>
    <t>P11713</t>
  </si>
  <si>
    <t>P11376</t>
  </si>
  <si>
    <t>P10061</t>
  </si>
  <si>
    <t>P10916</t>
  </si>
  <si>
    <t>P10746</t>
  </si>
  <si>
    <t>P11922</t>
  </si>
  <si>
    <t>P10253</t>
  </si>
  <si>
    <t>P11645</t>
  </si>
  <si>
    <t>P10143</t>
  </si>
  <si>
    <t>P11941</t>
  </si>
  <si>
    <t>P10045</t>
  </si>
  <si>
    <t>P10320</t>
  </si>
  <si>
    <t>P11987</t>
  </si>
  <si>
    <t>P11166</t>
  </si>
  <si>
    <t>P10562</t>
  </si>
  <si>
    <t>P11497</t>
  </si>
  <si>
    <t>P11093</t>
  </si>
  <si>
    <t>P10843</t>
  </si>
  <si>
    <t>P11363</t>
  </si>
  <si>
    <t>P11096</t>
  </si>
  <si>
    <t>P11513</t>
  </si>
  <si>
    <t>P11666</t>
  </si>
  <si>
    <t>P11829</t>
  </si>
  <si>
    <t>P11622</t>
  </si>
  <si>
    <t>P10259</t>
  </si>
  <si>
    <t>P11828</t>
  </si>
  <si>
    <t>P10279</t>
  </si>
  <si>
    <t>P10336</t>
  </si>
  <si>
    <t>P10992</t>
  </si>
  <si>
    <t>P11134</t>
  </si>
  <si>
    <t>P11401</t>
  </si>
  <si>
    <t>P10372</t>
  </si>
  <si>
    <t>P11593</t>
  </si>
  <si>
    <t>P11273</t>
  </si>
  <si>
    <t>P10716</t>
  </si>
  <si>
    <t>P11698</t>
  </si>
  <si>
    <t>P10709</t>
  </si>
  <si>
    <t>P11854</t>
  </si>
  <si>
    <t>P10989</t>
  </si>
  <si>
    <t>P11247</t>
  </si>
  <si>
    <t>P11142</t>
  </si>
  <si>
    <t>P10548</t>
  </si>
  <si>
    <t>P10286</t>
  </si>
  <si>
    <t>P11864</t>
  </si>
  <si>
    <t>P11879</t>
  </si>
  <si>
    <t>P10313</t>
  </si>
  <si>
    <t>P11153</t>
  </si>
  <si>
    <t>P11599</t>
  </si>
  <si>
    <t>P11652</t>
  </si>
  <si>
    <t>P11785</t>
  </si>
  <si>
    <t>P11911</t>
  </si>
  <si>
    <t>P11630</t>
  </si>
  <si>
    <t>P11924</t>
  </si>
  <si>
    <t>P10632</t>
  </si>
  <si>
    <t>P11217</t>
  </si>
  <si>
    <t>P11582</t>
  </si>
  <si>
    <t>P10535</t>
  </si>
  <si>
    <t>P11571</t>
  </si>
  <si>
    <t>P11581</t>
  </si>
  <si>
    <t>P11928</t>
  </si>
  <si>
    <t>P10665</t>
  </si>
  <si>
    <t>P11690</t>
  </si>
  <si>
    <t>P10141</t>
  </si>
  <si>
    <t>P11498</t>
  </si>
  <si>
    <t>P10872</t>
  </si>
  <si>
    <t>P10617</t>
  </si>
  <si>
    <t>P10371</t>
  </si>
  <si>
    <t>P10078</t>
  </si>
  <si>
    <t>P10852</t>
  </si>
  <si>
    <t>P11065</t>
  </si>
  <si>
    <t>P10785</t>
  </si>
  <si>
    <t>P10457</t>
  </si>
  <si>
    <t>P10565</t>
  </si>
  <si>
    <t>P11535</t>
  </si>
  <si>
    <t>P11596</t>
  </si>
  <si>
    <t>P11887</t>
  </si>
  <si>
    <t>P10024</t>
  </si>
  <si>
    <t>P11872</t>
  </si>
  <si>
    <t>P10586</t>
  </si>
  <si>
    <t>P10669</t>
  </si>
  <si>
    <t>P11472</t>
  </si>
  <si>
    <t>P10771</t>
  </si>
  <si>
    <t>P10876</t>
  </si>
  <si>
    <t>P11793</t>
  </si>
  <si>
    <t>P10603</t>
  </si>
  <si>
    <t>P10137</t>
  </si>
  <si>
    <t>P11917</t>
  </si>
  <si>
    <t>P10860</t>
  </si>
  <si>
    <t>P11131</t>
  </si>
  <si>
    <t>P10677</t>
  </si>
  <si>
    <t>P10316</t>
  </si>
  <si>
    <t>P11197</t>
  </si>
  <si>
    <t>P11308</t>
  </si>
  <si>
    <t>P10767</t>
  </si>
  <si>
    <t>P10329</t>
  </si>
  <si>
    <t>P11674</t>
  </si>
  <si>
    <t>P11392</t>
  </si>
  <si>
    <t>P11085</t>
  </si>
  <si>
    <t>P11207</t>
  </si>
  <si>
    <t>P11684</t>
  </si>
  <si>
    <t>P10792</t>
  </si>
  <si>
    <t>P11012</t>
  </si>
  <si>
    <t>P10154</t>
  </si>
  <si>
    <t>P11846</t>
  </si>
  <si>
    <t>P10521</t>
  </si>
  <si>
    <t>P11895</t>
  </si>
  <si>
    <t>P10293</t>
  </si>
  <si>
    <t>P10069</t>
  </si>
  <si>
    <t>P11848</t>
  </si>
  <si>
    <t>P11010</t>
  </si>
  <si>
    <t>P11318</t>
  </si>
  <si>
    <t>P11512</t>
  </si>
  <si>
    <t>P10997</t>
  </si>
  <si>
    <t>P11454</t>
  </si>
  <si>
    <t>P11985</t>
  </si>
  <si>
    <t>P11411</t>
  </si>
  <si>
    <t>P11934</t>
  </si>
  <si>
    <t>P11468</t>
  </si>
  <si>
    <t>P10559</t>
  </si>
  <si>
    <t>P11023</t>
  </si>
  <si>
    <t>P10612</t>
  </si>
  <si>
    <t>P10986</t>
  </si>
  <si>
    <t>P10796</t>
  </si>
  <si>
    <t>P11862</t>
  </si>
  <si>
    <t>P11831</t>
  </si>
  <si>
    <t>P10011</t>
  </si>
  <si>
    <t>P11155</t>
  </si>
  <si>
    <t>P11730</t>
  </si>
  <si>
    <t>P10649</t>
  </si>
  <si>
    <t>P11826</t>
  </si>
  <si>
    <t>P10513</t>
  </si>
  <si>
    <t>P10983</t>
  </si>
  <si>
    <t>P10755</t>
  </si>
  <si>
    <t>P10602</t>
  </si>
  <si>
    <t>P11959</t>
  </si>
  <si>
    <t>P11840</t>
  </si>
  <si>
    <t>P11370</t>
  </si>
  <si>
    <t>P10138</t>
  </si>
  <si>
    <t>P11165</t>
  </si>
  <si>
    <t>P10552</t>
  </si>
  <si>
    <t>P11017</t>
  </si>
  <si>
    <t>P11703</t>
  </si>
  <si>
    <t>P10713</t>
  </si>
  <si>
    <t>P10944</t>
  </si>
  <si>
    <t>P11935</t>
  </si>
  <si>
    <t>P11977</t>
  </si>
  <si>
    <t>P10979</t>
  </si>
  <si>
    <t>P10946</t>
  </si>
  <si>
    <t>P11635</t>
  </si>
  <si>
    <t>P10105</t>
  </si>
  <si>
    <t>P10508</t>
  </si>
  <si>
    <t>P11957</t>
  </si>
  <si>
    <t>P10273</t>
  </si>
  <si>
    <t>P11888</t>
  </si>
  <si>
    <t>P10509</t>
  </si>
  <si>
    <t>P10822</t>
  </si>
  <si>
    <t>P10074</t>
  </si>
  <si>
    <t>P10427</t>
  </si>
  <si>
    <t>P11921</t>
  </si>
  <si>
    <t>P10912</t>
  </si>
  <si>
    <t>P11899</t>
  </si>
  <si>
    <t>P11400</t>
  </si>
  <si>
    <t>P11768</t>
  </si>
  <si>
    <t>P10862</t>
  </si>
  <si>
    <t>P11415</t>
  </si>
  <si>
    <t>P11146</t>
  </si>
  <si>
    <t>P11437</t>
  </si>
  <si>
    <t>P10964</t>
  </si>
  <si>
    <t>P11382</t>
  </si>
  <si>
    <t>P11329</t>
  </si>
  <si>
    <t>P11421</t>
  </si>
  <si>
    <t>P10606</t>
  </si>
  <si>
    <t>P11464</t>
  </si>
  <si>
    <t>P10337</t>
  </si>
  <si>
    <t>P10676</t>
  </si>
  <si>
    <t>P11483</t>
  </si>
  <si>
    <t>P10894</t>
  </si>
  <si>
    <t>P10147</t>
  </si>
  <si>
    <t>P11839</t>
  </si>
  <si>
    <t>P11243</t>
  </si>
  <si>
    <t>P11694</t>
  </si>
  <si>
    <t>P10030</t>
  </si>
  <si>
    <t>P10292</t>
  </si>
  <si>
    <t>P11488</t>
  </si>
  <si>
    <t>P11461</t>
  </si>
  <si>
    <t>P10790</t>
  </si>
  <si>
    <t>P11814</t>
  </si>
  <si>
    <t>P11484</t>
  </si>
  <si>
    <t>P10501</t>
  </si>
  <si>
    <t>P10849</t>
  </si>
  <si>
    <t>P11502</t>
  </si>
  <si>
    <t>P10310</t>
  </si>
  <si>
    <t>P10170</t>
  </si>
  <si>
    <t>P10077</t>
  </si>
  <si>
    <t>P11387</t>
  </si>
  <si>
    <t>P10577</t>
  </si>
  <si>
    <t>P11356</t>
  </si>
  <si>
    <t>P10972</t>
  </si>
  <si>
    <t>P11776</t>
  </si>
  <si>
    <t>P11592</t>
  </si>
  <si>
    <t>P11431</t>
  </si>
  <si>
    <t>P10345</t>
  </si>
  <si>
    <t>P10163</t>
  </si>
  <si>
    <t>P11062</t>
  </si>
  <si>
    <t>P11618</t>
  </si>
  <si>
    <t>P11171</t>
  </si>
  <si>
    <t>P11144</t>
  </si>
  <si>
    <t>P11534</t>
  </si>
  <si>
    <t>P11633</t>
  </si>
  <si>
    <t>P10542</t>
  </si>
  <si>
    <t>P10733</t>
  </si>
  <si>
    <t>P10910</t>
  </si>
  <si>
    <t>P11332</t>
  </si>
  <si>
    <t>P10700</t>
  </si>
  <si>
    <t>P11672</t>
  </si>
  <si>
    <t>P10166</t>
  </si>
  <si>
    <t>P11665</t>
  </si>
  <si>
    <t>P10361</t>
  </si>
  <si>
    <t>P11396</t>
  </si>
  <si>
    <t>P11055</t>
  </si>
  <si>
    <t>P11052</t>
  </si>
  <si>
    <t>P11678</t>
  </si>
  <si>
    <t>P11455</t>
  </si>
  <si>
    <t>P10880</t>
  </si>
  <si>
    <t>P10863</t>
  </si>
  <si>
    <t>P11605</t>
  </si>
  <si>
    <t>P10650</t>
  </si>
  <si>
    <t>P10638</t>
  </si>
  <si>
    <t>P10319</t>
  </si>
  <si>
    <t>P10431</t>
  </si>
  <si>
    <t>P10214</t>
  </si>
  <si>
    <t>P11073</t>
  </si>
  <si>
    <t>P11995</t>
  </si>
  <si>
    <t>P11364</t>
  </si>
  <si>
    <t>P11939</t>
  </si>
  <si>
    <t>P10380</t>
  </si>
  <si>
    <t>P10891</t>
  </si>
  <si>
    <t>P11606</t>
  </si>
  <si>
    <t>P10437</t>
  </si>
  <si>
    <t>P11227</t>
  </si>
  <si>
    <t>P11803</t>
  </si>
  <si>
    <t>P11607</t>
  </si>
  <si>
    <t>P10918</t>
  </si>
  <si>
    <t>P11490</t>
  </si>
  <si>
    <t>P10097</t>
  </si>
  <si>
    <t>P10787</t>
  </si>
  <si>
    <t>P10132</t>
  </si>
  <si>
    <t>P11309</t>
  </si>
  <si>
    <t>P10966</t>
  </si>
  <si>
    <t>P10836</t>
  </si>
  <si>
    <t>P11072</t>
  </si>
  <si>
    <t>P11740</t>
  </si>
  <si>
    <t>P11083</t>
  </si>
  <si>
    <t>P11050</t>
  </si>
  <si>
    <t>P10948</t>
  </si>
  <si>
    <t>P11566</t>
  </si>
  <si>
    <t>P10811</t>
  </si>
  <si>
    <t>P11859</t>
  </si>
  <si>
    <t>P10737</t>
  </si>
  <si>
    <t>P10277</t>
  </si>
  <si>
    <t>P11960</t>
  </si>
  <si>
    <t>P10324</t>
  </si>
  <si>
    <t>P10654</t>
  </si>
  <si>
    <t>P11653</t>
  </si>
  <si>
    <t>P10839</t>
  </si>
  <si>
    <t>P10094</t>
  </si>
  <si>
    <t>P10686</t>
  </si>
  <si>
    <t>P11557</t>
  </si>
  <si>
    <t>P10022</t>
  </si>
  <si>
    <t>P11942</t>
  </si>
  <si>
    <t>P11458</t>
  </si>
  <si>
    <t>P10838</t>
  </si>
  <si>
    <t>P11001</t>
  </si>
  <si>
    <t>P10524</t>
  </si>
  <si>
    <t>P10404</t>
  </si>
  <si>
    <t>P10452</t>
  </si>
  <si>
    <t>P11378</t>
  </si>
  <si>
    <t>P11372</t>
  </si>
  <si>
    <t>P10276</t>
  </si>
  <si>
    <t>P10895</t>
  </si>
  <si>
    <t>P11175</t>
  </si>
  <si>
    <t>P11628</t>
  </si>
  <si>
    <t>P10090</t>
  </si>
  <si>
    <t>P11657</t>
  </si>
  <si>
    <t>P10093</t>
  </si>
  <si>
    <t>P11302</t>
  </si>
  <si>
    <t>P10326</t>
  </si>
  <si>
    <t>P11881</t>
  </si>
  <si>
    <t>P11326</t>
  </si>
  <si>
    <t>P10633</t>
  </si>
  <si>
    <t>P10505</t>
  </si>
  <si>
    <t>P11805</t>
  </si>
  <si>
    <t>P11173</t>
  </si>
  <si>
    <t>P11986</t>
  </si>
  <si>
    <t>P10271</t>
  </si>
  <si>
    <t>P10333</t>
  </si>
  <si>
    <t>P10803</t>
  </si>
  <si>
    <t>P10111</t>
  </si>
  <si>
    <t>P10984</t>
  </si>
  <si>
    <t>P10553</t>
  </si>
  <si>
    <t>P10384</t>
  </si>
  <si>
    <t>P10699</t>
  </si>
  <si>
    <t>P11560</t>
  </si>
  <si>
    <t>P10757</t>
  </si>
  <si>
    <t>P10434</t>
  </si>
  <si>
    <t>P11070</t>
  </si>
  <si>
    <t>P11660</t>
  </si>
  <si>
    <t>P11548</t>
  </si>
  <si>
    <t>P11275</t>
  </si>
  <si>
    <t>P10741</t>
  </si>
  <si>
    <t>P11353</t>
  </si>
  <si>
    <t>P10119</t>
  </si>
  <si>
    <t>P10687</t>
  </si>
  <si>
    <t>P11022</t>
  </si>
  <si>
    <t>P10417</t>
  </si>
  <si>
    <t>P10265</t>
  </si>
  <si>
    <t>P11445</t>
  </si>
  <si>
    <t>P10844</t>
  </si>
  <si>
    <t>P11206</t>
  </si>
  <si>
    <t>P11423</t>
  </si>
  <si>
    <t>P11095</t>
  </si>
  <si>
    <t>P10798</t>
  </si>
  <si>
    <t>P10543</t>
  </si>
  <si>
    <t>P11866</t>
  </si>
  <si>
    <t>P10038</t>
  </si>
  <si>
    <t>P10200</t>
  </si>
  <si>
    <t>P10680</t>
  </si>
  <si>
    <t>P11188</t>
  </si>
  <si>
    <t>P10297</t>
  </si>
  <si>
    <t>P10294</t>
  </si>
  <si>
    <t>P10100</t>
  </si>
  <si>
    <t>P11937</t>
  </si>
  <si>
    <t>P11973</t>
  </si>
  <si>
    <t>P10233</t>
  </si>
  <si>
    <t>P11150</t>
  </si>
  <si>
    <t>P10817</t>
  </si>
  <si>
    <t>P11936</t>
  </si>
  <si>
    <t>P10407</t>
  </si>
  <si>
    <t>P10969</t>
  </si>
  <si>
    <t>P10634</t>
  </si>
  <si>
    <t>P10769</t>
  </si>
  <si>
    <t>P10928</t>
  </si>
  <si>
    <t>P10212</t>
  </si>
  <si>
    <t>P10656</t>
  </si>
  <si>
    <t>P10120</t>
  </si>
  <si>
    <t>P11953</t>
  </si>
  <si>
    <t>P10317</t>
  </si>
  <si>
    <t>P10472</t>
  </si>
  <si>
    <t>P11117</t>
  </si>
  <si>
    <t>P11951</t>
  </si>
  <si>
    <t>P11705</t>
  </si>
  <si>
    <t>P11891</t>
  </si>
  <si>
    <t>P11473</t>
  </si>
  <si>
    <t>P11500</t>
  </si>
  <si>
    <t>P11634</t>
  </si>
  <si>
    <t>P11060</t>
  </si>
  <si>
    <t>P11190</t>
  </si>
  <si>
    <t>P10082</t>
  </si>
  <si>
    <t>P10940</t>
  </si>
  <si>
    <t>P10557</t>
  </si>
  <si>
    <t>P11956</t>
  </si>
  <si>
    <t>P10575</t>
  </si>
  <si>
    <t>P10608</t>
  </si>
  <si>
    <t>P11032</t>
  </si>
  <si>
    <t>P11506</t>
  </si>
  <si>
    <t>P11234</t>
  </si>
  <si>
    <t>P11097</t>
  </si>
  <si>
    <t>P10399</t>
  </si>
  <si>
    <t>P11224</t>
  </si>
  <si>
    <t>P10980</t>
  </si>
  <si>
    <t>P10667</t>
  </si>
  <si>
    <t>P11360</t>
  </si>
  <si>
    <t>P11974</t>
  </si>
  <si>
    <t>P10470</t>
  </si>
  <si>
    <t>P10375</t>
  </si>
  <si>
    <t>P11602</t>
  </si>
  <si>
    <t>P11517</t>
  </si>
  <si>
    <t>P11418</t>
  </si>
  <si>
    <t>P10456</t>
  </si>
  <si>
    <t>P10044</t>
  </si>
  <si>
    <t>P10660</t>
  </si>
  <si>
    <t>P11822</t>
  </si>
  <si>
    <t>P10280</t>
  </si>
  <si>
    <t>P11312</t>
  </si>
  <si>
    <t>P11314</t>
  </si>
  <si>
    <t>P10217</t>
  </si>
  <si>
    <t>P10747</t>
  </si>
  <si>
    <t>P10566</t>
  </si>
  <si>
    <t>P11067</t>
  </si>
  <si>
    <t>P11405</t>
  </si>
  <si>
    <t>P10696</t>
  </si>
  <si>
    <t>P11972</t>
  </si>
  <si>
    <t>P10885</t>
  </si>
  <si>
    <t>P11884</t>
  </si>
  <si>
    <t>P10933</t>
  </si>
  <si>
    <t>P11856</t>
  </si>
  <si>
    <t>P11536</t>
  </si>
  <si>
    <t>P10135</t>
  </si>
  <si>
    <t>P11148</t>
  </si>
  <si>
    <t>P10201</t>
  </si>
  <si>
    <t>P11272</t>
  </si>
  <si>
    <t>P11748</t>
  </si>
  <si>
    <t>P11391</t>
  </si>
  <si>
    <t>P11394</t>
  </si>
  <si>
    <t>P10402</t>
  </si>
  <si>
    <t>P10899</t>
  </si>
  <si>
    <t>P11344</t>
  </si>
  <si>
    <t>P10019</t>
  </si>
  <si>
    <t>P10725</t>
  </si>
  <si>
    <t>P11185</t>
  </si>
  <si>
    <t>P11632</t>
  </si>
  <si>
    <t>P10947</t>
  </si>
  <si>
    <t>P10591</t>
  </si>
  <si>
    <t>P11619</t>
  </si>
  <si>
    <t>P10881</t>
  </si>
  <si>
    <t>P10064</t>
  </si>
  <si>
    <t>P10027</t>
  </si>
  <si>
    <t>P11671</t>
  </si>
  <si>
    <t>P11269</t>
  </si>
  <si>
    <t>P10600</t>
  </si>
  <si>
    <t>P10073</t>
  </si>
  <si>
    <t>P11825</t>
  </si>
  <si>
    <t>P11898</t>
  </si>
  <si>
    <t>P10393</t>
  </si>
  <si>
    <t>P11402</t>
  </si>
  <si>
    <t>P10805</t>
  </si>
  <si>
    <t>P11789</t>
  </si>
  <si>
    <t>P11068</t>
  </si>
  <si>
    <t>P11255</t>
  </si>
  <si>
    <t>P11982</t>
  </si>
  <si>
    <t>P10664</t>
  </si>
  <si>
    <t>P10868</t>
  </si>
  <si>
    <t>P11750</t>
  </si>
  <si>
    <t>P11475</t>
  </si>
  <si>
    <t>P10174</t>
  </si>
  <si>
    <t>P11837</t>
  </si>
  <si>
    <t>P10046</t>
  </si>
  <si>
    <t>P10199</t>
  </si>
  <si>
    <t>P11991</t>
  </si>
  <si>
    <t>P10004</t>
  </si>
  <si>
    <t>P11367</t>
  </si>
  <si>
    <t>P10341</t>
  </si>
  <si>
    <t>P11021</t>
  </si>
  <si>
    <t>P11303</t>
  </si>
  <si>
    <t>P10257</t>
  </si>
  <si>
    <t>P10710</t>
  </si>
  <si>
    <t>P10130</t>
  </si>
  <si>
    <t>P11759</t>
  </si>
  <si>
    <t>P11760</t>
  </si>
  <si>
    <t>P11711</t>
  </si>
  <si>
    <t>P11249</t>
  </si>
  <si>
    <t>P10642</t>
  </si>
  <si>
    <t>P10995</t>
  </si>
  <si>
    <t>P10959</t>
  </si>
  <si>
    <t>P11910</t>
  </si>
  <si>
    <t>P10917</t>
  </si>
  <si>
    <t>P10325</t>
  </si>
  <si>
    <t>P10231</t>
  </si>
  <si>
    <t>P10397</t>
  </si>
  <si>
    <t>P11507</t>
  </si>
  <si>
    <t>P11650</t>
  </si>
  <si>
    <t>P11090</t>
  </si>
  <si>
    <t>P10461</t>
  </si>
  <si>
    <t>P11274</t>
  </si>
  <si>
    <t>P10278</t>
  </si>
  <si>
    <t>P10392</t>
  </si>
  <si>
    <t>P11261</t>
  </si>
  <si>
    <t>P10352</t>
  </si>
  <si>
    <t>P11410</t>
  </si>
  <si>
    <t>P10284</t>
  </si>
  <si>
    <t>P11999</t>
  </si>
  <si>
    <t>P10628</t>
  </si>
  <si>
    <t>P10625</t>
  </si>
  <si>
    <t>P11894</t>
  </si>
  <si>
    <t>P11241</t>
  </si>
  <si>
    <t>P10311</t>
  </si>
  <si>
    <t>P10205</t>
  </si>
  <si>
    <t>P11661</t>
  </si>
  <si>
    <t>P11397</t>
  </si>
  <si>
    <t>P11800</t>
  </si>
  <si>
    <t>P11673</t>
  </si>
  <si>
    <t>P11038</t>
  </si>
  <si>
    <t>P10619</t>
  </si>
  <si>
    <t>P10039</t>
  </si>
  <si>
    <t>P11551</t>
  </si>
  <si>
    <t>P10963</t>
  </si>
  <si>
    <t>P11317</t>
  </si>
  <si>
    <t>P11443</t>
  </si>
  <si>
    <t>P10827</t>
  </si>
  <si>
    <t>P11629</t>
  </si>
  <si>
    <t>P11920</t>
  </si>
  <si>
    <t>P10243</t>
  </si>
  <si>
    <t>P10499</t>
  </si>
  <si>
    <t>P11048</t>
  </si>
  <si>
    <t>P11118</t>
  </si>
  <si>
    <t>P11530</t>
  </si>
  <si>
    <t>P11554</t>
  </si>
  <si>
    <t>P10131</t>
  </si>
  <si>
    <t>P10795</t>
  </si>
  <si>
    <t>P10485</t>
  </si>
  <si>
    <t>P11128</t>
  </si>
  <si>
    <t>P10063</t>
  </si>
  <si>
    <t>P11683</t>
  </si>
  <si>
    <t>P11515</t>
  </si>
  <si>
    <t>P11775</t>
  </si>
  <si>
    <t>P11078</t>
  </si>
  <si>
    <t>P11257</t>
  </si>
  <si>
    <t>P11406</t>
  </si>
  <si>
    <t>P11642</t>
  </si>
  <si>
    <t>P10083</t>
  </si>
  <si>
    <t>P11058</t>
  </si>
  <si>
    <t>P11543</t>
  </si>
  <si>
    <t>P11169</t>
  </si>
  <si>
    <t>P10210</t>
  </si>
  <si>
    <t>P11844</t>
  </si>
  <si>
    <t>P10489</t>
  </si>
  <si>
    <t>P10454</t>
  </si>
  <si>
    <t>P10072</t>
  </si>
  <si>
    <t>P10751</t>
  </si>
  <si>
    <t>P10929</t>
  </si>
  <si>
    <t>P10533</t>
  </si>
  <si>
    <t>P10540</t>
  </si>
  <si>
    <t>P11135</t>
  </si>
  <si>
    <t>P10080</t>
  </si>
  <si>
    <t>P11749</t>
  </si>
  <si>
    <t>P10949</t>
  </si>
  <si>
    <t>P10905</t>
  </si>
  <si>
    <t>P10523</t>
  </si>
  <si>
    <t>P10479</t>
  </si>
  <si>
    <t>P10460</t>
  </si>
  <si>
    <t>P11041</t>
  </si>
  <si>
    <t>P11299</t>
  </si>
  <si>
    <t>P10861</t>
  </si>
  <si>
    <t>P10125</t>
  </si>
  <si>
    <t>P10224</t>
  </si>
  <si>
    <t>P10517</t>
  </si>
  <si>
    <t>P11254</t>
  </si>
  <si>
    <t>P11008</t>
  </si>
  <si>
    <t>P10890</t>
  </si>
  <si>
    <t>P10702</t>
  </si>
  <si>
    <t>P11393</t>
  </si>
  <si>
    <t>P11808</t>
  </si>
  <si>
    <t>P11786</t>
  </si>
  <si>
    <t>P10971</t>
  </si>
  <si>
    <t>P11006</t>
  </si>
  <si>
    <t>P10996</t>
  </si>
  <si>
    <t>P11481</t>
  </si>
  <si>
    <t>P10693</t>
  </si>
  <si>
    <t>P10228</t>
  </si>
  <si>
    <t>P10850</t>
  </si>
  <si>
    <t>P10405</t>
  </si>
  <si>
    <t>P10643</t>
  </si>
  <si>
    <t>P11707</t>
  </si>
  <si>
    <t>P11932</t>
  </si>
  <si>
    <t>P11752</t>
  </si>
  <si>
    <t>P10967</t>
  </si>
  <si>
    <t>P10439</t>
  </si>
  <si>
    <t>P11510</t>
  </si>
  <si>
    <t>P10165</t>
  </si>
  <si>
    <t>P11220</t>
  </si>
  <si>
    <t>P10914</t>
  </si>
  <si>
    <t>P11770</t>
  </si>
  <si>
    <t>P10301</t>
  </si>
  <si>
    <t>P11172</t>
  </si>
  <si>
    <t>P11212</t>
  </si>
  <si>
    <t>P10662</t>
  </si>
  <si>
    <t>P11499</t>
  </si>
  <si>
    <t>P11644</t>
  </si>
  <si>
    <t>P10488</t>
  </si>
  <si>
    <t>P11721</t>
  </si>
  <si>
    <t>P10150</t>
  </si>
  <si>
    <t>P10017</t>
  </si>
  <si>
    <t>P10808</t>
  </si>
  <si>
    <t>P11229</t>
  </si>
  <si>
    <t>P11348</t>
  </si>
  <si>
    <t>P10183</t>
  </si>
  <si>
    <t>P11792</t>
  </si>
  <si>
    <t>P11979</t>
  </si>
  <si>
    <t>P11398</t>
  </si>
  <si>
    <t>P11189</t>
  </si>
  <si>
    <t>P10855</t>
  </si>
  <si>
    <t>P10283</t>
  </si>
  <si>
    <t>P11167</t>
  </si>
  <si>
    <t>P10037</t>
  </si>
  <si>
    <t>P10428</t>
  </si>
  <si>
    <t>P10053</t>
  </si>
  <si>
    <t>P10312</t>
  </si>
  <si>
    <t>P11082</t>
  </si>
  <si>
    <t>P10588</t>
  </si>
  <si>
    <t>P11570</t>
  </si>
  <si>
    <t>P11649</t>
  </si>
  <si>
    <t>P11477</t>
  </si>
  <si>
    <t>P10219</t>
  </si>
  <si>
    <t>P11236</t>
  </si>
  <si>
    <t>P11446</t>
  </si>
  <si>
    <t>P11384</t>
  </si>
  <si>
    <t>P10443</t>
  </si>
  <si>
    <t>P11133</t>
  </si>
  <si>
    <t>P11264</t>
  </si>
  <si>
    <t>P11692</t>
  </si>
  <si>
    <t>P10690</t>
  </si>
  <si>
    <t>P11782</t>
  </si>
  <si>
    <t>P11196</t>
  </si>
  <si>
    <t>P11577</t>
  </si>
  <si>
    <t>P10376</t>
  </si>
  <si>
    <t>P10338</t>
  </si>
  <si>
    <t>P11201</t>
  </si>
  <si>
    <t>P10396</t>
  </si>
  <si>
    <t>P10455</t>
  </si>
  <si>
    <t>P11656</t>
  </si>
  <si>
    <t>P10091</t>
  </si>
  <si>
    <t>P10085</t>
  </si>
  <si>
    <t>P11433</t>
  </si>
  <si>
    <t>P10391</t>
  </si>
  <si>
    <t>P11542</t>
  </si>
  <si>
    <t>P10867</t>
  </si>
  <si>
    <t>P10495</t>
  </si>
  <si>
    <t>P11817</t>
  </si>
  <si>
    <t>P10555</t>
  </si>
  <si>
    <t>P10721</t>
  </si>
  <si>
    <t>P11781</t>
  </si>
  <si>
    <t>P11955</t>
  </si>
  <si>
    <t>P11156</t>
  </si>
  <si>
    <t>P10468</t>
  </si>
  <si>
    <t>P11248</t>
  </si>
  <si>
    <t>P11467</t>
  </si>
  <si>
    <t>P10529</t>
  </si>
  <si>
    <t>P11769</t>
  </si>
  <si>
    <t>P11830</t>
  </si>
  <si>
    <t>P10516</t>
  </si>
  <si>
    <t>P10379</t>
  </si>
  <si>
    <t>P11345</t>
  </si>
  <si>
    <t>P11882</t>
  </si>
  <si>
    <t>P10752</t>
  </si>
  <si>
    <t>P10223</t>
  </si>
  <si>
    <t>P11709</t>
  </si>
  <si>
    <t>P10921</t>
  </si>
  <si>
    <t>P11794</t>
  </si>
  <si>
    <t>P10245</t>
  </si>
  <si>
    <t>P11949</t>
  </si>
  <si>
    <t>P11865</t>
  </si>
  <si>
    <t>P11702</t>
  </si>
  <si>
    <t>P10010</t>
  </si>
  <si>
    <t>P11043</t>
  </si>
  <si>
    <t>P11573</t>
  </si>
  <si>
    <t>P10813</t>
  </si>
  <si>
    <t>P11042</t>
  </si>
  <si>
    <t>P10842</t>
  </si>
  <si>
    <t>P11469</t>
  </si>
  <si>
    <t>P11425</t>
  </si>
  <si>
    <t>P10071</t>
  </si>
  <si>
    <t>P10052</t>
  </si>
  <si>
    <t>P10864</t>
  </si>
  <si>
    <t>P11738</t>
  </si>
  <si>
    <t>P10007</t>
  </si>
  <si>
    <t>P11071</t>
  </si>
  <si>
    <t>P10670</t>
  </si>
  <si>
    <t>P11501</t>
  </si>
  <si>
    <t>P10913</t>
  </si>
  <si>
    <t>P11527</t>
  </si>
  <si>
    <t>P11771</t>
  </si>
  <si>
    <t>P10728</t>
  </si>
  <si>
    <t>P10196</t>
  </si>
  <si>
    <t>P11424</t>
  </si>
  <si>
    <t>P11677</t>
  </si>
  <si>
    <t>P11417</t>
  </si>
  <si>
    <t>P11258</t>
  </si>
  <si>
    <t>P11841</t>
  </si>
  <si>
    <t>P11430</t>
  </si>
  <si>
    <t>P10802</t>
  </si>
  <si>
    <t>P10322</t>
  </si>
  <si>
    <t>P11386</t>
  </si>
  <si>
    <t>P10715</t>
  </si>
  <si>
    <t>P11537</t>
  </si>
  <si>
    <t>P11448</t>
  </si>
  <si>
    <t>P11719</t>
  </si>
  <si>
    <t>P11774</t>
  </si>
  <si>
    <t>P11860</t>
  </si>
  <si>
    <t>P11638</t>
  </si>
  <si>
    <t>P11907</t>
  </si>
  <si>
    <t>P11739</t>
  </si>
  <si>
    <t>P10216</t>
  </si>
  <si>
    <t>P10571</t>
  </si>
  <si>
    <t>P10287</t>
  </si>
  <si>
    <t>P10938</t>
  </si>
  <si>
    <t>P11276</t>
  </si>
  <si>
    <t>P11163</t>
  </si>
  <si>
    <t>P10990</t>
  </si>
  <si>
    <t>P10831</t>
  </si>
  <si>
    <t>P11533</t>
  </si>
  <si>
    <t>P11076</t>
  </si>
  <si>
    <t>P11897</t>
  </si>
  <si>
    <t>P10772</t>
  </si>
  <si>
    <t>P11983</t>
  </si>
  <si>
    <t>P10232</t>
  </si>
  <si>
    <t>P10530</t>
  </si>
  <si>
    <t>P11191</t>
  </si>
  <si>
    <t>P11779</t>
  </si>
  <si>
    <t>P10015</t>
  </si>
  <si>
    <t>P11729</t>
  </si>
  <si>
    <t>P10307</t>
  </si>
  <si>
    <t>P10235</t>
  </si>
  <si>
    <t>P10127</t>
  </si>
  <si>
    <t>P10722</t>
  </si>
  <si>
    <t>P10563</t>
  </si>
  <si>
    <t>P10453</t>
  </si>
  <si>
    <t>P10124</t>
  </si>
  <si>
    <t>P10609</t>
  </si>
  <si>
    <t>P10401</t>
  </si>
  <si>
    <t>P10570</t>
  </si>
  <si>
    <t>P10663</t>
  </si>
  <si>
    <t>P11589</t>
  </si>
  <si>
    <t>P10789</t>
  </si>
  <si>
    <t>P11597</t>
  </si>
  <si>
    <t>P10712</t>
  </si>
  <si>
    <t>P11756</t>
  </si>
  <si>
    <t>P10618</t>
  </si>
  <si>
    <t>P10726</t>
  </si>
  <si>
    <t>P11346</t>
  </si>
  <si>
    <t>P11624</t>
  </si>
  <si>
    <t>P11292</t>
  </si>
  <si>
    <t>P11913</t>
  </si>
  <si>
    <t>P11074</t>
  </si>
  <si>
    <t>P10197</t>
  </si>
  <si>
    <t>P10377</t>
  </si>
  <si>
    <t>P11485</t>
  </si>
  <si>
    <t>P11968</t>
  </si>
  <si>
    <t>P10874</t>
  </si>
  <si>
    <t>P11643</t>
  </si>
  <si>
    <t>P11204</t>
  </si>
  <si>
    <t>P10840</t>
  </si>
  <si>
    <t>P10110</t>
  </si>
  <si>
    <t>P11743</t>
  </si>
  <si>
    <t>P11120</t>
  </si>
  <si>
    <t>P11182</t>
  </si>
  <si>
    <t>P10156</t>
  </si>
  <si>
    <t>P11296</t>
  </si>
  <si>
    <t>P11873</t>
  </si>
  <si>
    <t>P10302</t>
  </si>
  <si>
    <t>P10146</t>
  </si>
  <si>
    <t>P11904</t>
  </si>
  <si>
    <t>P11091</t>
  </si>
  <si>
    <t>P10413</t>
  </si>
  <si>
    <t>P10500</t>
  </si>
  <si>
    <t>P11474</t>
  </si>
  <si>
    <t>P10086</t>
  </si>
  <si>
    <t>P11819</t>
  </si>
  <si>
    <t>P11563</t>
  </si>
  <si>
    <t>P10160</t>
  </si>
  <si>
    <t>P11126</t>
  </si>
  <si>
    <t>P10804</t>
  </si>
  <si>
    <t>P11761</t>
  </si>
  <si>
    <t>P10103</t>
  </si>
  <si>
    <t>P11801</t>
  </si>
  <si>
    <t>P10023</t>
  </si>
  <si>
    <t>P10358</t>
  </si>
  <si>
    <t>P10181</t>
  </si>
  <si>
    <t>P10780</t>
  </si>
  <si>
    <t>P10423</t>
  </si>
  <si>
    <t>P10020</t>
  </si>
  <si>
    <t>P11457</t>
  </si>
  <si>
    <t>P11842</t>
  </si>
  <si>
    <t>P10184</t>
  </si>
  <si>
    <t>P10067</t>
  </si>
  <si>
    <t>P11151</t>
  </si>
  <si>
    <t>P10567</t>
  </si>
  <si>
    <t>P11833</t>
  </si>
  <si>
    <t>P10363</t>
  </si>
  <si>
    <t>P11260</t>
  </si>
  <si>
    <t>P10644</t>
  </si>
  <si>
    <t>P11680</t>
  </si>
  <si>
    <t>P10194</t>
  </si>
  <si>
    <t>P11044</t>
  </si>
  <si>
    <t>P10580</t>
  </si>
  <si>
    <t>P11639</t>
  </si>
  <si>
    <t>P10582</t>
  </si>
  <si>
    <t>P10835</t>
  </si>
  <si>
    <t>P11380</t>
  </si>
  <si>
    <t>P10829</t>
  </si>
  <si>
    <t>P11604</t>
  </si>
  <si>
    <t>P10504</t>
  </si>
  <si>
    <t>P11541</t>
  </si>
  <si>
    <t>P10931</t>
  </si>
  <si>
    <t>P11069</t>
  </si>
  <si>
    <t>P11238</t>
  </si>
  <si>
    <t>P11615</t>
  </si>
  <si>
    <t>P11725</t>
  </si>
  <si>
    <t>P10692</t>
  </si>
  <si>
    <t>P11266</t>
  </si>
  <si>
    <t>P10776</t>
  </si>
  <si>
    <t>P10014</t>
  </si>
  <si>
    <t>P11950</t>
  </si>
  <si>
    <t>P11886</t>
  </si>
  <si>
    <t>P10334</t>
  </si>
  <si>
    <t>P10596</t>
  </si>
  <si>
    <t>P10114</t>
  </si>
  <si>
    <t>P10464</t>
  </si>
  <si>
    <t>P11558</t>
  </si>
  <si>
    <t>P10735</t>
  </si>
  <si>
    <t>P10314</t>
  </si>
  <si>
    <t>P11298</t>
  </si>
  <si>
    <t>P10526</t>
  </si>
  <si>
    <t>P10056</t>
  </si>
  <si>
    <t>P10134</t>
  </si>
  <si>
    <t>P10666</t>
  </si>
  <si>
    <t>P10291</t>
  </si>
  <si>
    <t>P10875</t>
  </si>
  <si>
    <t>P11161</t>
  </si>
  <si>
    <t>P11688</t>
  </si>
  <si>
    <t>P11315</t>
  </si>
  <si>
    <t>P11351</t>
  </si>
  <si>
    <t>P10739</t>
  </si>
  <si>
    <t>P11374</t>
  </si>
  <si>
    <t>P11007</t>
  </si>
  <si>
    <t>P11601</t>
  </si>
  <si>
    <t>P11720</t>
  </si>
  <si>
    <t>P11216</t>
  </si>
  <si>
    <t>P11627</t>
  </si>
  <si>
    <t>P11691</t>
  </si>
  <si>
    <t>P10323</t>
  </si>
  <si>
    <t>P11810</t>
  </si>
  <si>
    <t>P11080</t>
  </si>
  <si>
    <t>P10943</t>
  </si>
  <si>
    <t>P10636</t>
  </si>
  <si>
    <t>P10810</t>
  </si>
  <si>
    <t>P10510</t>
  </si>
  <si>
    <t>P10576</t>
  </si>
  <si>
    <t>P11876</t>
  </si>
  <si>
    <t>P10040</t>
  </si>
  <si>
    <t>P10195</t>
  </si>
  <si>
    <t>P11233</t>
  </si>
  <si>
    <t>P11422</t>
  </si>
  <si>
    <t>P11567</t>
  </si>
  <si>
    <t>P10432</t>
  </si>
  <si>
    <t>P10978</t>
  </si>
  <si>
    <t>P11015</t>
  </si>
  <si>
    <t>P10998</t>
  </si>
  <si>
    <t>P10491</t>
  </si>
  <si>
    <t>P10406</t>
  </si>
  <si>
    <t>P10318</t>
  </si>
  <si>
    <t>P10958</t>
  </si>
  <si>
    <t>P11967</t>
  </si>
  <si>
    <t>P11221</t>
  </si>
  <si>
    <t>P10463</t>
  </si>
  <si>
    <t>P10088</t>
  </si>
  <si>
    <t>P11039</t>
  </si>
  <si>
    <t>P10177</t>
  </si>
  <si>
    <t>P11845</t>
  </si>
  <si>
    <t>P11300</t>
  </si>
  <si>
    <t>P11504</t>
  </si>
  <si>
    <t>P10148</t>
  </si>
  <si>
    <t>P10149</t>
  </si>
  <si>
    <t>P11141</t>
  </si>
  <si>
    <t>P10370</t>
  </si>
  <si>
    <t>P10809</t>
  </si>
  <si>
    <t>P11452</t>
  </si>
  <si>
    <t>P11858</t>
  </si>
  <si>
    <t>P10683</t>
  </si>
  <si>
    <t>P11285</t>
  </si>
  <si>
    <t>P10117</t>
  </si>
  <si>
    <t>P10347</t>
  </si>
  <si>
    <t>P11193</t>
  </si>
  <si>
    <t>P11460</t>
  </si>
  <si>
    <t>P10675</t>
  </si>
  <si>
    <t>P11136</t>
  </si>
  <si>
    <t>P11279</t>
  </si>
  <si>
    <t>P11125</t>
  </si>
  <si>
    <t>P11762</t>
  </si>
  <si>
    <t>P10264</t>
  </si>
  <si>
    <t>P10599</t>
  </si>
  <si>
    <t>P10359</t>
  </si>
  <si>
    <t>P10486</t>
  </si>
  <si>
    <t>P11744</t>
  </si>
  <si>
    <t>P11009</t>
  </si>
  <si>
    <t>P10641</t>
  </si>
  <si>
    <t>P11918</t>
  </si>
  <si>
    <t>P11892</t>
  </si>
  <si>
    <t>P11880</t>
  </si>
  <si>
    <t>P11574</t>
  </si>
  <si>
    <t>P10583</t>
  </si>
  <si>
    <t>P11177</t>
  </si>
  <si>
    <t>P11561</t>
  </si>
  <si>
    <t>P10419</t>
  </si>
  <si>
    <t>P11342</t>
  </si>
  <si>
    <t>P10658</t>
  </si>
  <si>
    <t>P10883</t>
  </si>
  <si>
    <t>P11157</t>
  </si>
  <si>
    <t>P10299</t>
  </si>
  <si>
    <t>P11993</t>
  </si>
  <si>
    <t>P11559</t>
  </si>
  <si>
    <t>P11664</t>
  </si>
  <si>
    <t>P10447</t>
  </si>
  <si>
    <t>P11226</t>
  </si>
  <si>
    <t>P10846</t>
  </si>
  <si>
    <t>P11832</t>
  </si>
  <si>
    <t>P11104</t>
  </si>
  <si>
    <t>P11160</t>
  </si>
  <si>
    <t>P10449</t>
  </si>
  <si>
    <t>P10590</t>
  </si>
  <si>
    <t>P11482</t>
  </si>
  <si>
    <t>P10574</t>
  </si>
  <si>
    <t>P10951</t>
  </si>
  <si>
    <t>P10911</t>
  </si>
  <si>
    <t>P11122</t>
  </si>
  <si>
    <t>P11636</t>
  </si>
  <si>
    <t>P11813</t>
  </si>
  <si>
    <t>P11963</t>
  </si>
  <si>
    <t>P10167</t>
  </si>
  <si>
    <t>P10768</t>
  </si>
  <si>
    <t>P11588</t>
  </si>
  <si>
    <t>P10952</t>
  </si>
  <si>
    <t>P11850</t>
  </si>
  <si>
    <t>P10430</t>
  </si>
  <si>
    <t>P11047</t>
  </si>
  <si>
    <t>P10962</t>
  </si>
  <si>
    <t>P11352</t>
  </si>
  <si>
    <t>P11930</t>
  </si>
  <si>
    <t>P10724</t>
  </si>
  <si>
    <t>P11689</t>
  </si>
  <si>
    <t>P10729</t>
  </si>
  <si>
    <t>P10350</t>
  </si>
  <si>
    <t>P11733</t>
  </si>
  <si>
    <t>P10924</t>
  </si>
  <si>
    <t>P10653</t>
  </si>
  <si>
    <t>P10429</t>
  </si>
  <si>
    <t>P11211</t>
  </si>
  <si>
    <t>P10321</t>
  </si>
  <si>
    <t>P10381</t>
  </si>
  <si>
    <t>P11049</t>
  </si>
  <si>
    <t>P11210</t>
  </si>
  <si>
    <t>P10367</t>
  </si>
  <si>
    <t>P11878</t>
  </si>
  <si>
    <t>P11509</t>
  </si>
  <si>
    <t>P11365</t>
  </si>
  <si>
    <t>P10873</t>
  </si>
  <si>
    <t>P10537</t>
  </si>
  <si>
    <t>P11809</t>
  </si>
  <si>
    <t>P11784</t>
  </si>
  <si>
    <t>P10140</t>
  </si>
  <si>
    <t>P11379</t>
  </si>
  <si>
    <t>P11194</t>
  </si>
  <si>
    <t>P11824</t>
  </si>
  <si>
    <t>P10627</t>
  </si>
  <si>
    <t>P11139</t>
  </si>
  <si>
    <t>P10188</t>
  </si>
  <si>
    <t>P11586</t>
  </si>
  <si>
    <t>P10388</t>
  </si>
  <si>
    <t>P10250</t>
  </si>
  <si>
    <t>P11103</t>
  </si>
  <si>
    <t>P10681</t>
  </si>
  <si>
    <t>P10955</t>
  </si>
  <si>
    <t>P11203</t>
  </si>
  <si>
    <t>P11235</t>
  </si>
  <si>
    <t>P11324</t>
  </si>
  <si>
    <t>P11802</t>
  </si>
  <si>
    <t>P11724</t>
  </si>
  <si>
    <t>P10418</t>
  </si>
  <si>
    <t>P11495</t>
  </si>
  <si>
    <t>P11788</t>
  </si>
  <si>
    <t>P11835</t>
  </si>
  <si>
    <t>P10730</t>
  </si>
  <si>
    <t>P11984</t>
  </si>
  <si>
    <t>P11603</t>
  </si>
  <si>
    <t>P11902</t>
  </si>
  <si>
    <t>P11127</t>
  </si>
  <si>
    <t>P11349</t>
  </si>
  <si>
    <t>P11195</t>
  </si>
  <si>
    <t>P11077</t>
  </si>
  <si>
    <t>P11625</t>
  </si>
  <si>
    <t>P10714</t>
  </si>
  <si>
    <t>P10207</t>
  </si>
  <si>
    <t>P11086</t>
  </si>
  <si>
    <t>P10048</t>
  </si>
  <si>
    <t>P10777</t>
  </si>
  <si>
    <t>P11237</t>
  </si>
  <si>
    <t>P11051</t>
  </si>
  <si>
    <t>P11693</t>
  </si>
  <si>
    <t>P10960</t>
  </si>
  <si>
    <t>P10698</t>
  </si>
  <si>
    <t>P11851</t>
  </si>
  <si>
    <t>P10903</t>
  </si>
  <si>
    <t>P10262</t>
  </si>
  <si>
    <t>P11584</t>
  </si>
  <si>
    <t>P10032</t>
  </si>
  <si>
    <t>P11871</t>
  </si>
  <si>
    <t>P11905</t>
  </si>
  <si>
    <t>P10339</t>
  </si>
  <si>
    <t>P10136</t>
  </si>
  <si>
    <t>P11333</t>
  </si>
  <si>
    <t>P11205</t>
  </si>
  <si>
    <t>P11611</t>
  </si>
  <si>
    <t>P11716</t>
  </si>
  <si>
    <t>P10820</t>
  </si>
  <si>
    <t>P11687</t>
  </si>
  <si>
    <t>P11240</t>
  </si>
  <si>
    <t>P10987</t>
  </si>
  <si>
    <t>P11903</t>
  </si>
  <si>
    <t>P10738</t>
  </si>
  <si>
    <t>P11031</t>
  </si>
  <si>
    <t>P11102</t>
  </si>
  <si>
    <t>P11610</t>
  </si>
  <si>
    <t>P11518</t>
  </si>
  <si>
    <t>P11659</t>
  </si>
  <si>
    <t>P10866</t>
  </si>
  <si>
    <t>P11407</t>
  </si>
  <si>
    <t>P11777</t>
  </si>
  <si>
    <t>P10395</t>
  </si>
  <si>
    <t>P11641</t>
  </si>
  <si>
    <t>P10190</t>
  </si>
  <si>
    <t>P10904</t>
  </si>
  <si>
    <t>P10309</t>
  </si>
  <si>
    <t>P10416</t>
  </si>
  <si>
    <t>P11322</t>
  </si>
  <si>
    <t>P11385</t>
  </si>
  <si>
    <t>P11403</t>
  </si>
  <si>
    <t>P10451</t>
  </si>
  <si>
    <t>P10261</t>
  </si>
  <si>
    <t>P10021</t>
  </si>
  <si>
    <t>P11152</t>
  </si>
  <si>
    <t>P11997</t>
  </si>
  <si>
    <t>P11183</t>
  </si>
  <si>
    <t>P11354</t>
  </si>
  <si>
    <t>P10256</t>
  </si>
  <si>
    <t>P11585</t>
  </si>
  <si>
    <t>P10814</t>
  </si>
  <si>
    <t>P10109</t>
  </si>
  <si>
    <t>P11159</t>
  </si>
  <si>
    <t>P10191</t>
  </si>
  <si>
    <t>P11712</t>
  </si>
  <si>
    <t>P10422</t>
  </si>
  <si>
    <t>P11101</t>
  </si>
  <si>
    <t>P11528</t>
  </si>
  <si>
    <t>P11202</t>
  </si>
  <si>
    <t>P10568</t>
  </si>
  <si>
    <t>P10153</t>
  </si>
  <si>
    <t>P11116</t>
  </si>
  <si>
    <t>P10411</t>
  </si>
  <si>
    <t>P11434</t>
  </si>
  <si>
    <t>P10348</t>
  </si>
  <si>
    <t>P10988</t>
  </si>
  <si>
    <t>P10218</t>
  </si>
  <si>
    <t>P10353</t>
  </si>
  <si>
    <t>P11419</t>
  </si>
  <si>
    <t>P10364</t>
  </si>
  <si>
    <t>P10740</t>
  </si>
  <si>
    <t>P11616</t>
  </si>
  <si>
    <t>P11027</t>
  </si>
  <si>
    <t>P11389</t>
  </si>
  <si>
    <t>P10503</t>
  </si>
  <si>
    <t>P11297</t>
  </si>
  <si>
    <t>P10172</t>
  </si>
  <si>
    <t>P11451</t>
  </si>
  <si>
    <t>P10089</t>
  </si>
  <si>
    <t>P10185</t>
  </si>
  <si>
    <t>P10788</t>
  </si>
  <si>
    <t>P11129</t>
  </si>
  <si>
    <t>P11450</t>
  </si>
  <si>
    <t>P11084</t>
  </si>
  <si>
    <t>P10507</t>
  </si>
  <si>
    <t>P11267</t>
  </si>
  <si>
    <t>P10801</t>
  </si>
  <si>
    <t>P11975</t>
  </si>
  <si>
    <t>P11945</t>
  </si>
  <si>
    <t>P10445</t>
  </si>
  <si>
    <t>P11598</t>
  </si>
  <si>
    <t>P11259</t>
  </si>
  <si>
    <t>P11855</t>
  </si>
  <si>
    <t>P11838</t>
  </si>
  <si>
    <t>P11244</t>
  </si>
  <si>
    <t>P11029</t>
  </si>
  <si>
    <t>P11575</t>
  </si>
  <si>
    <t>P10668</t>
  </si>
  <si>
    <t>P10626</t>
  </si>
  <si>
    <t>P11429</t>
  </si>
  <si>
    <t>P10005</t>
  </si>
  <si>
    <t>P10179</t>
  </si>
  <si>
    <t>P11291</t>
  </si>
  <si>
    <t>P10062</t>
  </si>
  <si>
    <t>P10679</t>
  </si>
  <si>
    <t>P10240</t>
  </si>
  <si>
    <t>P11938</t>
  </si>
  <si>
    <t>P10098</t>
  </si>
  <si>
    <t>P10522</t>
  </si>
  <si>
    <t>P10158</t>
  </si>
  <si>
    <t>P11099</t>
  </si>
  <si>
    <t>P11795</t>
  </si>
  <si>
    <t>P10717</t>
  </si>
  <si>
    <t>P11900</t>
  </si>
  <si>
    <t>P10459</t>
  </si>
  <si>
    <t>P10651</t>
  </si>
  <si>
    <t>P11890</t>
  </si>
  <si>
    <t>P10982</t>
  </si>
  <si>
    <t>P10281</t>
  </si>
  <si>
    <t>P10248</t>
  </si>
  <si>
    <t>P11271</t>
  </si>
  <si>
    <t>P10458</t>
  </si>
  <si>
    <t>P10832</t>
  </si>
  <si>
    <t>P10433</t>
  </si>
  <si>
    <t>P11277</t>
  </si>
  <si>
    <t>P11763</t>
  </si>
  <si>
    <t>P11036</t>
  </si>
  <si>
    <t>P11181</t>
  </si>
  <si>
    <t>P10469</t>
  </si>
  <si>
    <t>P10244</t>
  </si>
  <si>
    <t>P11094</t>
  </si>
  <si>
    <t>P11658</t>
  </si>
  <si>
    <t>P10745</t>
  </si>
  <si>
    <t>P10945</t>
  </si>
  <si>
    <t>P10029</t>
  </si>
  <si>
    <t>P10139</t>
  </si>
  <si>
    <t>P11631</t>
  </si>
  <si>
    <t>P11228</t>
  </si>
  <si>
    <t>P11525</t>
  </si>
  <si>
    <t>P11815</t>
  </si>
  <si>
    <t>P10482</t>
  </si>
  <si>
    <t>P11608</t>
  </si>
  <si>
    <t>P11337</t>
  </si>
  <si>
    <t>P10101</t>
  </si>
  <si>
    <t>P10493</t>
  </si>
  <si>
    <t>P10102</t>
  </si>
  <si>
    <t>P10152</t>
  </si>
  <si>
    <t>P11940</t>
  </si>
  <si>
    <t>P11877</t>
  </si>
  <si>
    <t>P11651</t>
  </si>
  <si>
    <t>P11368</t>
  </si>
  <si>
    <t>P11447</t>
  </si>
  <si>
    <t>P10387</t>
  </si>
  <si>
    <t>P11836</t>
  </si>
  <si>
    <t>P11280</t>
  </si>
  <si>
    <t>P11371</t>
  </si>
  <si>
    <t>P10412</t>
  </si>
  <si>
    <t>P10807</t>
  </si>
  <si>
    <t>P10896</t>
  </si>
  <si>
    <t>P10595</t>
  </si>
  <si>
    <t>P11931</t>
  </si>
  <si>
    <t>P11439</t>
  </si>
  <si>
    <t>P10853</t>
  </si>
  <si>
    <t>P10442</t>
  </si>
  <si>
    <t>P10113</t>
  </si>
  <si>
    <t>P11492</t>
  </si>
  <si>
    <t>P11198</t>
  </si>
  <si>
    <t>P10655</t>
  </si>
  <si>
    <t>P11225</t>
  </si>
  <si>
    <t>P11037</t>
  </si>
  <si>
    <t>P11834</t>
  </si>
  <si>
    <t>P10171</t>
  </si>
  <si>
    <t>P10446</t>
  </si>
  <si>
    <t>P10897</t>
  </si>
  <si>
    <t>P11143</t>
  </si>
  <si>
    <t>P11946</t>
  </si>
  <si>
    <t>P11121</t>
  </si>
  <si>
    <t>P11852</t>
  </si>
  <si>
    <t>P11486</t>
  </si>
  <si>
    <t>P10691</t>
  </si>
  <si>
    <t>P10226</t>
  </si>
  <si>
    <t>P10727</t>
  </si>
  <si>
    <t>P10920</t>
  </si>
  <si>
    <t>P10003</t>
  </si>
  <si>
    <t>P10382</t>
  </si>
  <si>
    <t>P10424</t>
  </si>
  <si>
    <t>P11682</t>
  </si>
  <si>
    <t>P10525</t>
  </si>
  <si>
    <t>P10604</t>
  </si>
  <si>
    <t>P10242</t>
  </si>
  <si>
    <t>P10657</t>
  </si>
  <si>
    <t>P10784</t>
  </si>
  <si>
    <t>P10176</t>
  </si>
  <si>
    <t>P11546</t>
  </si>
  <si>
    <t>P11811</t>
  </si>
  <si>
    <t>P10977</t>
  </si>
  <si>
    <t>P10398</t>
  </si>
  <si>
    <t>P11821</t>
  </si>
  <si>
    <t>P10477</t>
  </si>
  <si>
    <t>P11187</t>
  </si>
  <si>
    <t>P10288</t>
  </si>
  <si>
    <t>P10435</t>
  </si>
  <si>
    <t>P11108</t>
  </si>
  <si>
    <t>P11140</t>
  </si>
  <si>
    <t>P11465</t>
  </si>
  <si>
    <t>P10550</t>
  </si>
  <si>
    <t>P10750</t>
  </si>
  <si>
    <t>P11827</t>
  </si>
  <si>
    <t>P10270</t>
  </si>
  <si>
    <t>P10246</t>
  </si>
  <si>
    <t>P11301</t>
  </si>
  <si>
    <t>P10084</t>
  </si>
  <si>
    <t>P10133</t>
  </si>
  <si>
    <t>P10209</t>
  </si>
  <si>
    <t>P11696</t>
  </si>
  <si>
    <t>P10824</t>
  </si>
  <si>
    <t>P11843</t>
  </si>
  <si>
    <t>P11714</t>
  </si>
  <si>
    <t>P10694</t>
  </si>
  <si>
    <t>P10342</t>
  </si>
  <si>
    <t>P10169</t>
  </si>
  <si>
    <t>P11820</t>
  </si>
  <si>
    <t>P10961</t>
  </si>
  <si>
    <t>P10192</t>
  </si>
  <si>
    <t>P10206</t>
  </si>
  <si>
    <t>P10386</t>
  </si>
  <si>
    <t>P11579</t>
  </si>
  <si>
    <t>P10932</t>
  </si>
  <si>
    <t>P10425</t>
  </si>
  <si>
    <t>P11948</t>
  </si>
  <si>
    <t>P11621</t>
  </si>
  <si>
    <t>P10187</t>
  </si>
  <si>
    <t>P11294</t>
  </si>
  <si>
    <t>P11343</t>
  </si>
  <si>
    <t>P11331</t>
  </si>
  <si>
    <t>P11114</t>
  </si>
  <si>
    <t>P11466</t>
  </si>
  <si>
    <t>P11609</t>
  </si>
  <si>
    <t>P11107</t>
  </si>
  <si>
    <t>P11287</t>
  </si>
  <si>
    <t>P11381</t>
  </si>
  <si>
    <t>P10652</t>
  </si>
  <si>
    <t>P11617</t>
  </si>
  <si>
    <t>P10579</t>
  </si>
  <si>
    <t>P11521</t>
  </si>
  <si>
    <t>P10520</t>
  </si>
  <si>
    <t>P11138</t>
  </si>
  <si>
    <t>P11580</t>
  </si>
  <si>
    <t>P10629</t>
  </si>
  <si>
    <t>P10220</t>
  </si>
  <si>
    <t>P10107</t>
  </si>
  <si>
    <t>P10394</t>
  </si>
  <si>
    <t>P10349</t>
  </si>
  <si>
    <t>P10480</t>
  </si>
  <si>
    <t>P10058</t>
  </si>
  <si>
    <t>P10622</t>
  </si>
  <si>
    <t>P11092</t>
  </si>
  <si>
    <t>P11239</t>
  </si>
  <si>
    <t>P10028</t>
  </si>
  <si>
    <t>P11529</t>
  </si>
  <si>
    <t>P11339</t>
  </si>
  <si>
    <t>P11583</t>
  </si>
  <si>
    <t>P10033</t>
  </si>
  <si>
    <t>P10762</t>
  </si>
  <si>
    <t>P10736</t>
  </si>
  <si>
    <t>P11751</t>
  </si>
  <si>
    <t>P10036</t>
  </si>
  <si>
    <t>P10646</t>
  </si>
  <si>
    <t>P11491</t>
  </si>
  <si>
    <t>P10877</t>
  </si>
  <si>
    <t>P11304</t>
  </si>
  <si>
    <t>P10331</t>
  </si>
  <si>
    <t>P11184</t>
  </si>
  <si>
    <t>P10845</t>
  </si>
  <si>
    <t>P10695</t>
  </si>
  <si>
    <t>P11404</t>
  </si>
  <si>
    <t>P10828</t>
  </si>
  <si>
    <t>P10527</t>
  </si>
  <si>
    <t>P10496</t>
  </si>
  <si>
    <t>P11149</t>
  </si>
  <si>
    <t>P10786</t>
  </si>
  <si>
    <t>P10436</t>
  </si>
  <si>
    <t>P11435</t>
  </si>
  <si>
    <t>P11868</t>
  </si>
  <si>
    <t>P11545</t>
  </si>
  <si>
    <t>P11253</t>
  </si>
  <si>
    <t>P10950</t>
  </si>
  <si>
    <t>P10087</t>
  </si>
  <si>
    <t>P10118</t>
  </si>
  <si>
    <t>P11004</t>
  </si>
  <si>
    <t>P10806</t>
  </si>
  <si>
    <t>P11180</t>
  </si>
  <si>
    <t>P11765</t>
  </si>
  <si>
    <t>P10854</t>
  </si>
  <si>
    <t>P11487</t>
  </si>
  <si>
    <t>P11268</t>
  </si>
  <si>
    <t>P11019</t>
  </si>
  <si>
    <t>P11587</t>
  </si>
  <si>
    <t>P10415</t>
  </si>
  <si>
    <t>P11700</t>
  </si>
  <si>
    <t>P11399</t>
  </si>
  <si>
    <t>P10906</t>
  </si>
  <si>
    <t>P11463</t>
  </si>
  <si>
    <t>P10354</t>
  </si>
  <si>
    <t>P10674</t>
  </si>
  <si>
    <t>P10934</t>
  </si>
  <si>
    <t>P10615</t>
  </si>
  <si>
    <t>P11081</t>
  </si>
  <si>
    <t>P11045</t>
  </si>
  <si>
    <t>P11414</t>
  </si>
  <si>
    <t>P11958</t>
  </si>
  <si>
    <t>P11056</t>
  </si>
  <si>
    <t>P10778</t>
  </si>
  <si>
    <t>P11471</t>
  </si>
  <si>
    <t>P10821</t>
  </si>
  <si>
    <t>P11033</t>
  </si>
  <si>
    <t>P10092</t>
  </si>
  <si>
    <t>P11736</t>
  </si>
  <si>
    <t>P10054</t>
  </si>
  <si>
    <t>P11130</t>
  </si>
  <si>
    <t>P10688</t>
  </si>
  <si>
    <t>P10630</t>
  </si>
  <si>
    <t>P11011</t>
  </si>
  <si>
    <t>P11981</t>
  </si>
  <si>
    <t>P11976</t>
  </si>
  <si>
    <t>P11289</t>
  </si>
  <si>
    <t>P10941</t>
  </si>
  <si>
    <t>P11059</t>
  </si>
  <si>
    <t>P11123</t>
  </si>
  <si>
    <t>P11568</t>
  </si>
  <si>
    <t>P11286</t>
  </si>
  <si>
    <t>P11961</t>
  </si>
  <si>
    <t>P10815</t>
  </si>
  <si>
    <t>P10070</t>
  </si>
  <si>
    <t>P11054</t>
  </si>
  <si>
    <t>P11562</t>
  </si>
  <si>
    <t>P11883</t>
  </si>
  <si>
    <t>P10851</t>
  </si>
  <si>
    <t>P10601</t>
  </si>
  <si>
    <t>P10230</t>
  </si>
  <si>
    <t>P10497</t>
  </si>
  <si>
    <t>P10282</t>
  </si>
  <si>
    <t>P10327</t>
  </si>
  <si>
    <t>P11470</t>
  </si>
  <si>
    <t>P10968</t>
  </si>
  <si>
    <t>P10303</t>
  </si>
  <si>
    <t>P11132</t>
  </si>
  <si>
    <t>P10304</t>
  </si>
  <si>
    <t>P10332</t>
  </si>
  <si>
    <t>P11623</t>
  </si>
  <si>
    <t>P11503</t>
  </si>
  <si>
    <t>P10159</t>
  </si>
  <si>
    <t>P11449</t>
  </si>
  <si>
    <t>P11553</t>
  </si>
  <si>
    <t>P11018</t>
  </si>
  <si>
    <t>P11341</t>
  </si>
  <si>
    <t>P10263</t>
  </si>
  <si>
    <t>P10794</t>
  </si>
  <si>
    <t>P10099</t>
  </si>
  <si>
    <t>P10901</t>
  </si>
  <si>
    <t>P10779</t>
  </si>
  <si>
    <t>P10222</t>
  </si>
  <si>
    <t>P11550</t>
  </si>
  <si>
    <t>P11988</t>
  </si>
  <si>
    <t>P10774</t>
  </si>
  <si>
    <t>P11952</t>
  </si>
  <si>
    <t>P10059</t>
  </si>
  <si>
    <t>P10621</t>
  </si>
  <si>
    <t>P11998</t>
  </si>
  <si>
    <t>P11969</t>
  </si>
  <si>
    <t>P10732</t>
  </si>
  <si>
    <t>P11915</t>
  </si>
  <si>
    <t>P11168</t>
  </si>
  <si>
    <t>P11778</t>
  </si>
  <si>
    <t>P10252</t>
  </si>
  <si>
    <t>P10041</t>
  </si>
  <si>
    <t>P10116</t>
  </si>
  <si>
    <t>P10640</t>
  </si>
  <si>
    <t>P10016</t>
  </si>
  <si>
    <t>P11727</t>
  </si>
  <si>
    <t>P10558</t>
  </si>
  <si>
    <t>P10554</t>
  </si>
  <si>
    <t>P11726</t>
  </si>
  <si>
    <t>P11857</t>
  </si>
  <si>
    <t>P10684</t>
  </si>
  <si>
    <t>P10564</t>
  </si>
  <si>
    <t>P10528</t>
  </si>
  <si>
    <t>P11283</t>
  </si>
  <si>
    <t>P11109</t>
  </si>
  <si>
    <t>P11290</t>
  </si>
  <si>
    <t>P10719</t>
  </si>
  <si>
    <t>P11179</t>
  </si>
  <si>
    <t>P11626</t>
  </si>
  <si>
    <t>P10142</t>
  </si>
  <si>
    <t>P10703</t>
  </si>
  <si>
    <t>P11200</t>
  </si>
  <si>
    <t>P10647</t>
  </si>
  <si>
    <t>P10065</t>
  </si>
  <si>
    <t>P11556</t>
  </si>
  <si>
    <t>P10180</t>
  </si>
  <si>
    <t>P10927</t>
  </si>
  <si>
    <t>P11478</t>
  </si>
  <si>
    <t>P11912</t>
  </si>
  <si>
    <t>P10837</t>
  </si>
  <si>
    <t>P11511</t>
  </si>
  <si>
    <t>P11112</t>
  </si>
  <si>
    <t>P11505</t>
  </si>
  <si>
    <t>P11281</t>
  </si>
  <si>
    <t>P11549</t>
  </si>
  <si>
    <t>P11412</t>
  </si>
  <si>
    <t>P10919</t>
  </si>
  <si>
    <t>P11388</t>
  </si>
  <si>
    <t>P10450</t>
  </si>
  <si>
    <t>P10720</t>
  </si>
  <si>
    <t>P11908</t>
  </si>
  <si>
    <t>P10368</t>
  </si>
  <si>
    <t>P10213</t>
  </si>
  <si>
    <t>P10981</t>
  </si>
  <si>
    <t>P10290</t>
  </si>
  <si>
    <t>P11734</t>
  </si>
  <si>
    <t>P11494</t>
  </si>
  <si>
    <t>P10545</t>
  </si>
  <si>
    <t>P11361</t>
  </si>
  <si>
    <t>P11747</t>
  </si>
  <si>
    <t>P11646</t>
  </si>
  <si>
    <t>P11863</t>
  </si>
  <si>
    <t>P10008</t>
  </si>
  <si>
    <t>P11722</t>
  </si>
  <si>
    <t>P10886</t>
  </si>
  <si>
    <t>P11662</t>
  </si>
  <si>
    <t>P11359</t>
  </si>
  <si>
    <t>P10723</t>
  </si>
  <si>
    <t>P10518</t>
  </si>
  <si>
    <t>P10403</t>
  </si>
  <si>
    <t>P10734</t>
  </si>
  <si>
    <t>P10144</t>
  </si>
  <si>
    <t>P11192</t>
  </si>
  <si>
    <t>P10819</t>
  </si>
  <si>
    <t>P10560</t>
  </si>
  <si>
    <t>P11578</t>
  </si>
  <si>
    <t>P10360</t>
  </si>
  <si>
    <t>P11519</t>
  </si>
  <si>
    <t>P11124</t>
  </si>
  <si>
    <t>P10704</t>
  </si>
  <si>
    <t>P10060</t>
  </si>
  <si>
    <t>P11947</t>
  </si>
  <si>
    <t>P10926</t>
  </si>
  <si>
    <t>P10879</t>
  </si>
  <si>
    <t>P10012</t>
  </si>
  <si>
    <t>P10539</t>
  </si>
  <si>
    <t>P10414</t>
  </si>
  <si>
    <t>P11600</t>
  </si>
  <si>
    <t>P10075</t>
  </si>
  <si>
    <t>P10585</t>
  </si>
  <si>
    <t>P11111</t>
  </si>
  <si>
    <t>P11213</t>
  </si>
  <si>
    <t>P11409</t>
  </si>
  <si>
    <t>P10178</t>
  </si>
  <si>
    <t>P11594</t>
  </si>
  <si>
    <t>P11147</t>
  </si>
  <si>
    <t>P11215</t>
  </si>
  <si>
    <t>P11715</t>
  </si>
  <si>
    <t>P11438</t>
  </si>
  <si>
    <t>P11319</t>
  </si>
  <si>
    <t>P11270</t>
  </si>
  <si>
    <t>P11242</t>
  </si>
  <si>
    <t>P10605</t>
  </si>
  <si>
    <t>P10490</t>
  </si>
  <si>
    <t>P10765</t>
  </si>
  <si>
    <t>P10956</t>
  </si>
  <si>
    <t>P11426</t>
  </si>
  <si>
    <t>P11732</t>
  </si>
  <si>
    <t>P10748</t>
  </si>
  <si>
    <t>P11927</t>
  </si>
  <si>
    <t>P10708</t>
  </si>
  <si>
    <t>P11307</t>
  </si>
  <si>
    <t>P11305</t>
  </si>
  <si>
    <t>P11256</t>
  </si>
  <si>
    <t>P10081</t>
  </si>
  <si>
    <t>P10474</t>
  </si>
  <si>
    <t>P11246</t>
  </si>
  <si>
    <t>P10473</t>
  </si>
  <si>
    <t>P11867</t>
  </si>
  <si>
    <t>P11416</t>
  </si>
  <si>
    <t>P10229</t>
  </si>
  <si>
    <t>P11013</t>
  </si>
  <si>
    <t>P10942</t>
  </si>
  <si>
    <t>P10783</t>
  </si>
  <si>
    <t>P10884</t>
  </si>
  <si>
    <t>P11737</t>
  </si>
  <si>
    <t>P11757</t>
  </si>
  <si>
    <t>P10648</t>
  </si>
  <si>
    <t>P10254</t>
  </si>
  <si>
    <t>P11735</t>
  </si>
  <si>
    <t>P11395</t>
  </si>
  <si>
    <t>P11648</t>
  </si>
  <si>
    <t>P10764</t>
  </si>
  <si>
    <t>P11523</t>
  </si>
  <si>
    <t>P10766</t>
  </si>
  <si>
    <t>P11325</t>
  </si>
  <si>
    <t>P10731</t>
  </si>
  <si>
    <t>P10594</t>
  </si>
  <si>
    <t>P11704</t>
  </si>
  <si>
    <t>P10438</t>
  </si>
  <si>
    <t>P10106</t>
  </si>
  <si>
    <t>P10753</t>
  </si>
  <si>
    <t>P10775</t>
  </si>
  <si>
    <t>P11358</t>
  </si>
  <si>
    <t>P10569</t>
  </si>
  <si>
    <t>P11929</t>
  </si>
  <si>
    <t>P10025</t>
  </si>
  <si>
    <t>P11861</t>
  </si>
  <si>
    <t>P11413</t>
  </si>
  <si>
    <t>P10164</t>
  </si>
  <si>
    <t>P10635</t>
  </si>
  <si>
    <t>P11436</t>
  </si>
  <si>
    <t>P10365</t>
  </si>
  <si>
    <t>P11772</t>
  </si>
  <si>
    <t>P11330</t>
  </si>
  <si>
    <t>P10400</t>
  </si>
  <si>
    <t>P11992</t>
  </si>
  <si>
    <t>P11962</t>
  </si>
  <si>
    <t>P11057</t>
  </si>
  <si>
    <t>P11870</t>
  </si>
  <si>
    <t>P11489</t>
  </si>
  <si>
    <t>P10344</t>
  </si>
  <si>
    <t>P11731</t>
  </si>
  <si>
    <t>P10589</t>
  </si>
  <si>
    <t>P10532</t>
  </si>
  <si>
    <t>P10035</t>
  </si>
  <si>
    <t>P10760</t>
  </si>
  <si>
    <t>P11807</t>
  </si>
  <si>
    <t>P10315</t>
  </si>
  <si>
    <t>P10237</t>
  </si>
  <si>
    <t>P11728</t>
  </si>
  <si>
    <t>P11522</t>
  </si>
  <si>
    <t>P11706</t>
  </si>
  <si>
    <t>P10096</t>
  </si>
  <si>
    <t>P10186</t>
  </si>
  <si>
    <t>P10573</t>
  </si>
  <si>
    <t>P10531</t>
  </si>
  <si>
    <t>P11480</t>
  </si>
  <si>
    <t>P11590</t>
  </si>
  <si>
    <t>P11383</t>
  </si>
  <si>
    <t>P11496</t>
  </si>
  <si>
    <t>P11357</t>
  </si>
  <si>
    <t>P10818</t>
  </si>
  <si>
    <t>P10610</t>
  </si>
  <si>
    <t>P11327</t>
  </si>
  <si>
    <t>P10340</t>
  </si>
  <si>
    <t>P10295</t>
  </si>
  <si>
    <t>P10031</t>
  </si>
  <si>
    <t>P11994</t>
  </si>
  <si>
    <t>P11780</t>
  </si>
  <si>
    <t>P10744</t>
  </si>
  <si>
    <t>P10258</t>
  </si>
  <si>
    <t>P11223</t>
  </si>
  <si>
    <t>P11996</t>
  </si>
  <si>
    <t>P11170</t>
  </si>
  <si>
    <t>P11456</t>
  </si>
  <si>
    <t>P11717</t>
  </si>
  <si>
    <t>P10925</t>
  </si>
  <si>
    <t>P11923</t>
  </si>
  <si>
    <t>P10900</t>
  </si>
  <si>
    <t>P11079</t>
  </si>
  <si>
    <t>P11679</t>
  </si>
  <si>
    <t>P10637</t>
  </si>
  <si>
    <t>P10705</t>
  </si>
  <si>
    <t>P10937</t>
  </si>
  <si>
    <t>P10441</t>
  </si>
  <si>
    <t>P11028</t>
  </si>
  <si>
    <t>P10221</t>
  </si>
  <si>
    <t>P10974</t>
  </si>
  <si>
    <t>P11685</t>
  </si>
  <si>
    <t>P11000</t>
  </si>
  <si>
    <t>P11251</t>
  </si>
  <si>
    <t>P10328</t>
  </si>
  <si>
    <t>P11390</t>
  </si>
  <si>
    <t>P10697</t>
  </si>
  <si>
    <t>P11154</t>
  </si>
  <si>
    <t>P10390</t>
  </si>
  <si>
    <t>P11100</t>
  </si>
  <si>
    <t>P11799</t>
  </si>
  <si>
    <t>P10761</t>
  </si>
  <si>
    <t>P11944</t>
  </si>
  <si>
    <t>P11742</t>
  </si>
  <si>
    <t>P11710</t>
  </si>
  <si>
    <t>P11695</t>
  </si>
  <si>
    <t>P11110</t>
  </si>
  <si>
    <t>P10204</t>
  </si>
  <si>
    <t>P10857</t>
  </si>
  <si>
    <t>P10898</t>
  </si>
  <si>
    <t>P10923</t>
  </si>
  <si>
    <t>P10614</t>
  </si>
  <si>
    <t>P11199</t>
  </si>
  <si>
    <t>P10057</t>
  </si>
  <si>
    <t>P11591</t>
  </si>
  <si>
    <t>P11914</t>
  </si>
  <si>
    <t>P11087</t>
  </si>
  <si>
    <t>P11476</t>
  </si>
  <si>
    <t>P10915</t>
  </si>
  <si>
    <t>P10289</t>
  </si>
  <si>
    <t>P10378</t>
  </si>
  <si>
    <t>P11098</t>
  </si>
  <si>
    <t>P10296</t>
  </si>
  <si>
    <t>P10492</t>
  </si>
  <si>
    <t>P11654</t>
  </si>
  <si>
    <t>P11005</t>
  </si>
  <si>
    <t>P11943</t>
  </si>
  <si>
    <t>P10462</t>
  </si>
  <si>
    <t>P11552</t>
  </si>
  <si>
    <t>P11420</t>
  </si>
  <si>
    <t>P10362</t>
  </si>
  <si>
    <t>P10587</t>
  </si>
  <si>
    <t>P11046</t>
  </si>
  <si>
    <t>P10215</t>
  </si>
  <si>
    <t>P11335</t>
  </si>
  <si>
    <t>P10198</t>
  </si>
  <si>
    <t>P11282</t>
  </si>
  <si>
    <t>P10018</t>
  </si>
  <si>
    <t>P10193</t>
  </si>
  <si>
    <t>P10151</t>
  </si>
  <si>
    <t>P10373</t>
  </si>
  <si>
    <t>P10544</t>
  </si>
  <si>
    <t>P11640</t>
  </si>
  <si>
    <t>P11675</t>
  </si>
  <si>
    <t>P11514</t>
  </si>
  <si>
    <t>P11250</t>
  </si>
  <si>
    <t>P10112</t>
  </si>
  <si>
    <t>P11544</t>
  </si>
  <si>
    <t>P10079</t>
  </si>
  <si>
    <t>P10502</t>
  </si>
  <si>
    <t>P10593</t>
  </si>
  <si>
    <t>P10475</t>
  </si>
  <si>
    <t>P10856</t>
  </si>
  <si>
    <t>P10366</t>
  </si>
  <si>
    <t>P11620</t>
  </si>
  <si>
    <t>P10797</t>
  </si>
  <si>
    <t>P11020</t>
  </si>
  <si>
    <t>P11612</t>
  </si>
  <si>
    <t>P10121</t>
  </si>
  <si>
    <t>P10515</t>
  </si>
  <si>
    <t>P11432</t>
  </si>
  <si>
    <t>P11323</t>
  </si>
  <si>
    <t>P10592</t>
  </si>
  <si>
    <t>P10782</t>
  </si>
  <si>
    <t>P10494</t>
  </si>
  <si>
    <t>P11745</t>
  </si>
  <si>
    <t>P11366</t>
  </si>
  <si>
    <t>P11933</t>
  </si>
  <si>
    <t>P11218</t>
  </si>
  <si>
    <t>P11806</t>
  </si>
  <si>
    <t>P10613</t>
  </si>
  <si>
    <t>P11222</t>
  </si>
  <si>
    <t>P10251</t>
  </si>
  <si>
    <t>P10001</t>
  </si>
  <si>
    <t>P11676</t>
  </si>
  <si>
    <t>P10168</t>
  </si>
  <si>
    <t>P10355</t>
  </si>
  <si>
    <t>P10484</t>
  </si>
  <si>
    <t>P11428</t>
  </si>
  <si>
    <t>P10908</t>
  </si>
  <si>
    <t>P11978</t>
  </si>
  <si>
    <t>P10791</t>
  </si>
  <si>
    <t>P11284</t>
  </si>
  <si>
    <t>P11637</t>
  </si>
  <si>
    <t>P10306</t>
  </si>
  <si>
    <t>P11003</t>
  </si>
  <si>
    <t>P10239</t>
  </si>
  <si>
    <t>P12000</t>
  </si>
  <si>
    <t>P10823</t>
  </si>
  <si>
    <t>P10834</t>
  </si>
  <si>
    <t>P10269</t>
  </si>
  <si>
    <t>P10155</t>
  </si>
  <si>
    <t>P11668</t>
  </si>
  <si>
    <t>P10743</t>
  </si>
  <si>
    <t>P10887</t>
  </si>
  <si>
    <t>P11295</t>
  </si>
  <si>
    <t>P10115</t>
  </si>
  <si>
    <t>P11427</t>
  </si>
  <si>
    <t>P11754</t>
  </si>
  <si>
    <t>P10976</t>
  </si>
  <si>
    <t>P11989</t>
  </si>
  <si>
    <t>P11115</t>
  </si>
  <si>
    <t>P10211</t>
  </si>
  <si>
    <t>P10227</t>
  </si>
  <si>
    <t>P11965</t>
  </si>
  <si>
    <t>P11971</t>
  </si>
  <si>
    <t>P10909</t>
  </si>
  <si>
    <t>P10870</t>
  </si>
  <si>
    <t>P11375</t>
  </si>
  <si>
    <t>P11906</t>
  </si>
  <si>
    <t>P10300</t>
  </si>
  <si>
    <t>P11176</t>
  </si>
  <si>
    <t>P10478</t>
  </si>
  <si>
    <t>P11547</t>
  </si>
  <si>
    <t>P11119</t>
  </si>
  <si>
    <t>P10356</t>
  </si>
  <si>
    <t>P11926</t>
  </si>
  <si>
    <t>P11369</t>
  </si>
  <si>
    <t>P10673</t>
  </si>
  <si>
    <t>P11288</t>
  </si>
  <si>
    <t>P11526</t>
  </si>
  <si>
    <t>P10260</t>
  </si>
  <si>
    <t>P11718</t>
  </si>
  <si>
    <t>P10889</t>
  </si>
  <si>
    <t>P11787</t>
  </si>
  <si>
    <t>P10631</t>
  </si>
  <si>
    <t>P11061</t>
  </si>
  <si>
    <t>P11847</t>
  </si>
  <si>
    <t>P10335</t>
  </si>
  <si>
    <t>P11026</t>
  </si>
  <si>
    <t>P10975</t>
  </si>
  <si>
    <t>P10671</t>
  </si>
  <si>
    <t>P11980</t>
  </si>
  <si>
    <t>P11025</t>
  </si>
  <si>
    <t>P11066</t>
  </si>
  <si>
    <t>P10547</t>
  </si>
  <si>
    <t>P10145</t>
  </si>
  <si>
    <t>P11565</t>
  </si>
  <si>
    <t>P10581</t>
  </si>
  <si>
    <t>P10330</t>
  </si>
  <si>
    <t>P11035</t>
  </si>
  <si>
    <t>P10420</t>
  </si>
  <si>
    <t>P11818</t>
  </si>
  <si>
    <t>P11262</t>
  </si>
  <si>
    <t>P11214</t>
  </si>
  <si>
    <t>P11516</t>
  </si>
  <si>
    <t>P11966</t>
  </si>
  <si>
    <t>P11909</t>
  </si>
  <si>
    <t>P10770</t>
  </si>
  <si>
    <t>P10298</t>
  </si>
  <si>
    <t>P10706</t>
  </si>
  <si>
    <t>P10409</t>
  </si>
  <si>
    <t>P11373</t>
  </si>
  <si>
    <t>P11063</t>
  </si>
  <si>
    <t>P10607</t>
  </si>
  <si>
    <t>P11540</t>
  </si>
  <si>
    <t>P10893</t>
  </si>
  <si>
    <t>P10498</t>
  </si>
  <si>
    <t>P10108</t>
  </si>
  <si>
    <t>P11310</t>
  </si>
  <si>
    <t>P11106</t>
  </si>
  <si>
    <t>P10126</t>
  </si>
  <si>
    <t>P10471</t>
  </si>
  <si>
    <t>P10421</t>
  </si>
  <si>
    <t>P10742</t>
  </si>
  <si>
    <t>P11208</t>
  </si>
  <si>
    <t>P11901</t>
  </si>
  <si>
    <t>P10247</t>
  </si>
  <si>
    <t>P11230</t>
  </si>
  <si>
    <t>P10268</t>
  </si>
  <si>
    <t>P11804</t>
  </si>
  <si>
    <t>P10546</t>
  </si>
  <si>
    <t>P10050</t>
  </si>
  <si>
    <t>P10162</t>
  </si>
  <si>
    <t>P10208</t>
  </si>
  <si>
    <t>P10578</t>
  </si>
  <si>
    <t>P10514</t>
  </si>
  <si>
    <t>P10068</t>
  </si>
  <si>
    <t>P11925</t>
  </si>
  <si>
    <t>P11362</t>
  </si>
  <si>
    <t>P10346</t>
  </si>
  <si>
    <t>P11758</t>
  </si>
  <si>
    <t>P11355</t>
  </si>
  <si>
    <t>P10343</t>
  </si>
  <si>
    <t>P10707</t>
  </si>
  <si>
    <t>P10800</t>
  </si>
  <si>
    <t>P11569</t>
  </si>
  <si>
    <t>P10759</t>
  </si>
  <si>
    <t>P11186</t>
  </si>
  <si>
    <t>P11564</t>
  </si>
  <si>
    <t>P10002</t>
  </si>
  <si>
    <t>P10308</t>
  </si>
  <si>
    <t>P11538</t>
  </si>
  <si>
    <t>P11252</t>
  </si>
  <si>
    <t>P11681</t>
  </si>
  <si>
    <t>P10882</t>
  </si>
  <si>
    <t>P11532</t>
  </si>
  <si>
    <t>P10826</t>
  </si>
  <si>
    <t>P11889</t>
  </si>
  <si>
    <t>P11075</t>
  </si>
  <si>
    <t>P11699</t>
  </si>
  <si>
    <t>P10645</t>
  </si>
  <si>
    <t>P11377</t>
  </si>
  <si>
    <t>P11791</t>
  </si>
  <si>
    <t>P10758</t>
  </si>
  <si>
    <t>P11320</t>
  </si>
  <si>
    <t>P11555</t>
  </si>
  <si>
    <t>P11708</t>
  </si>
  <si>
    <t>P10006</t>
  </si>
  <si>
    <t>P10936</t>
  </si>
  <si>
    <t>P11328</t>
  </si>
  <si>
    <t>P11231</t>
  </si>
  <si>
    <t>P11245</t>
  </si>
  <si>
    <t>P11178</t>
  </si>
  <si>
    <t>P11089</t>
  </si>
  <si>
    <t>P10620</t>
  </si>
  <si>
    <t>P10639</t>
  </si>
  <si>
    <t>P11306</t>
  </si>
  <si>
    <t>P10793</t>
  </si>
  <si>
    <t>P10991</t>
  </si>
  <si>
    <t>P10616</t>
  </si>
  <si>
    <t>P11459</t>
  </si>
  <si>
    <t>P11595</t>
  </si>
  <si>
    <t>P10009</t>
  </si>
  <si>
    <t>P10034</t>
  </si>
  <si>
    <t>P10584</t>
  </si>
  <si>
    <t>P10122</t>
  </si>
  <si>
    <t>P11347</t>
  </si>
  <si>
    <t>P10511</t>
  </si>
  <si>
    <t>P10182</t>
  </si>
  <si>
    <t>P10869</t>
  </si>
  <si>
    <t>P10410</t>
  </si>
  <si>
    <t>P11088</t>
  </si>
  <si>
    <t>P11137</t>
  </si>
  <si>
    <t>P10161</t>
  </si>
  <si>
    <t>P11990</t>
  </si>
  <si>
    <t>P11755</t>
  </si>
  <si>
    <t>P10763</t>
  </si>
  <si>
    <t>P11441</t>
  </si>
  <si>
    <t>P10922</t>
  </si>
  <si>
    <t>P11767</t>
  </si>
  <si>
    <t>P10973</t>
  </si>
  <si>
    <t>P11823</t>
  </si>
  <si>
    <t>P11311</t>
  </si>
  <si>
    <t>P11869</t>
  </si>
  <si>
    <t>P10389</t>
  </si>
  <si>
    <t>P11508</t>
  </si>
  <si>
    <t>P11655</t>
  </si>
  <si>
    <t>P10954</t>
  </si>
  <si>
    <t>P10236</t>
  </si>
  <si>
    <t>P11350</t>
  </si>
  <si>
    <t>P11158</t>
  </si>
  <si>
    <t>P10385</t>
  </si>
  <si>
    <t>P10878</t>
  </si>
  <si>
    <t>P10465</t>
  </si>
  <si>
    <t>P11162</t>
  </si>
  <si>
    <t>P11053</t>
  </si>
  <si>
    <t>P10859</t>
  </si>
  <si>
    <t>P11493</t>
  </si>
  <si>
    <t>P10272</t>
  </si>
  <si>
    <t>P11875</t>
  </si>
  <si>
    <t>P10241</t>
  </si>
  <si>
    <t>P10781</t>
  </si>
  <si>
    <t>P10930</t>
  </si>
  <si>
    <t>P10476</t>
  </si>
  <si>
    <t>P10249</t>
  </si>
  <si>
    <t>P11316</t>
  </si>
  <si>
    <t>P11105</t>
  </si>
  <si>
    <t>P11798</t>
  </si>
  <si>
    <t>P11334</t>
  </si>
  <si>
    <t>P10561</t>
  </si>
  <si>
    <t>P10483</t>
  </si>
  <si>
    <t>P11773</t>
  </si>
  <si>
    <t>P10953</t>
  </si>
  <si>
    <t>P10051</t>
  </si>
  <si>
    <t>P11479</t>
  </si>
  <si>
    <t>P10275</t>
  </si>
  <si>
    <t>P11766</t>
  </si>
  <si>
    <t>P10487</t>
  </si>
  <si>
    <t>P11670</t>
  </si>
  <si>
    <t>P10682</t>
  </si>
  <si>
    <t>P11209</t>
  </si>
  <si>
    <t>P11741</t>
  </si>
  <si>
    <t>P10888</t>
  </si>
  <si>
    <t>P10661</t>
  </si>
  <si>
    <t>P11340</t>
  </si>
  <si>
    <t>P10597</t>
  </si>
  <si>
    <t>P10999</t>
  </si>
  <si>
    <t>P11263</t>
  </si>
  <si>
    <t>P10305</t>
  </si>
  <si>
    <t>P10123</t>
  </si>
  <si>
    <t>P11783</t>
  </si>
  <si>
    <t>P11790</t>
  </si>
  <si>
    <t>P10234</t>
  </si>
  <si>
    <t>P11278</t>
  </si>
  <si>
    <t>P10830</t>
  </si>
  <si>
    <t>P11453</t>
  </si>
  <si>
    <t>P10448</t>
  </si>
  <si>
    <t>P11647</t>
  </si>
  <si>
    <t>P10841</t>
  </si>
  <si>
    <t>P10203</t>
  </si>
  <si>
    <t>Dup check</t>
  </si>
  <si>
    <t>Blank Check</t>
  </si>
  <si>
    <t>Tot Engagement</t>
  </si>
  <si>
    <t>Engagement Rate</t>
  </si>
  <si>
    <t>Engagement Cat</t>
  </si>
  <si>
    <t>Row Labels</t>
  </si>
  <si>
    <t>Grand Total</t>
  </si>
  <si>
    <t>Sum of Likes</t>
  </si>
  <si>
    <t>Sum of Comments</t>
  </si>
  <si>
    <t>Sum of Shares</t>
  </si>
  <si>
    <t>Sum of Tot Engagement</t>
  </si>
  <si>
    <t>Sum of Engagement Rate</t>
  </si>
  <si>
    <t>Year</t>
  </si>
  <si>
    <t>Month</t>
  </si>
  <si>
    <t>Sum of Reach</t>
  </si>
  <si>
    <t>Sum of Followers_Gained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</si>
</sst>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20" fontId="0" fillId="0" borderId="0" xfId="0" applyNumberFormat="1"/>
    <xf numFmtId="0" fontId="13" fillId="33" borderId="10" xfId="0" applyFont="1" applyFill="1" applyBorder="1"/>
    <xf numFmtId="0" fontId="13" fillId="33" borderId="11" xfId="0" applyFont="1" applyFill="1" applyBorder="1"/>
    <xf numFmtId="0" fontId="13" fillId="33" borderId="12" xfId="0" applyFont="1" applyFill="1" applyBorder="1"/>
    <xf numFmtId="0" fontId="0" fillId="34" borderId="10" xfId="0" applyFill="1" applyBorder="1"/>
    <xf numFmtId="0" fontId="0" fillId="34" borderId="11" xfId="0" applyFill="1" applyBorder="1"/>
    <xf numFmtId="0" fontId="0" fillId="34" borderId="12" xfId="0" applyFill="1" applyBorder="1"/>
    <xf numFmtId="0" fontId="0" fillId="0" borderId="10" xfId="0" applyBorder="1"/>
    <xf numFmtId="0" fontId="0" fillId="0" borderId="11" xfId="0" applyBorder="1"/>
    <xf numFmtId="0" fontId="0" fillId="0" borderId="12" xfId="0" applyBorder="1"/>
    <xf numFmtId="20" fontId="0" fillId="34" borderId="11" xfId="0" applyNumberFormat="1" applyFill="1" applyBorder="1"/>
    <xf numFmtId="20" fontId="0" fillId="0" borderId="11" xfId="0" applyNumberFormat="1" applyBorder="1"/>
    <xf numFmtId="0" fontId="13" fillId="33"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5" formatCode="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[Fact_SocialMedia Exc.xlsx]Pivot tab1!PivotTable1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91426071741032"/>
          <c:y val="0.13786818314377369"/>
          <c:w val="0.55344116360454942"/>
          <c:h val="0.65890128317293672"/>
        </c:manualLayout>
      </c:layout>
      <c:barChart>
        <c:barDir val="col"/>
        <c:grouping val="clustered"/>
        <c:varyColors val="0"/>
        <c:ser>
          <c:idx val="0"/>
          <c:order val="0"/>
          <c:tx>
            <c:strRef>
              <c:f>'Pivot tab1'!$B$3</c:f>
              <c:strCache>
                <c:ptCount val="1"/>
                <c:pt idx="0">
                  <c:v>Sum of Likes</c:v>
                </c:pt>
              </c:strCache>
            </c:strRef>
          </c:tx>
          <c:spPr>
            <a:solidFill>
              <a:schemeClr val="accent1"/>
            </a:solidFill>
            <a:ln>
              <a:noFill/>
            </a:ln>
            <a:effectLst/>
          </c:spPr>
          <c:invertIfNegative val="0"/>
          <c:cat>
            <c:strRef>
              <c:f>'Pivot tab1'!$A$4:$A$9</c:f>
              <c:strCache>
                <c:ptCount val="5"/>
                <c:pt idx="0">
                  <c:v>PL001</c:v>
                </c:pt>
                <c:pt idx="1">
                  <c:v>PL002</c:v>
                </c:pt>
                <c:pt idx="2">
                  <c:v>PL003</c:v>
                </c:pt>
                <c:pt idx="3">
                  <c:v>PL004</c:v>
                </c:pt>
                <c:pt idx="4">
                  <c:v>PL005</c:v>
                </c:pt>
              </c:strCache>
            </c:strRef>
          </c:cat>
          <c:val>
            <c:numRef>
              <c:f>'Pivot tab1'!$B$4:$B$9</c:f>
              <c:numCache>
                <c:formatCode>General</c:formatCode>
                <c:ptCount val="5"/>
                <c:pt idx="0">
                  <c:v>38549</c:v>
                </c:pt>
                <c:pt idx="1">
                  <c:v>78224</c:v>
                </c:pt>
                <c:pt idx="2">
                  <c:v>14081</c:v>
                </c:pt>
                <c:pt idx="3">
                  <c:v>4300</c:v>
                </c:pt>
                <c:pt idx="4">
                  <c:v>4588</c:v>
                </c:pt>
              </c:numCache>
            </c:numRef>
          </c:val>
          <c:extLst>
            <c:ext xmlns:c16="http://schemas.microsoft.com/office/drawing/2014/chart" uri="{C3380CC4-5D6E-409C-BE32-E72D297353CC}">
              <c16:uniqueId val="{00000000-A48A-426C-B73A-B23AA29E670B}"/>
            </c:ext>
          </c:extLst>
        </c:ser>
        <c:ser>
          <c:idx val="1"/>
          <c:order val="1"/>
          <c:tx>
            <c:strRef>
              <c:f>'Pivot tab1'!$C$3</c:f>
              <c:strCache>
                <c:ptCount val="1"/>
                <c:pt idx="0">
                  <c:v>Sum of Comments</c:v>
                </c:pt>
              </c:strCache>
            </c:strRef>
          </c:tx>
          <c:spPr>
            <a:solidFill>
              <a:schemeClr val="accent2"/>
            </a:solidFill>
            <a:ln>
              <a:noFill/>
            </a:ln>
            <a:effectLst/>
          </c:spPr>
          <c:invertIfNegative val="0"/>
          <c:cat>
            <c:strRef>
              <c:f>'Pivot tab1'!$A$4:$A$9</c:f>
              <c:strCache>
                <c:ptCount val="5"/>
                <c:pt idx="0">
                  <c:v>PL001</c:v>
                </c:pt>
                <c:pt idx="1">
                  <c:v>PL002</c:v>
                </c:pt>
                <c:pt idx="2">
                  <c:v>PL003</c:v>
                </c:pt>
                <c:pt idx="3">
                  <c:v>PL004</c:v>
                </c:pt>
                <c:pt idx="4">
                  <c:v>PL005</c:v>
                </c:pt>
              </c:strCache>
            </c:strRef>
          </c:cat>
          <c:val>
            <c:numRef>
              <c:f>'Pivot tab1'!$C$4:$C$9</c:f>
              <c:numCache>
                <c:formatCode>General</c:formatCode>
                <c:ptCount val="5"/>
                <c:pt idx="0">
                  <c:v>3090</c:v>
                </c:pt>
                <c:pt idx="1">
                  <c:v>6857</c:v>
                </c:pt>
                <c:pt idx="2">
                  <c:v>1072</c:v>
                </c:pt>
                <c:pt idx="3">
                  <c:v>360</c:v>
                </c:pt>
                <c:pt idx="4">
                  <c:v>263</c:v>
                </c:pt>
              </c:numCache>
            </c:numRef>
          </c:val>
          <c:extLst>
            <c:ext xmlns:c16="http://schemas.microsoft.com/office/drawing/2014/chart" uri="{C3380CC4-5D6E-409C-BE32-E72D297353CC}">
              <c16:uniqueId val="{00000001-A48A-426C-B73A-B23AA29E670B}"/>
            </c:ext>
          </c:extLst>
        </c:ser>
        <c:ser>
          <c:idx val="2"/>
          <c:order val="2"/>
          <c:tx>
            <c:strRef>
              <c:f>'Pivot tab1'!$D$3</c:f>
              <c:strCache>
                <c:ptCount val="1"/>
                <c:pt idx="0">
                  <c:v>Sum of Shares</c:v>
                </c:pt>
              </c:strCache>
            </c:strRef>
          </c:tx>
          <c:spPr>
            <a:solidFill>
              <a:schemeClr val="accent3"/>
            </a:solidFill>
            <a:ln>
              <a:noFill/>
            </a:ln>
            <a:effectLst/>
          </c:spPr>
          <c:invertIfNegative val="0"/>
          <c:cat>
            <c:strRef>
              <c:f>'Pivot tab1'!$A$4:$A$9</c:f>
              <c:strCache>
                <c:ptCount val="5"/>
                <c:pt idx="0">
                  <c:v>PL001</c:v>
                </c:pt>
                <c:pt idx="1">
                  <c:v>PL002</c:v>
                </c:pt>
                <c:pt idx="2">
                  <c:v>PL003</c:v>
                </c:pt>
                <c:pt idx="3">
                  <c:v>PL004</c:v>
                </c:pt>
                <c:pt idx="4">
                  <c:v>PL005</c:v>
                </c:pt>
              </c:strCache>
            </c:strRef>
          </c:cat>
          <c:val>
            <c:numRef>
              <c:f>'Pivot tab1'!$D$4:$D$9</c:f>
              <c:numCache>
                <c:formatCode>General</c:formatCode>
                <c:ptCount val="5"/>
                <c:pt idx="0">
                  <c:v>4695</c:v>
                </c:pt>
                <c:pt idx="1">
                  <c:v>10091</c:v>
                </c:pt>
                <c:pt idx="2">
                  <c:v>1554</c:v>
                </c:pt>
                <c:pt idx="3">
                  <c:v>616</c:v>
                </c:pt>
                <c:pt idx="4">
                  <c:v>358</c:v>
                </c:pt>
              </c:numCache>
            </c:numRef>
          </c:val>
          <c:extLst>
            <c:ext xmlns:c16="http://schemas.microsoft.com/office/drawing/2014/chart" uri="{C3380CC4-5D6E-409C-BE32-E72D297353CC}">
              <c16:uniqueId val="{00000002-A48A-426C-B73A-B23AA29E670B}"/>
            </c:ext>
          </c:extLst>
        </c:ser>
        <c:ser>
          <c:idx val="3"/>
          <c:order val="3"/>
          <c:tx>
            <c:strRef>
              <c:f>'Pivot tab1'!$E$3</c:f>
              <c:strCache>
                <c:ptCount val="1"/>
                <c:pt idx="0">
                  <c:v>Sum of Tot Engagement</c:v>
                </c:pt>
              </c:strCache>
            </c:strRef>
          </c:tx>
          <c:spPr>
            <a:solidFill>
              <a:schemeClr val="accent4"/>
            </a:solidFill>
            <a:ln>
              <a:noFill/>
            </a:ln>
            <a:effectLst/>
          </c:spPr>
          <c:invertIfNegative val="0"/>
          <c:cat>
            <c:strRef>
              <c:f>'Pivot tab1'!$A$4:$A$9</c:f>
              <c:strCache>
                <c:ptCount val="5"/>
                <c:pt idx="0">
                  <c:v>PL001</c:v>
                </c:pt>
                <c:pt idx="1">
                  <c:v>PL002</c:v>
                </c:pt>
                <c:pt idx="2">
                  <c:v>PL003</c:v>
                </c:pt>
                <c:pt idx="3">
                  <c:v>PL004</c:v>
                </c:pt>
                <c:pt idx="4">
                  <c:v>PL005</c:v>
                </c:pt>
              </c:strCache>
            </c:strRef>
          </c:cat>
          <c:val>
            <c:numRef>
              <c:f>'Pivot tab1'!$E$4:$E$9</c:f>
              <c:numCache>
                <c:formatCode>General</c:formatCode>
                <c:ptCount val="5"/>
                <c:pt idx="0">
                  <c:v>49346</c:v>
                </c:pt>
                <c:pt idx="1">
                  <c:v>102809</c:v>
                </c:pt>
                <c:pt idx="2">
                  <c:v>17866</c:v>
                </c:pt>
                <c:pt idx="3">
                  <c:v>5496</c:v>
                </c:pt>
                <c:pt idx="4">
                  <c:v>5648</c:v>
                </c:pt>
              </c:numCache>
            </c:numRef>
          </c:val>
          <c:extLst>
            <c:ext xmlns:c16="http://schemas.microsoft.com/office/drawing/2014/chart" uri="{C3380CC4-5D6E-409C-BE32-E72D297353CC}">
              <c16:uniqueId val="{00000003-A48A-426C-B73A-B23AA29E670B}"/>
            </c:ext>
          </c:extLst>
        </c:ser>
        <c:dLbls>
          <c:showLegendKey val="0"/>
          <c:showVal val="0"/>
          <c:showCatName val="0"/>
          <c:showSerName val="0"/>
          <c:showPercent val="0"/>
          <c:showBubbleSize val="0"/>
        </c:dLbls>
        <c:gapWidth val="219"/>
        <c:overlap val="-27"/>
        <c:axId val="316461216"/>
        <c:axId val="858959696"/>
      </c:barChart>
      <c:catAx>
        <c:axId val="31646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959696"/>
        <c:crosses val="autoZero"/>
        <c:auto val="1"/>
        <c:lblAlgn val="ctr"/>
        <c:lblOffset val="100"/>
        <c:noMultiLvlLbl val="0"/>
      </c:catAx>
      <c:valAx>
        <c:axId val="858959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461216"/>
        <c:crosses val="autoZero"/>
        <c:crossBetween val="between"/>
      </c:valAx>
      <c:spPr>
        <a:noFill/>
        <a:ln>
          <a:noFill/>
        </a:ln>
        <a:effectLst/>
      </c:spPr>
    </c:plotArea>
    <c:legend>
      <c:legendPos val="r"/>
      <c:layout>
        <c:manualLayout>
          <c:xMode val="edge"/>
          <c:yMode val="edge"/>
          <c:x val="0.71220742231009682"/>
          <c:y val="0.3556602317052211"/>
          <c:w val="0.24863447685779366"/>
          <c:h val="0.303477617462079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[Fact_SocialMedia Exc.xlsx]Pivot tab3!PivotTable5</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35870516185478"/>
          <c:y val="0.15638670166229221"/>
          <c:w val="0.48964129483814522"/>
          <c:h val="0.65890128317293672"/>
        </c:manualLayout>
      </c:layout>
      <c:lineChart>
        <c:grouping val="standard"/>
        <c:varyColors val="0"/>
        <c:ser>
          <c:idx val="0"/>
          <c:order val="0"/>
          <c:tx>
            <c:strRef>
              <c:f>'Pivot tab3'!$B$3</c:f>
              <c:strCache>
                <c:ptCount val="1"/>
                <c:pt idx="0">
                  <c:v>Sum of Tot Engagement</c:v>
                </c:pt>
              </c:strCache>
            </c:strRef>
          </c:tx>
          <c:spPr>
            <a:ln w="28575" cap="rnd">
              <a:solidFill>
                <a:schemeClr val="accent1"/>
              </a:solidFill>
              <a:round/>
            </a:ln>
            <a:effectLst/>
          </c:spPr>
          <c:marker>
            <c:symbol val="none"/>
          </c:marker>
          <c:cat>
            <c:multiLvlStrRef>
              <c:f>'Pivot tab3'!$A$4:$A$27</c:f>
              <c:multiLvlStrCache>
                <c:ptCount val="21"/>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lvl>
                <c:lvl>
                  <c:pt idx="0">
                    <c:v>2025</c:v>
                  </c:pt>
                  <c:pt idx="12">
                    <c:v>2026</c:v>
                  </c:pt>
                </c:lvl>
              </c:multiLvlStrCache>
            </c:multiLvlStrRef>
          </c:cat>
          <c:val>
            <c:numRef>
              <c:f>'Pivot tab3'!$B$4:$B$27</c:f>
              <c:numCache>
                <c:formatCode>General</c:formatCode>
                <c:ptCount val="21"/>
                <c:pt idx="0">
                  <c:v>64368</c:v>
                </c:pt>
                <c:pt idx="1">
                  <c:v>60263</c:v>
                </c:pt>
                <c:pt idx="2">
                  <c:v>64301</c:v>
                </c:pt>
                <c:pt idx="3">
                  <c:v>65146</c:v>
                </c:pt>
                <c:pt idx="4">
                  <c:v>57818</c:v>
                </c:pt>
                <c:pt idx="5">
                  <c:v>85335</c:v>
                </c:pt>
                <c:pt idx="6">
                  <c:v>43463</c:v>
                </c:pt>
                <c:pt idx="7">
                  <c:v>50469</c:v>
                </c:pt>
                <c:pt idx="8">
                  <c:v>59699</c:v>
                </c:pt>
                <c:pt idx="9">
                  <c:v>70432</c:v>
                </c:pt>
                <c:pt idx="10">
                  <c:v>102074</c:v>
                </c:pt>
                <c:pt idx="11">
                  <c:v>75941</c:v>
                </c:pt>
                <c:pt idx="12">
                  <c:v>52733</c:v>
                </c:pt>
                <c:pt idx="13">
                  <c:v>89679</c:v>
                </c:pt>
                <c:pt idx="14">
                  <c:v>55239</c:v>
                </c:pt>
                <c:pt idx="15">
                  <c:v>46786</c:v>
                </c:pt>
                <c:pt idx="16">
                  <c:v>56558</c:v>
                </c:pt>
                <c:pt idx="17">
                  <c:v>40689</c:v>
                </c:pt>
                <c:pt idx="18">
                  <c:v>56611</c:v>
                </c:pt>
                <c:pt idx="19">
                  <c:v>57379</c:v>
                </c:pt>
                <c:pt idx="20">
                  <c:v>60611</c:v>
                </c:pt>
              </c:numCache>
            </c:numRef>
          </c:val>
          <c:smooth val="0"/>
          <c:extLst>
            <c:ext xmlns:c16="http://schemas.microsoft.com/office/drawing/2014/chart" uri="{C3380CC4-5D6E-409C-BE32-E72D297353CC}">
              <c16:uniqueId val="{00000000-FF57-43DA-9423-A4EC9496FCD8}"/>
            </c:ext>
          </c:extLst>
        </c:ser>
        <c:ser>
          <c:idx val="1"/>
          <c:order val="1"/>
          <c:tx>
            <c:strRef>
              <c:f>'Pivot tab3'!$C$3</c:f>
              <c:strCache>
                <c:ptCount val="1"/>
                <c:pt idx="0">
                  <c:v>Sum of Reach</c:v>
                </c:pt>
              </c:strCache>
            </c:strRef>
          </c:tx>
          <c:spPr>
            <a:ln w="28575" cap="rnd">
              <a:solidFill>
                <a:schemeClr val="accent2"/>
              </a:solidFill>
              <a:round/>
            </a:ln>
            <a:effectLst/>
          </c:spPr>
          <c:marker>
            <c:symbol val="none"/>
          </c:marker>
          <c:cat>
            <c:multiLvlStrRef>
              <c:f>'Pivot tab3'!$A$4:$A$27</c:f>
              <c:multiLvlStrCache>
                <c:ptCount val="21"/>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lvl>
                <c:lvl>
                  <c:pt idx="0">
                    <c:v>2025</c:v>
                  </c:pt>
                  <c:pt idx="12">
                    <c:v>2026</c:v>
                  </c:pt>
                </c:lvl>
              </c:multiLvlStrCache>
            </c:multiLvlStrRef>
          </c:cat>
          <c:val>
            <c:numRef>
              <c:f>'Pivot tab3'!$C$4:$C$27</c:f>
              <c:numCache>
                <c:formatCode>General</c:formatCode>
                <c:ptCount val="21"/>
                <c:pt idx="0">
                  <c:v>639848</c:v>
                </c:pt>
                <c:pt idx="1">
                  <c:v>632648</c:v>
                </c:pt>
                <c:pt idx="2">
                  <c:v>621035</c:v>
                </c:pt>
                <c:pt idx="3">
                  <c:v>592412</c:v>
                </c:pt>
                <c:pt idx="4">
                  <c:v>683432</c:v>
                </c:pt>
                <c:pt idx="5">
                  <c:v>875401</c:v>
                </c:pt>
                <c:pt idx="6">
                  <c:v>436116</c:v>
                </c:pt>
                <c:pt idx="7">
                  <c:v>533596</c:v>
                </c:pt>
                <c:pt idx="8">
                  <c:v>621391</c:v>
                </c:pt>
                <c:pt idx="9">
                  <c:v>690873</c:v>
                </c:pt>
                <c:pt idx="10">
                  <c:v>1114011</c:v>
                </c:pt>
                <c:pt idx="11">
                  <c:v>839252</c:v>
                </c:pt>
                <c:pt idx="12">
                  <c:v>643685</c:v>
                </c:pt>
                <c:pt idx="13">
                  <c:v>780139</c:v>
                </c:pt>
                <c:pt idx="14">
                  <c:v>590944</c:v>
                </c:pt>
                <c:pt idx="15">
                  <c:v>559242</c:v>
                </c:pt>
                <c:pt idx="16">
                  <c:v>574995</c:v>
                </c:pt>
                <c:pt idx="17">
                  <c:v>431737</c:v>
                </c:pt>
                <c:pt idx="18">
                  <c:v>580857</c:v>
                </c:pt>
                <c:pt idx="19">
                  <c:v>559965</c:v>
                </c:pt>
                <c:pt idx="20">
                  <c:v>677119</c:v>
                </c:pt>
              </c:numCache>
            </c:numRef>
          </c:val>
          <c:smooth val="0"/>
          <c:extLst>
            <c:ext xmlns:c16="http://schemas.microsoft.com/office/drawing/2014/chart" uri="{C3380CC4-5D6E-409C-BE32-E72D297353CC}">
              <c16:uniqueId val="{00000001-FF57-43DA-9423-A4EC9496FCD8}"/>
            </c:ext>
          </c:extLst>
        </c:ser>
        <c:ser>
          <c:idx val="2"/>
          <c:order val="2"/>
          <c:tx>
            <c:strRef>
              <c:f>'Pivot tab3'!$D$3</c:f>
              <c:strCache>
                <c:ptCount val="1"/>
                <c:pt idx="0">
                  <c:v>Sum of Followers_Gained</c:v>
                </c:pt>
              </c:strCache>
            </c:strRef>
          </c:tx>
          <c:spPr>
            <a:ln w="28575" cap="rnd">
              <a:solidFill>
                <a:schemeClr val="accent3"/>
              </a:solidFill>
              <a:round/>
            </a:ln>
            <a:effectLst/>
          </c:spPr>
          <c:marker>
            <c:symbol val="none"/>
          </c:marker>
          <c:cat>
            <c:multiLvlStrRef>
              <c:f>'Pivot tab3'!$A$4:$A$27</c:f>
              <c:multiLvlStrCache>
                <c:ptCount val="21"/>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lvl>
                <c:lvl>
                  <c:pt idx="0">
                    <c:v>2025</c:v>
                  </c:pt>
                  <c:pt idx="12">
                    <c:v>2026</c:v>
                  </c:pt>
                </c:lvl>
              </c:multiLvlStrCache>
            </c:multiLvlStrRef>
          </c:cat>
          <c:val>
            <c:numRef>
              <c:f>'Pivot tab3'!$D$4:$D$27</c:f>
              <c:numCache>
                <c:formatCode>General</c:formatCode>
                <c:ptCount val="21"/>
                <c:pt idx="0">
                  <c:v>6900</c:v>
                </c:pt>
                <c:pt idx="1">
                  <c:v>6035</c:v>
                </c:pt>
                <c:pt idx="2">
                  <c:v>6967</c:v>
                </c:pt>
                <c:pt idx="3">
                  <c:v>6431</c:v>
                </c:pt>
                <c:pt idx="4">
                  <c:v>7187</c:v>
                </c:pt>
                <c:pt idx="5">
                  <c:v>8235</c:v>
                </c:pt>
                <c:pt idx="6">
                  <c:v>4127</c:v>
                </c:pt>
                <c:pt idx="7">
                  <c:v>4237</c:v>
                </c:pt>
                <c:pt idx="8">
                  <c:v>7117</c:v>
                </c:pt>
                <c:pt idx="9">
                  <c:v>6654</c:v>
                </c:pt>
                <c:pt idx="10">
                  <c:v>10376</c:v>
                </c:pt>
                <c:pt idx="11">
                  <c:v>7914</c:v>
                </c:pt>
                <c:pt idx="12">
                  <c:v>4852</c:v>
                </c:pt>
                <c:pt idx="13">
                  <c:v>7694</c:v>
                </c:pt>
                <c:pt idx="14">
                  <c:v>5434</c:v>
                </c:pt>
                <c:pt idx="15">
                  <c:v>4398</c:v>
                </c:pt>
                <c:pt idx="16">
                  <c:v>4836</c:v>
                </c:pt>
                <c:pt idx="17">
                  <c:v>3448</c:v>
                </c:pt>
                <c:pt idx="18">
                  <c:v>5795</c:v>
                </c:pt>
                <c:pt idx="19">
                  <c:v>5907</c:v>
                </c:pt>
                <c:pt idx="20">
                  <c:v>4590</c:v>
                </c:pt>
              </c:numCache>
            </c:numRef>
          </c:val>
          <c:smooth val="0"/>
          <c:extLst>
            <c:ext xmlns:c16="http://schemas.microsoft.com/office/drawing/2014/chart" uri="{C3380CC4-5D6E-409C-BE32-E72D297353CC}">
              <c16:uniqueId val="{00000002-FF57-43DA-9423-A4EC9496FCD8}"/>
            </c:ext>
          </c:extLst>
        </c:ser>
        <c:dLbls>
          <c:showLegendKey val="0"/>
          <c:showVal val="0"/>
          <c:showCatName val="0"/>
          <c:showSerName val="0"/>
          <c:showPercent val="0"/>
          <c:showBubbleSize val="0"/>
        </c:dLbls>
        <c:smooth val="0"/>
        <c:axId val="1527931680"/>
        <c:axId val="858904496"/>
      </c:lineChart>
      <c:catAx>
        <c:axId val="152793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904496"/>
        <c:crosses val="autoZero"/>
        <c:auto val="1"/>
        <c:lblAlgn val="ctr"/>
        <c:lblOffset val="100"/>
        <c:noMultiLvlLbl val="0"/>
      </c:catAx>
      <c:valAx>
        <c:axId val="85890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93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281940</xdr:colOff>
      <xdr:row>2</xdr:row>
      <xdr:rowOff>11430</xdr:rowOff>
    </xdr:from>
    <xdr:to>
      <xdr:col>13</xdr:col>
      <xdr:colOff>594360</xdr:colOff>
      <xdr:row>20</xdr:row>
      <xdr:rowOff>152400</xdr:rowOff>
    </xdr:to>
    <xdr:graphicFrame macro="">
      <xdr:nvGraphicFramePr>
        <xdr:cNvPr id="2" name="Chart 1">
          <a:extLst>
            <a:ext uri="{FF2B5EF4-FFF2-40B4-BE49-F238E27FC236}">
              <a16:creationId xmlns:a16="http://schemas.microsoft.com/office/drawing/2014/main" id="{EE6F981B-3A96-44CE-9F64-DE54AFA73F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15240</xdr:colOff>
      <xdr:row>9</xdr:row>
      <xdr:rowOff>167640</xdr:rowOff>
    </xdr:from>
    <xdr:to>
      <xdr:col>4</xdr:col>
      <xdr:colOff>967740</xdr:colOff>
      <xdr:row>25</xdr:row>
      <xdr:rowOff>7620</xdr:rowOff>
    </xdr:to>
    <mc:AlternateContent xmlns:mc="http://schemas.openxmlformats.org/markup-compatibility/2006" xmlns:a14="http://schemas.microsoft.com/office/drawing/2010/main">
      <mc:Choice Requires="a14">
        <xdr:graphicFrame macro="">
          <xdr:nvGraphicFramePr>
            <xdr:cNvPr id="5" name="Platform_ID">
              <a:extLst>
                <a:ext uri="{FF2B5EF4-FFF2-40B4-BE49-F238E27FC236}">
                  <a16:creationId xmlns:a16="http://schemas.microsoft.com/office/drawing/2014/main" id="{821D6A9F-761B-A201-CE8F-8297CEFE86C3}"/>
                </a:ext>
              </a:extLst>
            </xdr:cNvPr>
            <xdr:cNvGraphicFramePr/>
          </xdr:nvGraphicFramePr>
          <xdr:xfrm>
            <a:off x="0" y="0"/>
            <a:ext cx="0" cy="0"/>
          </xdr:xfrm>
          <a:graphic>
            <a:graphicData uri="http://schemas.microsoft.com/office/drawing/2010/slicer">
              <sle:slicer xmlns:sle="http://schemas.microsoft.com/office/drawing/2010/slicer" name="Platform_ID"/>
            </a:graphicData>
          </a:graphic>
        </xdr:graphicFrame>
      </mc:Choice>
      <mc:Fallback xmlns="">
        <xdr:sp macro="" textlink="">
          <xdr:nvSpPr>
            <xdr:cNvPr id="0" name=""/>
            <xdr:cNvSpPr>
              <a:spLocks noTextEdit="1"/>
            </xdr:cNvSpPr>
          </xdr:nvSpPr>
          <xdr:spPr>
            <a:xfrm>
              <a:off x="2758440" y="1813560"/>
              <a:ext cx="1821180" cy="2766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838200</xdr:colOff>
      <xdr:row>10</xdr:row>
      <xdr:rowOff>15240</xdr:rowOff>
    </xdr:from>
    <xdr:to>
      <xdr:col>2</xdr:col>
      <xdr:colOff>1059180</xdr:colOff>
      <xdr:row>24</xdr:row>
      <xdr:rowOff>160020</xdr:rowOff>
    </xdr:to>
    <mc:AlternateContent xmlns:mc="http://schemas.openxmlformats.org/markup-compatibility/2006" xmlns:a14="http://schemas.microsoft.com/office/drawing/2010/main">
      <mc:Choice Requires="a14">
        <xdr:graphicFrame macro="">
          <xdr:nvGraphicFramePr>
            <xdr:cNvPr id="6" name="Campaign_ID">
              <a:extLst>
                <a:ext uri="{FF2B5EF4-FFF2-40B4-BE49-F238E27FC236}">
                  <a16:creationId xmlns:a16="http://schemas.microsoft.com/office/drawing/2014/main" id="{9D3B564F-84BE-BDCD-2CF2-311E4F82BD32}"/>
                </a:ext>
              </a:extLst>
            </xdr:cNvPr>
            <xdr:cNvGraphicFramePr/>
          </xdr:nvGraphicFramePr>
          <xdr:xfrm>
            <a:off x="0" y="0"/>
            <a:ext cx="0" cy="0"/>
          </xdr:xfrm>
          <a:graphic>
            <a:graphicData uri="http://schemas.microsoft.com/office/drawing/2010/slicer">
              <sle:slicer xmlns:sle="http://schemas.microsoft.com/office/drawing/2010/slicer" name="Campaign_ID"/>
            </a:graphicData>
          </a:graphic>
        </xdr:graphicFrame>
      </mc:Choice>
      <mc:Fallback xmlns="">
        <xdr:sp macro="" textlink="">
          <xdr:nvSpPr>
            <xdr:cNvPr id="0" name=""/>
            <xdr:cNvSpPr>
              <a:spLocks noTextEdit="1"/>
            </xdr:cNvSpPr>
          </xdr:nvSpPr>
          <xdr:spPr>
            <a:xfrm>
              <a:off x="838200" y="1844040"/>
              <a:ext cx="1851660" cy="2705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167640</xdr:colOff>
      <xdr:row>2</xdr:row>
      <xdr:rowOff>11430</xdr:rowOff>
    </xdr:from>
    <xdr:to>
      <xdr:col>13</xdr:col>
      <xdr:colOff>594360</xdr:colOff>
      <xdr:row>23</xdr:row>
      <xdr:rowOff>175260</xdr:rowOff>
    </xdr:to>
    <xdr:graphicFrame macro="">
      <xdr:nvGraphicFramePr>
        <xdr:cNvPr id="2" name="Chart 1">
          <a:extLst>
            <a:ext uri="{FF2B5EF4-FFF2-40B4-BE49-F238E27FC236}">
              <a16:creationId xmlns:a16="http://schemas.microsoft.com/office/drawing/2014/main" id="{0E247CCC-FBE7-E330-074F-F43895AACC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LCOME" refreshedDate="46315.893167476854" createdVersion="8" refreshedVersion="8" minRefreshableVersion="3" recordCount="499" xr:uid="{54B45726-4A11-48C8-A828-378678857889}">
  <cacheSource type="worksheet">
    <worksheetSource ref="A1:T500" sheet="Social Media 500"/>
  </cacheSource>
  <cacheFields count="20">
    <cacheField name="Post_ID" numFmtId="0">
      <sharedItems/>
    </cacheField>
    <cacheField name="Date_Key" numFmtId="0">
      <sharedItems containsSemiMixedTypes="0" containsString="0" containsNumber="1" containsInteger="1" minValue="20250101" maxValue="20260930"/>
    </cacheField>
    <cacheField name="Platform_ID" numFmtId="0">
      <sharedItems count="5">
        <s v="PL001"/>
        <s v="PL004"/>
        <s v="PL005"/>
        <s v="PL003"/>
        <s v="PL002"/>
      </sharedItems>
    </cacheField>
    <cacheField name="Campaign_ID" numFmtId="0">
      <sharedItems containsBlank="1" count="8">
        <s v="C007"/>
        <s v="C004"/>
        <s v="C006"/>
        <s v="C003"/>
        <s v="C005"/>
        <s v="C002"/>
        <s v="C001"/>
        <m/>
      </sharedItems>
    </cacheField>
    <cacheField name="Content_ID" numFmtId="0">
      <sharedItems count="6">
        <s v="CT002"/>
        <s v="CT005"/>
        <s v="CT006"/>
        <s v="CT004"/>
        <s v="CT001"/>
        <s v="CT003"/>
      </sharedItems>
    </cacheField>
    <cacheField name="Reach" numFmtId="0">
      <sharedItems containsString="0" containsBlank="1" containsNumber="1" containsInteger="1" minValue="1306" maxValue="274700"/>
    </cacheField>
    <cacheField name="Impressions" numFmtId="0">
      <sharedItems containsString="0" containsBlank="1" containsNumber="1" containsInteger="1" minValue="1771" maxValue="415865"/>
    </cacheField>
    <cacheField name="Likes" numFmtId="0">
      <sharedItems containsString="0" containsBlank="1" containsNumber="1" containsInteger="1" minValue="73" maxValue="26525"/>
    </cacheField>
    <cacheField name="Comments" numFmtId="0">
      <sharedItems containsString="0" containsBlank="1" containsNumber="1" containsInteger="1" minValue="2" maxValue="2425"/>
    </cacheField>
    <cacheField name="Shares" numFmtId="0">
      <sharedItems containsString="0" containsBlank="1" containsNumber="1" containsInteger="1" minValue="6" maxValue="3854"/>
    </cacheField>
    <cacheField name="Saves" numFmtId="0">
      <sharedItems containsString="0" containsBlank="1" containsNumber="1" containsInteger="1" minValue="3" maxValue="2246"/>
    </cacheField>
    <cacheField name="Video_Views" numFmtId="0">
      <sharedItems containsString="0" containsBlank="1" containsNumber="1" containsInteger="1" minValue="0" maxValue="228011"/>
    </cacheField>
    <cacheField name="Followers_Gained" numFmtId="0">
      <sharedItems containsString="0" containsBlank="1" containsNumber="1" containsInteger="1" minValue="6" maxValue="3474"/>
    </cacheField>
    <cacheField name="Posting_Time" numFmtId="20">
      <sharedItems containsNonDate="0" containsDate="1" containsString="0" containsBlank="1" minDate="1899-12-30T07:00:00" maxDate="1899-12-30T22:45:00"/>
    </cacheField>
    <cacheField name="Location" numFmtId="0">
      <sharedItems containsBlank="1"/>
    </cacheField>
    <cacheField name="Dup check" numFmtId="0">
      <sharedItems containsSemiMixedTypes="0" containsString="0" containsNumber="1" containsInteger="1" minValue="1" maxValue="1"/>
    </cacheField>
    <cacheField name="Blank Check" numFmtId="0">
      <sharedItems containsString="0" containsBlank="1" containsNumber="1" containsInteger="1" minValue="1" maxValue="6"/>
    </cacheField>
    <cacheField name="Tot Engagement" numFmtId="0">
      <sharedItems containsSemiMixedTypes="0" containsString="0" containsNumber="1" containsInteger="1" minValue="87" maxValue="34735"/>
    </cacheField>
    <cacheField name="Engagement Rate" numFmtId="0">
      <sharedItems containsSemiMixedTypes="0" containsString="0" containsNumber="1" minValue="0" maxValue="53.195767195767196"/>
    </cacheField>
    <cacheField name="Engagement Cat" numFmtId="0">
      <sharedItems/>
    </cacheField>
  </cacheFields>
  <extLst>
    <ext xmlns:x14="http://schemas.microsoft.com/office/spreadsheetml/2009/9/main" uri="{725AE2AE-9491-48be-B2B4-4EB974FC3084}">
      <x14:pivotCacheDefinition pivotCacheId="10588895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LCOME" refreshedDate="46315.906885763892" createdVersion="8" refreshedVersion="8" minRefreshableVersion="3" recordCount="499" xr:uid="{E1D9FADD-3CD0-4EE4-B587-48B56B9A8378}">
  <cacheSource type="worksheet">
    <worksheetSource ref="A1:V500" sheet="Social Media 500"/>
  </cacheSource>
  <cacheFields count="22">
    <cacheField name="Post_ID" numFmtId="0">
      <sharedItems/>
    </cacheField>
    <cacheField name="Date_Key" numFmtId="0">
      <sharedItems containsSemiMixedTypes="0" containsString="0" containsNumber="1" containsInteger="1" minValue="20250101" maxValue="20260930"/>
    </cacheField>
    <cacheField name="Platform_ID" numFmtId="0">
      <sharedItems/>
    </cacheField>
    <cacheField name="Campaign_ID" numFmtId="0">
      <sharedItems containsBlank="1"/>
    </cacheField>
    <cacheField name="Content_ID" numFmtId="0">
      <sharedItems/>
    </cacheField>
    <cacheField name="Reach" numFmtId="0">
      <sharedItems containsString="0" containsBlank="1" containsNumber="1" containsInteger="1" minValue="1306" maxValue="274700"/>
    </cacheField>
    <cacheField name="Impressions" numFmtId="0">
      <sharedItems containsString="0" containsBlank="1" containsNumber="1" containsInteger="1" minValue="1771" maxValue="415865"/>
    </cacheField>
    <cacheField name="Likes" numFmtId="0">
      <sharedItems containsString="0" containsBlank="1" containsNumber="1" containsInteger="1" minValue="73" maxValue="26525"/>
    </cacheField>
    <cacheField name="Comments" numFmtId="0">
      <sharedItems containsString="0" containsBlank="1" containsNumber="1" containsInteger="1" minValue="2" maxValue="2425"/>
    </cacheField>
    <cacheField name="Shares" numFmtId="0">
      <sharedItems containsString="0" containsBlank="1" containsNumber="1" containsInteger="1" minValue="6" maxValue="3854"/>
    </cacheField>
    <cacheField name="Saves" numFmtId="0">
      <sharedItems containsString="0" containsBlank="1" containsNumber="1" containsInteger="1" minValue="3" maxValue="2246"/>
    </cacheField>
    <cacheField name="Video_Views" numFmtId="0">
      <sharedItems containsString="0" containsBlank="1" containsNumber="1" containsInteger="1" minValue="0" maxValue="228011"/>
    </cacheField>
    <cacheField name="Followers_Gained" numFmtId="0">
      <sharedItems containsString="0" containsBlank="1" containsNumber="1" containsInteger="1" minValue="6" maxValue="3474"/>
    </cacheField>
    <cacheField name="Posting_Time" numFmtId="20">
      <sharedItems containsNonDate="0" containsDate="1" containsString="0" containsBlank="1" minDate="1899-12-30T07:00:00" maxDate="1899-12-30T22:45:00"/>
    </cacheField>
    <cacheField name="Location" numFmtId="0">
      <sharedItems containsBlank="1"/>
    </cacheField>
    <cacheField name="Dup check" numFmtId="0">
      <sharedItems containsSemiMixedTypes="0" containsString="0" containsNumber="1" containsInteger="1" minValue="1" maxValue="1"/>
    </cacheField>
    <cacheField name="Blank Check" numFmtId="0">
      <sharedItems containsString="0" containsBlank="1" containsNumber="1" containsInteger="1" minValue="1" maxValue="6"/>
    </cacheField>
    <cacheField name="Tot Engagement" numFmtId="0">
      <sharedItems containsSemiMixedTypes="0" containsString="0" containsNumber="1" containsInteger="1" minValue="87" maxValue="34735"/>
    </cacheField>
    <cacheField name="Engagement Rate" numFmtId="0">
      <sharedItems containsSemiMixedTypes="0" containsString="0" containsNumber="1" minValue="0" maxValue="53.195767195767196"/>
    </cacheField>
    <cacheField name="Engagement Cat" numFmtId="0">
      <sharedItems/>
    </cacheField>
    <cacheField name="Year" numFmtId="0">
      <sharedItems containsSemiMixedTypes="0" containsString="0" containsNumber="1" containsInteger="1" minValue="2025" maxValue="2026" count="2">
        <n v="2026"/>
        <n v="2025"/>
      </sharedItems>
    </cacheField>
    <cacheField name="Month" numFmtId="0">
      <sharedItems containsSemiMixedTypes="0" containsString="0" containsNumber="1" containsInteger="1" minValue="1" maxValue="12" count="12">
        <n v="9"/>
        <n v="2"/>
        <n v="7"/>
        <n v="3"/>
        <n v="6"/>
        <n v="10"/>
        <n v="12"/>
        <n v="1"/>
        <n v="11"/>
        <n v="8"/>
        <n v="5"/>
        <n v="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s v="P11812"/>
    <n v="20260914"/>
    <x v="0"/>
    <x v="0"/>
    <x v="0"/>
    <n v="20555"/>
    <n v="32660"/>
    <n v="1829"/>
    <n v="159"/>
    <n v="243"/>
    <n v="197"/>
    <n v="0"/>
    <n v="233"/>
    <d v="1899-12-30T17:30:00"/>
    <s v="Kolkata"/>
    <n v="1"/>
    <n v="1"/>
    <n v="2428"/>
    <n v="8.4658154859967052"/>
    <s v="Medium"/>
  </r>
  <r>
    <s v="P10374"/>
    <n v="20250227"/>
    <x v="0"/>
    <x v="1"/>
    <x v="1"/>
    <n v="28426"/>
    <n v="35838"/>
    <n v="1159"/>
    <n v="55"/>
    <n v="211"/>
    <n v="138"/>
    <n v="0"/>
    <n v="120"/>
    <d v="1899-12-30T14:45:00"/>
    <s v="Bengaluru"/>
    <n v="1"/>
    <n v="1"/>
    <n v="1563"/>
    <n v="18.186820217530389"/>
    <s v="High"/>
  </r>
  <r>
    <s v="P10672"/>
    <n v="20260226"/>
    <x v="1"/>
    <x v="1"/>
    <x v="2"/>
    <n v="21926"/>
    <n v="25549"/>
    <n v="1948"/>
    <n v="123"/>
    <n v="317"/>
    <n v="195"/>
    <n v="14118"/>
    <n v="234"/>
    <d v="1899-12-30T20:15:00"/>
    <s v="Mumbai"/>
    <n v="1"/>
    <n v="1"/>
    <n v="2583"/>
    <n v="8.4885791715060002"/>
    <s v="Medium"/>
  </r>
  <r>
    <s v="P10689"/>
    <n v="20250703"/>
    <x v="0"/>
    <x v="2"/>
    <x v="0"/>
    <n v="10541"/>
    <n v="13625"/>
    <n v="457"/>
    <n v="53"/>
    <n v="40"/>
    <n v="36"/>
    <n v="0"/>
    <n v="32"/>
    <d v="1899-12-30T10:00:00"/>
    <s v="Delhi"/>
    <n v="1"/>
    <n v="1"/>
    <n v="586"/>
    <n v="17.988054607508534"/>
    <s v="High"/>
  </r>
  <r>
    <s v="P10189"/>
    <n v="20260220"/>
    <x v="2"/>
    <x v="3"/>
    <x v="2"/>
    <n v="4889"/>
    <n v="5589"/>
    <n v="385"/>
    <m/>
    <n v="68"/>
    <n v="28"/>
    <n v="2288"/>
    <n v="28"/>
    <d v="1899-12-30T13:15:00"/>
    <s v="Madurai"/>
    <n v="1"/>
    <n v="1"/>
    <n v="481"/>
    <n v="10.164241164241163"/>
    <s v="High"/>
  </r>
  <r>
    <s v="P11531"/>
    <n v="20250305"/>
    <x v="0"/>
    <x v="4"/>
    <x v="0"/>
    <n v="11965"/>
    <n v="12832"/>
    <n v="1168"/>
    <n v="56"/>
    <n v="112"/>
    <n v="132"/>
    <n v="0"/>
    <n v="44"/>
    <d v="1899-12-30T12:00:00"/>
    <s v="Kolkata"/>
    <n v="1"/>
    <n v="1"/>
    <n v="1468"/>
    <n v="8.1505449591280659"/>
    <s v="Medium"/>
  </r>
  <r>
    <s v="P11539"/>
    <n v="20250615"/>
    <x v="1"/>
    <x v="1"/>
    <x v="2"/>
    <n v="12913"/>
    <n v="18106"/>
    <n v="894"/>
    <n v="25"/>
    <n v="117"/>
    <n v="25"/>
    <n v="10186"/>
    <n v="33"/>
    <d v="1899-12-30T15:30:00"/>
    <s v="Chennai"/>
    <n v="1"/>
    <n v="1"/>
    <n v="1061"/>
    <n v="12.170593779453347"/>
    <s v="High"/>
  </r>
  <r>
    <s v="P11030"/>
    <n v="20250201"/>
    <x v="3"/>
    <x v="0"/>
    <x v="3"/>
    <n v="35079"/>
    <n v="38997"/>
    <n v="2034"/>
    <n v="180"/>
    <n v="161"/>
    <n v="229"/>
    <n v="16625"/>
    <n v="570"/>
    <d v="1899-12-30T19:30:00"/>
    <s v="Kochi"/>
    <n v="1"/>
    <n v="1"/>
    <n v="2604"/>
    <n v="13.471198156682028"/>
    <s v="High"/>
  </r>
  <r>
    <s v="P10467"/>
    <n v="20251006"/>
    <x v="4"/>
    <x v="4"/>
    <x v="2"/>
    <n v="33431"/>
    <n v="43499"/>
    <n v="1576"/>
    <n v="106"/>
    <n v="270"/>
    <n v="109"/>
    <n v="22011"/>
    <n v="528"/>
    <d v="1899-12-30T19:30:00"/>
    <s v="Chennai"/>
    <n v="1"/>
    <n v="1"/>
    <n v="2061"/>
    <n v="16.220766618146531"/>
    <s v="High"/>
  </r>
  <r>
    <s v="P10623"/>
    <n v="20251009"/>
    <x v="4"/>
    <x v="0"/>
    <x v="4"/>
    <m/>
    <n v="56415"/>
    <n v="2798"/>
    <n v="313"/>
    <n v="302"/>
    <n v="396"/>
    <n v="30771"/>
    <n v="634"/>
    <d v="1899-12-30T18:00:00"/>
    <s v="Hyderabad"/>
    <n v="1"/>
    <n v="6"/>
    <n v="3809"/>
    <n v="0"/>
    <s v="Low"/>
  </r>
  <r>
    <s v="P10538"/>
    <n v="20260219"/>
    <x v="1"/>
    <x v="4"/>
    <x v="3"/>
    <n v="12705"/>
    <n v="19621"/>
    <n v="1510"/>
    <n v="141"/>
    <n v="150"/>
    <n v="220"/>
    <n v="8981"/>
    <n v="50"/>
    <d v="1899-12-30T08:15:00"/>
    <s v="Pune"/>
    <n v="1"/>
    <m/>
    <n v="2021"/>
    <n v="6.2864918357248882"/>
    <s v="Medium"/>
  </r>
  <r>
    <s v="P11874"/>
    <n v="20250621"/>
    <x v="0"/>
    <x v="4"/>
    <x v="5"/>
    <n v="19932"/>
    <n v="21430"/>
    <n v="1542"/>
    <n v="105"/>
    <n v="196"/>
    <n v="113"/>
    <n v="0"/>
    <n v="38"/>
    <d v="1899-12-30T16:15:00"/>
    <s v="Mumbai"/>
    <n v="1"/>
    <m/>
    <n v="1956"/>
    <n v="10.190184049079754"/>
    <s v="High"/>
  </r>
  <r>
    <s v="P10536"/>
    <n v="20250311"/>
    <x v="2"/>
    <x v="0"/>
    <x v="3"/>
    <n v="12799"/>
    <n v="19658"/>
    <n v="504"/>
    <n v="25"/>
    <n v="67"/>
    <n v="34"/>
    <n v="9598"/>
    <n v="144"/>
    <d v="1899-12-30T07:45:00"/>
    <s v="Coimbatore"/>
    <n v="1"/>
    <m/>
    <n v="630"/>
    <n v="20.315873015873017"/>
    <s v="High"/>
  </r>
  <r>
    <s v="P11614"/>
    <n v="20251218"/>
    <x v="0"/>
    <x v="3"/>
    <x v="4"/>
    <n v="62099"/>
    <n v="70176"/>
    <n v="7155"/>
    <n v="760"/>
    <n v="755"/>
    <n v="357"/>
    <n v="32702"/>
    <n v="404"/>
    <d v="1899-12-30T18:45:00"/>
    <s v="Delhi"/>
    <n v="1"/>
    <m/>
    <n v="9027"/>
    <n v="6.8792511354824413"/>
    <s v="Medium"/>
  </r>
  <r>
    <s v="P11219"/>
    <n v="20260109"/>
    <x v="0"/>
    <x v="3"/>
    <x v="3"/>
    <n v="42831"/>
    <m/>
    <n v="3755"/>
    <n v="496"/>
    <m/>
    <n v="221"/>
    <n v="25284"/>
    <n v="291"/>
    <d v="1899-12-30T09:00:00"/>
    <m/>
    <n v="1"/>
    <m/>
    <n v="4472"/>
    <n v="9.5775939177101961"/>
    <s v="Medium"/>
  </r>
  <r>
    <s v="P11970"/>
    <n v="20251107"/>
    <x v="0"/>
    <x v="4"/>
    <x v="4"/>
    <n v="40666"/>
    <n v="58779"/>
    <n v="1418"/>
    <n v="109"/>
    <n v="44"/>
    <n v="167"/>
    <n v="18822"/>
    <n v="91"/>
    <d v="1899-12-30T19:15:00"/>
    <s v="Hyderabad"/>
    <n v="1"/>
    <m/>
    <n v="1738"/>
    <n v="23.398158803222096"/>
    <s v="High"/>
  </r>
  <r>
    <s v="P10994"/>
    <n v="20250901"/>
    <x v="3"/>
    <x v="1"/>
    <x v="4"/>
    <n v="7941"/>
    <n v="12390"/>
    <n v="665"/>
    <n v="30"/>
    <n v="27"/>
    <n v="35"/>
    <m/>
    <n v="54"/>
    <d v="1899-12-30T18:00:00"/>
    <s v="Chennai"/>
    <n v="1"/>
    <m/>
    <n v="757"/>
    <n v="10.490092470277411"/>
    <s v="High"/>
  </r>
  <r>
    <s v="P10957"/>
    <n v="20250806"/>
    <x v="0"/>
    <x v="2"/>
    <x v="2"/>
    <n v="10664"/>
    <n v="13601"/>
    <n v="974"/>
    <n v="87"/>
    <n v="87"/>
    <n v="113"/>
    <n v="6022"/>
    <n v="12"/>
    <d v="1899-12-30T20:15:00"/>
    <s v="Chennai"/>
    <n v="1"/>
    <m/>
    <n v="1261"/>
    <n v="8.456780333068993"/>
    <s v="Medium"/>
  </r>
  <r>
    <s v="P11669"/>
    <n v="20250325"/>
    <x v="1"/>
    <x v="4"/>
    <x v="4"/>
    <n v="11035"/>
    <n v="12100"/>
    <n v="1159"/>
    <n v="158"/>
    <n v="149"/>
    <n v="101"/>
    <n v="4105"/>
    <n v="73"/>
    <d v="1899-12-30T21:45:00"/>
    <s v="Pune"/>
    <n v="1"/>
    <m/>
    <n v="1567"/>
    <n v="7.0421186981493298"/>
    <s v="Medium"/>
  </r>
  <r>
    <s v="P10847"/>
    <n v="20260526"/>
    <x v="3"/>
    <x v="5"/>
    <x v="5"/>
    <n v="10952"/>
    <n v="15385"/>
    <n v="481"/>
    <n v="25"/>
    <n v="64"/>
    <n v="34"/>
    <n v="0"/>
    <n v="111"/>
    <d v="1899-12-30T19:45:00"/>
    <s v="Coimbatore"/>
    <n v="1"/>
    <m/>
    <n v="604"/>
    <n v="18.132450331125828"/>
    <s v="High"/>
  </r>
  <r>
    <s v="P11919"/>
    <n v="20251116"/>
    <x v="1"/>
    <x v="1"/>
    <x v="1"/>
    <n v="7125"/>
    <n v="10467"/>
    <n v="721"/>
    <n v="34"/>
    <n v="76"/>
    <n v="93"/>
    <n v="0"/>
    <n v="29"/>
    <d v="1899-12-30T18:45:00"/>
    <s v="Kolkata"/>
    <n v="1"/>
    <m/>
    <n v="924"/>
    <n v="7.7110389610389607"/>
    <s v="Medium"/>
  </r>
  <r>
    <s v="P10816"/>
    <n v="20260702"/>
    <x v="0"/>
    <x v="3"/>
    <x v="0"/>
    <n v="15396"/>
    <n v="21604"/>
    <n v="1101"/>
    <n v="144"/>
    <n v="87"/>
    <n v="124"/>
    <n v="0"/>
    <n v="140"/>
    <m/>
    <s v="Chennai"/>
    <n v="1"/>
    <m/>
    <n v="1456"/>
    <n v="10.574175824175825"/>
    <s v="High"/>
  </r>
  <r>
    <s v="P10225"/>
    <n v="20260916"/>
    <x v="1"/>
    <x v="3"/>
    <x v="4"/>
    <n v="25348"/>
    <n v="33848"/>
    <n v="2264"/>
    <n v="135"/>
    <n v="241"/>
    <n v="356"/>
    <n v="19629"/>
    <n v="363"/>
    <d v="1899-12-30T08:45:00"/>
    <s v="Madurai"/>
    <n v="1"/>
    <m/>
    <n v="2996"/>
    <n v="8.4606141522029379"/>
    <s v="Medium"/>
  </r>
  <r>
    <s v="P10749"/>
    <n v="20250804"/>
    <x v="3"/>
    <x v="0"/>
    <x v="4"/>
    <n v="10054"/>
    <n v="11411"/>
    <m/>
    <n v="79"/>
    <n v="73"/>
    <n v="37"/>
    <n v="4697"/>
    <n v="120"/>
    <d v="1899-12-30T07:30:00"/>
    <s v="Pune"/>
    <n v="1"/>
    <m/>
    <n v="189"/>
    <n v="53.195767195767196"/>
    <s v="High"/>
  </r>
  <r>
    <s v="P10685"/>
    <n v="20260717"/>
    <x v="0"/>
    <x v="2"/>
    <x v="0"/>
    <n v="18706"/>
    <n v="27066"/>
    <n v="1103"/>
    <n v="45"/>
    <n v="138"/>
    <m/>
    <n v="0"/>
    <m/>
    <d v="1899-12-30T10:00:00"/>
    <s v="Hyderabad"/>
    <n v="1"/>
    <m/>
    <n v="1286"/>
    <n v="14.545878693623639"/>
    <s v="High"/>
  </r>
  <r>
    <s v="P10678"/>
    <n v="20251104"/>
    <x v="0"/>
    <x v="6"/>
    <x v="2"/>
    <n v="8842"/>
    <n v="9874"/>
    <n v="227"/>
    <n v="31"/>
    <n v="14"/>
    <n v="34"/>
    <n v="7515"/>
    <n v="101"/>
    <d v="1899-12-30T20:15:00"/>
    <s v="Kolkata"/>
    <n v="1"/>
    <m/>
    <n v="306"/>
    <n v="28.895424836601308"/>
    <s v="High"/>
  </r>
  <r>
    <s v="P10266"/>
    <n v="20250202"/>
    <x v="1"/>
    <x v="1"/>
    <x v="0"/>
    <n v="7585"/>
    <n v="12262"/>
    <n v="681"/>
    <n v="81"/>
    <n v="31"/>
    <n v="26"/>
    <n v="0"/>
    <n v="115"/>
    <d v="1899-12-30T19:30:00"/>
    <s v="Mumbai"/>
    <n v="1"/>
    <m/>
    <n v="819"/>
    <n v="9.2612942612942621"/>
    <s v="Medium"/>
  </r>
  <r>
    <s v="P10848"/>
    <n v="20250916"/>
    <x v="2"/>
    <x v="5"/>
    <x v="4"/>
    <n v="14995"/>
    <n v="20663"/>
    <n v="661"/>
    <n v="60"/>
    <n v="61"/>
    <n v="95"/>
    <n v="8632"/>
    <n v="77"/>
    <d v="1899-12-30T18:45:00"/>
    <s v="Madurai"/>
    <n v="1"/>
    <m/>
    <n v="877"/>
    <n v="17.098061573546179"/>
    <s v="High"/>
  </r>
  <r>
    <s v="P11853"/>
    <n v="20250102"/>
    <x v="2"/>
    <x v="4"/>
    <x v="4"/>
    <n v="7543"/>
    <n v="9925"/>
    <n v="210"/>
    <n v="18"/>
    <n v="41"/>
    <n v="10"/>
    <n v="4809"/>
    <n v="77"/>
    <d v="1899-12-30T09:15:00"/>
    <s v="Pune"/>
    <n v="1"/>
    <m/>
    <n v="279"/>
    <n v="27.035842293906811"/>
    <s v="High"/>
  </r>
  <r>
    <s v="P11064"/>
    <n v="20250827"/>
    <x v="4"/>
    <x v="3"/>
    <x v="1"/>
    <n v="9052"/>
    <n v="12595"/>
    <n v="977"/>
    <n v="68"/>
    <n v="104"/>
    <n v="115"/>
    <n v="0"/>
    <n v="95"/>
    <d v="1899-12-30T12:00:00"/>
    <s v="Kochi"/>
    <n v="1"/>
    <m/>
    <n v="1264"/>
    <n v="7.1613924050632916"/>
    <s v="Medium"/>
  </r>
  <r>
    <s v="P10965"/>
    <n v="20251120"/>
    <x v="4"/>
    <x v="4"/>
    <x v="0"/>
    <n v="67966"/>
    <n v="107812"/>
    <n v="2007"/>
    <n v="151"/>
    <n v="205"/>
    <n v="208"/>
    <n v="0"/>
    <n v="722"/>
    <d v="1899-12-30T09:00:00"/>
    <s v="Mumbai"/>
    <n v="1"/>
    <m/>
    <n v="2571"/>
    <n v="26.435628160248932"/>
    <s v="High"/>
  </r>
  <r>
    <s v="P11113"/>
    <n v="20250425"/>
    <x v="3"/>
    <x v="5"/>
    <x v="1"/>
    <n v="9353"/>
    <n v="11016"/>
    <n v="784"/>
    <n v="29"/>
    <n v="46"/>
    <n v="108"/>
    <n v="0"/>
    <n v="83"/>
    <d v="1899-12-30T14:15:00"/>
    <s v="Kolkata"/>
    <n v="1"/>
    <m/>
    <n v="967"/>
    <n v="9.672182006204757"/>
    <s v="Medium"/>
  </r>
  <r>
    <s v="P10865"/>
    <n v="20250824"/>
    <x v="3"/>
    <x v="5"/>
    <x v="5"/>
    <n v="22496"/>
    <n v="35769"/>
    <n v="1423"/>
    <n v="168"/>
    <n v="200"/>
    <n v="71"/>
    <n v="0"/>
    <n v="130"/>
    <d v="1899-12-30T14:30:00"/>
    <s v="Kolkata"/>
    <n v="1"/>
    <m/>
    <n v="1862"/>
    <n v="12.081632653061224"/>
    <s v="High"/>
  </r>
  <r>
    <s v="P10175"/>
    <n v="20250423"/>
    <x v="3"/>
    <x v="6"/>
    <x v="4"/>
    <n v="30910"/>
    <n v="33665"/>
    <n v="2339"/>
    <n v="101"/>
    <n v="209"/>
    <n v="149"/>
    <n v="18182"/>
    <n v="283"/>
    <d v="1899-12-30T17:30:00"/>
    <s v="Madurai"/>
    <n v="1"/>
    <m/>
    <n v="2798"/>
    <n v="11.047176554681915"/>
    <s v="High"/>
  </r>
  <r>
    <s v="P10426"/>
    <n v="20260303"/>
    <x v="2"/>
    <x v="0"/>
    <x v="3"/>
    <n v="18524"/>
    <n v="27524"/>
    <n v="1147"/>
    <n v="121"/>
    <n v="219"/>
    <n v="146"/>
    <n v="14182"/>
    <n v="261"/>
    <d v="1899-12-30T19:30:00"/>
    <s v="Bengaluru"/>
    <n v="1"/>
    <m/>
    <n v="1633"/>
    <n v="11.343539497856705"/>
    <s v="High"/>
  </r>
  <r>
    <s v="P10481"/>
    <n v="20250922"/>
    <x v="0"/>
    <x v="1"/>
    <x v="0"/>
    <n v="11486"/>
    <n v="15952"/>
    <n v="811"/>
    <n v="66"/>
    <n v="148"/>
    <n v="116"/>
    <n v="0"/>
    <n v="112"/>
    <d v="1899-12-30T21:00:00"/>
    <s v="Pune"/>
    <n v="1"/>
    <m/>
    <n v="1141"/>
    <n v="10.06660823838738"/>
    <s v="High"/>
  </r>
  <r>
    <s v="P11885"/>
    <n v="20260113"/>
    <x v="0"/>
    <x v="3"/>
    <x v="4"/>
    <n v="31373"/>
    <n v="40323"/>
    <n v="1160"/>
    <n v="29"/>
    <n v="180"/>
    <n v="148"/>
    <n v="27089"/>
    <n v="122"/>
    <d v="1899-12-30T22:45:00"/>
    <s v="Chennai"/>
    <n v="1"/>
    <m/>
    <n v="1517"/>
    <n v="20.68094924192485"/>
    <s v="High"/>
  </r>
  <r>
    <s v="P11667"/>
    <n v="20260519"/>
    <x v="4"/>
    <x v="6"/>
    <x v="0"/>
    <n v="39335"/>
    <n v="53457"/>
    <n v="1613"/>
    <n v="181"/>
    <n v="280"/>
    <n v="252"/>
    <n v="0"/>
    <n v="485"/>
    <d v="1899-12-30T16:00:00"/>
    <s v="Delhi"/>
    <n v="1"/>
    <m/>
    <n v="2326"/>
    <n v="16.911006018916595"/>
    <s v="High"/>
  </r>
  <r>
    <s v="P10825"/>
    <n v="20260519"/>
    <x v="3"/>
    <x v="4"/>
    <x v="3"/>
    <n v="16907"/>
    <n v="17975"/>
    <n v="603"/>
    <n v="57"/>
    <n v="120"/>
    <n v="47"/>
    <n v="14593"/>
    <n v="184"/>
    <d v="1899-12-30T22:45:00"/>
    <s v="Kochi"/>
    <n v="1"/>
    <m/>
    <n v="827"/>
    <n v="20.443772672309553"/>
    <s v="High"/>
  </r>
  <r>
    <s v="P10128"/>
    <n v="20260211"/>
    <x v="4"/>
    <x v="6"/>
    <x v="3"/>
    <n v="36373"/>
    <n v="44431"/>
    <n v="3162"/>
    <n v="215"/>
    <n v="509"/>
    <n v="433"/>
    <n v="24324"/>
    <n v="549"/>
    <d v="1899-12-30T22:15:00"/>
    <s v="Kolkata"/>
    <n v="1"/>
    <m/>
    <n v="4319"/>
    <n v="8.421625376244501"/>
    <s v="Medium"/>
  </r>
  <r>
    <s v="P11338"/>
    <n v="20260505"/>
    <x v="3"/>
    <x v="2"/>
    <x v="3"/>
    <n v="22637"/>
    <n v="30842"/>
    <n v="852"/>
    <n v="82"/>
    <n v="37"/>
    <n v="87"/>
    <n v="11635"/>
    <n v="382"/>
    <d v="1899-12-30T09:45:00"/>
    <s v="Coimbatore"/>
    <n v="1"/>
    <m/>
    <n v="1058"/>
    <n v="21.39603024574669"/>
    <s v="High"/>
  </r>
  <r>
    <s v="P10042"/>
    <n v="20250616"/>
    <x v="3"/>
    <x v="0"/>
    <x v="5"/>
    <n v="15013"/>
    <n v="20606"/>
    <n v="1222"/>
    <n v="105"/>
    <n v="43"/>
    <n v="154"/>
    <n v="0"/>
    <n v="155"/>
    <d v="1899-12-30T11:45:00"/>
    <m/>
    <n v="1"/>
    <m/>
    <n v="1524"/>
    <n v="9.8510498687664043"/>
    <s v="Medium"/>
  </r>
  <r>
    <s v="P11576"/>
    <n v="20250811"/>
    <x v="2"/>
    <x v="5"/>
    <x v="4"/>
    <n v="25104"/>
    <n v="29472"/>
    <n v="945"/>
    <n v="95"/>
    <n v="44"/>
    <n v="145"/>
    <n v="15005"/>
    <n v="62"/>
    <d v="1899-12-30T22:45:00"/>
    <s v="Chennai"/>
    <n v="1"/>
    <m/>
    <n v="1229"/>
    <n v="20.426362896663953"/>
    <s v="High"/>
  </r>
  <r>
    <s v="P11524"/>
    <n v="20260605"/>
    <x v="0"/>
    <x v="3"/>
    <x v="4"/>
    <n v="53325"/>
    <n v="77205"/>
    <n v="2824"/>
    <n v="190"/>
    <n v="510"/>
    <n v="186"/>
    <n v="35914"/>
    <n v="381"/>
    <d v="1899-12-30T22:45:00"/>
    <s v="Coimbatore"/>
    <n v="1"/>
    <m/>
    <n v="3710"/>
    <n v="14.373315363881401"/>
    <s v="High"/>
  </r>
  <r>
    <s v="P11293"/>
    <n v="20260731"/>
    <x v="0"/>
    <x v="1"/>
    <x v="2"/>
    <n v="23767"/>
    <n v="30745"/>
    <n v="1935"/>
    <n v="157"/>
    <n v="65"/>
    <n v="102"/>
    <n v="15636"/>
    <n v="70"/>
    <d v="1899-12-30T10:45:00"/>
    <s v="Coimbatore"/>
    <n v="1"/>
    <m/>
    <n v="2259"/>
    <n v="10.521027003098716"/>
    <s v="High"/>
  </r>
  <r>
    <s v="P10255"/>
    <n v="20251204"/>
    <x v="1"/>
    <x v="0"/>
    <x v="2"/>
    <n v="6906"/>
    <n v="7889"/>
    <n v="411"/>
    <n v="30"/>
    <n v="58"/>
    <n v="64"/>
    <n v="3947"/>
    <n v="30"/>
    <d v="1899-12-30T15:45:00"/>
    <s v="Kolkata"/>
    <n v="1"/>
    <m/>
    <n v="563"/>
    <n v="12.266429840142095"/>
    <s v="High"/>
  </r>
  <r>
    <s v="P11321"/>
    <n v="20251106"/>
    <x v="4"/>
    <x v="4"/>
    <x v="5"/>
    <n v="46659"/>
    <n v="55046"/>
    <n v="4348"/>
    <n v="414"/>
    <n v="585"/>
    <n v="352"/>
    <n v="0"/>
    <n v="776"/>
    <d v="1899-12-30T08:15:00"/>
    <s v="Hyderabad"/>
    <n v="1"/>
    <m/>
    <n v="5699"/>
    <n v="8.1872258290928226"/>
    <s v="Medium"/>
  </r>
  <r>
    <s v="P10711"/>
    <n v="20260926"/>
    <x v="0"/>
    <x v="2"/>
    <x v="4"/>
    <n v="14720"/>
    <n v="23989"/>
    <n v="1507"/>
    <n v="48"/>
    <n v="93"/>
    <n v="228"/>
    <n v="13046"/>
    <n v="136"/>
    <d v="1899-12-30T15:30:00"/>
    <s v="Kolkata"/>
    <n v="1"/>
    <m/>
    <n v="1876"/>
    <n v="7.8464818763326223"/>
    <s v="Medium"/>
  </r>
  <r>
    <s v="P11796"/>
    <n v="20251231"/>
    <x v="3"/>
    <x v="0"/>
    <x v="4"/>
    <n v="66908"/>
    <n v="70941"/>
    <n v="3153"/>
    <n v="333"/>
    <n v="589"/>
    <n v="497"/>
    <n v="37076"/>
    <n v="950"/>
    <d v="1899-12-30T19:15:00"/>
    <s v="Kolkata"/>
    <n v="1"/>
    <m/>
    <n v="4572"/>
    <n v="14.63429571303587"/>
    <s v="High"/>
  </r>
  <r>
    <s v="P10907"/>
    <n v="20260802"/>
    <x v="3"/>
    <x v="0"/>
    <x v="3"/>
    <n v="50411"/>
    <n v="62353"/>
    <n v="4113"/>
    <n v="325"/>
    <n v="815"/>
    <n v="350"/>
    <n v="43516"/>
    <n v="418"/>
    <d v="1899-12-30T20:00:00"/>
    <s v="Mumbai"/>
    <n v="1"/>
    <m/>
    <n v="5603"/>
    <n v="8.9971443869355703"/>
    <s v="Medium"/>
  </r>
  <r>
    <s v="P10935"/>
    <n v="20250115"/>
    <x v="3"/>
    <x v="0"/>
    <x v="3"/>
    <n v="23601"/>
    <n v="32562"/>
    <n v="1800"/>
    <n v="189"/>
    <n v="79"/>
    <n v="147"/>
    <n v="14469"/>
    <n v="42"/>
    <d v="1899-12-30T20:00:00"/>
    <s v="Delhi"/>
    <n v="1"/>
    <m/>
    <n v="2215"/>
    <n v="10.655079006772009"/>
    <s v="High"/>
  </r>
  <r>
    <s v="P11896"/>
    <n v="20260904"/>
    <x v="0"/>
    <x v="5"/>
    <x v="4"/>
    <n v="27063"/>
    <n v="34417"/>
    <n v="1998"/>
    <n v="245"/>
    <n v="88"/>
    <n v="141"/>
    <n v="22581"/>
    <n v="195"/>
    <d v="1899-12-30T13:30:00"/>
    <s v="Mumbai"/>
    <n v="1"/>
    <m/>
    <n v="2472"/>
    <n v="10.947815533980583"/>
    <s v="High"/>
  </r>
  <r>
    <s v="P11174"/>
    <n v="20251016"/>
    <x v="0"/>
    <x v="6"/>
    <x v="0"/>
    <n v="21905"/>
    <n v="28214"/>
    <n v="1282"/>
    <n v="43"/>
    <n v="154"/>
    <n v="192"/>
    <n v="0"/>
    <n v="111"/>
    <d v="1899-12-30T07:45:00"/>
    <s v="Bengaluru"/>
    <n v="1"/>
    <m/>
    <n v="1671"/>
    <n v="13.108916816277677"/>
    <s v="High"/>
  </r>
  <r>
    <s v="P10519"/>
    <n v="20260128"/>
    <x v="3"/>
    <x v="1"/>
    <x v="0"/>
    <n v="33818"/>
    <n v="47103"/>
    <n v="909"/>
    <n v="121"/>
    <n v="70"/>
    <n v="122"/>
    <n v="0"/>
    <n v="116"/>
    <d v="1899-12-30T16:45:00"/>
    <s v="Madurai"/>
    <n v="1"/>
    <m/>
    <n v="1222"/>
    <n v="27.674304418985269"/>
    <s v="High"/>
  </r>
  <r>
    <s v="P10572"/>
    <n v="20250817"/>
    <x v="3"/>
    <x v="3"/>
    <x v="3"/>
    <n v="14778"/>
    <n v="23855"/>
    <n v="675"/>
    <n v="42"/>
    <n v="37"/>
    <n v="28"/>
    <n v="8368"/>
    <n v="159"/>
    <d v="1899-12-30T20:30:00"/>
    <s v="Madurai"/>
    <n v="1"/>
    <m/>
    <n v="782"/>
    <n v="18.897698209718669"/>
    <s v="High"/>
  </r>
  <r>
    <s v="P10095"/>
    <n v="20260127"/>
    <x v="4"/>
    <x v="1"/>
    <x v="4"/>
    <n v="36658"/>
    <n v="57421"/>
    <n v="2128"/>
    <n v="196"/>
    <n v="346"/>
    <n v="44"/>
    <n v="24270"/>
    <n v="159"/>
    <d v="1899-12-30T18:00:00"/>
    <s v="Chennai"/>
    <n v="1"/>
    <m/>
    <n v="2714"/>
    <n v="13.507000736919675"/>
    <s v="High"/>
  </r>
  <r>
    <s v="P10066"/>
    <n v="20260422"/>
    <x v="2"/>
    <x v="5"/>
    <x v="0"/>
    <n v="9802"/>
    <n v="11299"/>
    <n v="351"/>
    <n v="41"/>
    <n v="56"/>
    <n v="28"/>
    <n v="0"/>
    <n v="69"/>
    <d v="1899-12-30T12:15:00"/>
    <s v="Bengaluru"/>
    <n v="1"/>
    <m/>
    <n v="476"/>
    <n v="20.592436974789916"/>
    <s v="High"/>
  </r>
  <r>
    <s v="P10383"/>
    <n v="20250825"/>
    <x v="4"/>
    <x v="1"/>
    <x v="4"/>
    <n v="44943"/>
    <n v="58814"/>
    <n v="1319"/>
    <n v="104"/>
    <n v="157"/>
    <n v="168"/>
    <n v="24181"/>
    <n v="139"/>
    <d v="1899-12-30T18:30:00"/>
    <s v="Mumbai"/>
    <n v="1"/>
    <m/>
    <n v="1748"/>
    <n v="25.711098398169337"/>
    <s v="High"/>
  </r>
  <r>
    <s v="P10129"/>
    <n v="20250819"/>
    <x v="0"/>
    <x v="0"/>
    <x v="3"/>
    <n v="69183"/>
    <n v="87864"/>
    <n v="7727"/>
    <n v="520"/>
    <n v="1413"/>
    <n v="1051"/>
    <n v="36264"/>
    <n v="988"/>
    <d v="1899-12-30T19:45:00"/>
    <s v="Chennai"/>
    <n v="1"/>
    <m/>
    <n v="10711"/>
    <n v="6.4590607786387828"/>
    <s v="Medium"/>
  </r>
  <r>
    <s v="P10534"/>
    <n v="20251028"/>
    <x v="4"/>
    <x v="6"/>
    <x v="0"/>
    <n v="24792"/>
    <n v="31748"/>
    <n v="1413"/>
    <n v="135"/>
    <n v="44"/>
    <n v="185"/>
    <n v="0"/>
    <n v="293"/>
    <d v="1899-12-30T09:00:00"/>
    <s v="Kochi"/>
    <n v="1"/>
    <m/>
    <n v="1777"/>
    <n v="13.95160382667417"/>
    <s v="High"/>
  </r>
  <r>
    <s v="P10440"/>
    <n v="20260514"/>
    <x v="4"/>
    <x v="6"/>
    <x v="4"/>
    <n v="99995"/>
    <n v="142952"/>
    <n v="10191"/>
    <n v="1073"/>
    <n v="1193"/>
    <n v="524"/>
    <n v="45808"/>
    <n v="208"/>
    <d v="1899-12-30T14:30:00"/>
    <s v="Hyderabad"/>
    <n v="1"/>
    <m/>
    <n v="12981"/>
    <n v="7.7031815730683304"/>
    <s v="Medium"/>
  </r>
  <r>
    <s v="P10043"/>
    <n v="20251001"/>
    <x v="4"/>
    <x v="4"/>
    <x v="1"/>
    <n v="10811"/>
    <n v="14542"/>
    <n v="339"/>
    <n v="45"/>
    <n v="25"/>
    <n v="52"/>
    <n v="0"/>
    <n v="185"/>
    <d v="1899-12-30T17:00:00"/>
    <s v="Coimbatore"/>
    <n v="1"/>
    <m/>
    <n v="461"/>
    <n v="23.451193058568329"/>
    <s v="High"/>
  </r>
  <r>
    <s v="P10812"/>
    <n v="20250831"/>
    <x v="2"/>
    <x v="3"/>
    <x v="5"/>
    <n v="13170"/>
    <n v="15823"/>
    <n v="865"/>
    <n v="82"/>
    <n v="58"/>
    <n v="24"/>
    <n v="0"/>
    <n v="57"/>
    <d v="1899-12-30T20:15:00"/>
    <s v="Chennai"/>
    <n v="1"/>
    <m/>
    <n v="1029"/>
    <n v="12.798833819241983"/>
    <s v="High"/>
  </r>
  <r>
    <s v="P10598"/>
    <n v="20250627"/>
    <x v="1"/>
    <x v="5"/>
    <x v="4"/>
    <n v="27368"/>
    <n v="38022"/>
    <n v="1287"/>
    <n v="105"/>
    <n v="143"/>
    <n v="197"/>
    <n v="9607"/>
    <n v="216"/>
    <d v="1899-12-30T11:30:00"/>
    <s v="Madurai"/>
    <n v="1"/>
    <m/>
    <n v="1732"/>
    <n v="15.801385681293302"/>
    <s v="High"/>
  </r>
  <r>
    <s v="P11462"/>
    <n v="20250129"/>
    <x v="0"/>
    <x v="2"/>
    <x v="2"/>
    <n v="26446"/>
    <n v="34988"/>
    <n v="2861"/>
    <n v="354"/>
    <n v="127"/>
    <n v="322"/>
    <n v="15116"/>
    <n v="382"/>
    <d v="1899-12-30T12:45:00"/>
    <s v="Hyderabad"/>
    <n v="1"/>
    <m/>
    <n v="3664"/>
    <n v="7.2177947598253276"/>
    <s v="Medium"/>
  </r>
  <r>
    <s v="P10799"/>
    <n v="20260112"/>
    <x v="0"/>
    <x v="0"/>
    <x v="0"/>
    <n v="49151"/>
    <n v="77709"/>
    <n v="4526"/>
    <n v="497"/>
    <n v="653"/>
    <n v="676"/>
    <n v="0"/>
    <n v="840"/>
    <d v="1899-12-30T15:45:00"/>
    <s v="Bengaluru"/>
    <n v="1"/>
    <m/>
    <n v="6352"/>
    <n v="7.7378778337531484"/>
    <s v="Medium"/>
  </r>
  <r>
    <s v="P10104"/>
    <n v="20250720"/>
    <x v="0"/>
    <x v="1"/>
    <x v="3"/>
    <n v="74057"/>
    <n v="103275"/>
    <n v="8484"/>
    <n v="243"/>
    <n v="1199"/>
    <n v="713"/>
    <n v="38259"/>
    <n v="809"/>
    <d v="1899-12-30T15:30:00"/>
    <s v="Coimbatore"/>
    <n v="1"/>
    <m/>
    <n v="10639"/>
    <n v="6.9608985806936738"/>
    <s v="Medium"/>
  </r>
  <r>
    <s v="P10506"/>
    <n v="20250612"/>
    <x v="0"/>
    <x v="6"/>
    <x v="4"/>
    <n v="65081"/>
    <n v="72838"/>
    <n v="4949"/>
    <n v="494"/>
    <n v="970"/>
    <n v="436"/>
    <n v="30315"/>
    <n v="337"/>
    <d v="1899-12-30T15:45:00"/>
    <s v="Pune"/>
    <n v="1"/>
    <m/>
    <n v="6849"/>
    <n v="9.5022631041027878"/>
    <s v="Medium"/>
  </r>
  <r>
    <s v="P11520"/>
    <n v="20250725"/>
    <x v="4"/>
    <x v="7"/>
    <x v="1"/>
    <n v="15535"/>
    <n v="24195"/>
    <n v="1047"/>
    <n v="53"/>
    <n v="94"/>
    <n v="76"/>
    <n v="0"/>
    <n v="72"/>
    <d v="1899-12-30T16:00:00"/>
    <s v="Chennai"/>
    <n v="1"/>
    <m/>
    <n v="1270"/>
    <n v="12.23228346456693"/>
    <s v="High"/>
  </r>
  <r>
    <s v="P11016"/>
    <n v="20250325"/>
    <x v="0"/>
    <x v="4"/>
    <x v="3"/>
    <n v="28418"/>
    <n v="45917"/>
    <n v="3036"/>
    <n v="268"/>
    <n v="552"/>
    <n v="394"/>
    <n v="12829"/>
    <n v="30"/>
    <d v="1899-12-30T07:45:00"/>
    <s v="Kolkata"/>
    <n v="1"/>
    <m/>
    <n v="4250"/>
    <n v="6.6865882352941179"/>
    <s v="Medium"/>
  </r>
  <r>
    <s v="P11916"/>
    <n v="20260524"/>
    <x v="1"/>
    <x v="6"/>
    <x v="4"/>
    <n v="19241"/>
    <n v="24499"/>
    <n v="1626"/>
    <n v="180"/>
    <n v="223"/>
    <n v="65"/>
    <n v="17023"/>
    <n v="149"/>
    <d v="1899-12-30T07:30:00"/>
    <s v="Madurai"/>
    <n v="1"/>
    <m/>
    <n v="2094"/>
    <n v="9.188634192932188"/>
    <s v="Medium"/>
  </r>
  <r>
    <s v="P11040"/>
    <n v="20260813"/>
    <x v="4"/>
    <x v="4"/>
    <x v="2"/>
    <n v="15849"/>
    <n v="17830"/>
    <n v="445"/>
    <n v="42"/>
    <n v="46"/>
    <n v="26"/>
    <n v="7243"/>
    <n v="252"/>
    <d v="1899-12-30T10:45:00"/>
    <s v="Hyderabad"/>
    <n v="1"/>
    <m/>
    <n v="559"/>
    <n v="28.352415026833633"/>
    <s v="High"/>
  </r>
  <r>
    <s v="P10013"/>
    <n v="20250329"/>
    <x v="2"/>
    <x v="1"/>
    <x v="4"/>
    <n v="18085"/>
    <n v="23482"/>
    <n v="1308"/>
    <n v="94"/>
    <n v="70"/>
    <n v="77"/>
    <n v="11940"/>
    <n v="224"/>
    <d v="1899-12-30T09:00:00"/>
    <s v="Coimbatore"/>
    <n v="1"/>
    <m/>
    <n v="1549"/>
    <n v="11.675274370561652"/>
    <s v="High"/>
  </r>
  <r>
    <s v="P11313"/>
    <n v="20250111"/>
    <x v="4"/>
    <x v="0"/>
    <x v="0"/>
    <n v="41648"/>
    <n v="47256"/>
    <n v="4851"/>
    <n v="165"/>
    <n v="557"/>
    <n v="494"/>
    <n v="0"/>
    <n v="617"/>
    <d v="1899-12-30T18:00:00"/>
    <s v="Delhi"/>
    <n v="1"/>
    <m/>
    <n v="6067"/>
    <n v="6.8646777649579693"/>
    <s v="Medium"/>
  </r>
  <r>
    <s v="P11613"/>
    <n v="20260703"/>
    <x v="4"/>
    <x v="6"/>
    <x v="5"/>
    <n v="36860"/>
    <n v="51020"/>
    <n v="3541"/>
    <n v="399"/>
    <n v="366"/>
    <n v="285"/>
    <n v="0"/>
    <n v="187"/>
    <d v="1899-12-30T19:30:00"/>
    <s v="Bengaluru"/>
    <n v="1"/>
    <m/>
    <n v="4591"/>
    <n v="8.0287519059028529"/>
    <s v="Medium"/>
  </r>
  <r>
    <s v="P10993"/>
    <n v="20260729"/>
    <x v="1"/>
    <x v="3"/>
    <x v="2"/>
    <n v="9842"/>
    <n v="13846"/>
    <n v="852"/>
    <n v="75"/>
    <n v="57"/>
    <n v="47"/>
    <n v="8847"/>
    <n v="64"/>
    <d v="1899-12-30T19:00:00"/>
    <s v="Mumbai"/>
    <n v="1"/>
    <m/>
    <n v="1031"/>
    <n v="9.5460717749757524"/>
    <s v="Medium"/>
  </r>
  <r>
    <s v="P10076"/>
    <n v="20251023"/>
    <x v="0"/>
    <x v="5"/>
    <x v="2"/>
    <n v="35055"/>
    <n v="53523"/>
    <n v="1121"/>
    <n v="101"/>
    <n v="100"/>
    <n v="159"/>
    <n v="15208"/>
    <n v="128"/>
    <d v="1899-12-30T10:30:00"/>
    <s v="Chennai"/>
    <n v="1"/>
    <m/>
    <n v="1481"/>
    <n v="23.669817690749493"/>
    <s v="High"/>
  </r>
  <r>
    <s v="P10357"/>
    <n v="20250105"/>
    <x v="4"/>
    <x v="1"/>
    <x v="0"/>
    <n v="25792"/>
    <n v="35503"/>
    <n v="952"/>
    <n v="92"/>
    <n v="77"/>
    <n v="96"/>
    <n v="0"/>
    <n v="426"/>
    <d v="1899-12-30T19:15:00"/>
    <s v="Kolkata"/>
    <n v="1"/>
    <m/>
    <n v="1217"/>
    <n v="21.193097781429746"/>
    <s v="High"/>
  </r>
  <r>
    <s v="P11697"/>
    <n v="20250501"/>
    <x v="0"/>
    <x v="1"/>
    <x v="4"/>
    <n v="63778"/>
    <n v="77760"/>
    <n v="1975"/>
    <n v="244"/>
    <n v="386"/>
    <n v="244"/>
    <n v="56333"/>
    <n v="478"/>
    <d v="1899-12-30T13:15:00"/>
    <s v="Kolkata"/>
    <n v="1"/>
    <m/>
    <n v="2849"/>
    <n v="22.386100386100384"/>
    <s v="High"/>
  </r>
  <r>
    <s v="P10202"/>
    <n v="20260901"/>
    <x v="1"/>
    <x v="5"/>
    <x v="4"/>
    <n v="22760"/>
    <n v="37481"/>
    <n v="2640"/>
    <n v="157"/>
    <n v="112"/>
    <n v="276"/>
    <m/>
    <n v="123"/>
    <d v="1899-12-30T17:45:00"/>
    <s v="Mumbai"/>
    <n v="1"/>
    <m/>
    <n v="3185"/>
    <n v="7.1459968602825743"/>
    <s v="Medium"/>
  </r>
  <r>
    <s v="P11265"/>
    <n v="20250610"/>
    <x v="0"/>
    <x v="5"/>
    <x v="4"/>
    <n v="54329"/>
    <n v="85225"/>
    <n v="1796"/>
    <n v="130"/>
    <n v="323"/>
    <n v="181"/>
    <n v="30966"/>
    <n v="425"/>
    <d v="1899-12-30T16:00:00"/>
    <s v="Coimbatore"/>
    <n v="1"/>
    <m/>
    <n v="2430"/>
    <n v="22.357613168724281"/>
    <s v="High"/>
  </r>
  <r>
    <s v="P11164"/>
    <n v="20250423"/>
    <x v="0"/>
    <x v="0"/>
    <x v="5"/>
    <n v="16531"/>
    <n v="26275"/>
    <n v="1330"/>
    <n v="38"/>
    <n v="109"/>
    <n v="157"/>
    <n v="0"/>
    <n v="273"/>
    <d v="1899-12-30T22:30:00"/>
    <s v="Kochi"/>
    <n v="1"/>
    <m/>
    <n v="1634"/>
    <n v="10.116891064871481"/>
    <s v="High"/>
  </r>
  <r>
    <s v="P11797"/>
    <n v="20251127"/>
    <x v="1"/>
    <x v="4"/>
    <x v="0"/>
    <n v="6960"/>
    <n v="8530"/>
    <n v="448"/>
    <n v="31"/>
    <n v="64"/>
    <n v="13"/>
    <n v="0"/>
    <n v="46"/>
    <d v="1899-12-30T14:45:00"/>
    <s v="Kochi"/>
    <n v="1"/>
    <m/>
    <n v="556"/>
    <n v="12.517985611510792"/>
    <s v="High"/>
  </r>
  <r>
    <s v="P10659"/>
    <n v="20250925"/>
    <x v="0"/>
    <x v="6"/>
    <x v="1"/>
    <n v="28609"/>
    <n v="33616"/>
    <n v="3354"/>
    <n v="229"/>
    <n v="504"/>
    <n v="149"/>
    <n v="0"/>
    <n v="324"/>
    <d v="1899-12-30T20:15:00"/>
    <s v="Kolkata"/>
    <n v="1"/>
    <m/>
    <n v="4236"/>
    <n v="6.7537771482530689"/>
    <s v="Medium"/>
  </r>
  <r>
    <s v="P10833"/>
    <n v="20251027"/>
    <x v="2"/>
    <x v="2"/>
    <x v="5"/>
    <n v="9363"/>
    <n v="13617"/>
    <n v="1034"/>
    <n v="50"/>
    <n v="86"/>
    <n v="51"/>
    <n v="0"/>
    <n v="58"/>
    <d v="1899-12-30T16:30:00"/>
    <s v="Kolkata"/>
    <n v="1"/>
    <m/>
    <n v="1221"/>
    <n v="7.6683046683046685"/>
    <s v="Medium"/>
  </r>
  <r>
    <s v="P10238"/>
    <n v="20260208"/>
    <x v="0"/>
    <x v="0"/>
    <x v="3"/>
    <n v="78955"/>
    <n v="126097"/>
    <n v="7143"/>
    <n v="749"/>
    <n v="952"/>
    <n v="482"/>
    <n v="30726"/>
    <n v="417"/>
    <d v="1899-12-30T17:45:00"/>
    <s v="Bengaluru"/>
    <n v="1"/>
    <m/>
    <n v="9326"/>
    <n v="8.4661162341840015"/>
    <s v="Medium"/>
  </r>
  <r>
    <s v="P11034"/>
    <n v="20260422"/>
    <x v="4"/>
    <x v="4"/>
    <x v="0"/>
    <n v="86055"/>
    <n v="140938"/>
    <n v="3926"/>
    <n v="274"/>
    <n v="351"/>
    <n v="185"/>
    <n v="0"/>
    <n v="1333"/>
    <d v="1899-12-30T10:00:00"/>
    <s v="Madurai"/>
    <n v="1"/>
    <m/>
    <n v="4736"/>
    <n v="18.17039695945946"/>
    <s v="High"/>
  </r>
  <r>
    <s v="P11663"/>
    <n v="20260517"/>
    <x v="1"/>
    <x v="3"/>
    <x v="2"/>
    <n v="10700"/>
    <n v="16157"/>
    <n v="1029"/>
    <n v="115"/>
    <n v="34"/>
    <n v="105"/>
    <n v="7080"/>
    <n v="59"/>
    <d v="1899-12-30T13:45:00"/>
    <s v="Bengaluru"/>
    <n v="1"/>
    <m/>
    <n v="1283"/>
    <n v="8.339828526890102"/>
    <s v="Medium"/>
  </r>
  <r>
    <s v="P11723"/>
    <n v="20260505"/>
    <x v="0"/>
    <x v="3"/>
    <x v="5"/>
    <n v="33212"/>
    <n v="49192"/>
    <n v="3619"/>
    <n v="107"/>
    <n v="186"/>
    <n v="373"/>
    <n v="0"/>
    <n v="222"/>
    <d v="1899-12-30T15:30:00"/>
    <s v="Coimbatore"/>
    <n v="1"/>
    <m/>
    <n v="4285"/>
    <n v="7.7507584597432908"/>
    <s v="Medium"/>
  </r>
  <r>
    <s v="P11440"/>
    <n v="20250810"/>
    <x v="0"/>
    <x v="5"/>
    <x v="4"/>
    <n v="59584"/>
    <n v="86744"/>
    <n v="2451"/>
    <n v="155"/>
    <n v="294"/>
    <n v="215"/>
    <n v="31894"/>
    <n v="256"/>
    <d v="1899-12-30T08:15:00"/>
    <s v="Bengaluru"/>
    <n v="1"/>
    <m/>
    <n v="3115"/>
    <n v="19.128089887640449"/>
    <s v="High"/>
  </r>
  <r>
    <s v="P10551"/>
    <n v="20260421"/>
    <x v="2"/>
    <x v="3"/>
    <x v="2"/>
    <n v="5186"/>
    <n v="7906"/>
    <n v="437"/>
    <n v="42"/>
    <n v="80"/>
    <n v="25"/>
    <n v="2396"/>
    <n v="71"/>
    <d v="1899-12-30T18:45:00"/>
    <s v="Hyderabad"/>
    <n v="1"/>
    <m/>
    <n v="584"/>
    <n v="8.8801369863013697"/>
    <s v="Medium"/>
  </r>
  <r>
    <s v="P11336"/>
    <n v="20250120"/>
    <x v="2"/>
    <x v="1"/>
    <x v="4"/>
    <n v="13756"/>
    <n v="16296"/>
    <n v="924"/>
    <n v="111"/>
    <n v="130"/>
    <n v="34"/>
    <n v="11262"/>
    <n v="185"/>
    <d v="1899-12-30T21:00:00"/>
    <s v="Bengaluru"/>
    <n v="1"/>
    <m/>
    <n v="1199"/>
    <n v="11.472894078398665"/>
    <s v="High"/>
  </r>
  <r>
    <s v="P10556"/>
    <n v="20251214"/>
    <x v="2"/>
    <x v="4"/>
    <x v="5"/>
    <n v="10552"/>
    <n v="16607"/>
    <n v="837"/>
    <n v="51"/>
    <n v="149"/>
    <n v="77"/>
    <n v="0"/>
    <n v="104"/>
    <d v="1899-12-30T19:45:00"/>
    <s v="Madurai"/>
    <n v="1"/>
    <m/>
    <n v="1114"/>
    <n v="9.4721723518850993"/>
    <s v="Medium"/>
  </r>
  <r>
    <s v="P10892"/>
    <n v="20251022"/>
    <x v="1"/>
    <x v="1"/>
    <x v="5"/>
    <n v="12305"/>
    <n v="15793"/>
    <n v="321"/>
    <n v="25"/>
    <n v="24"/>
    <n v="7"/>
    <n v="0"/>
    <n v="214"/>
    <d v="1899-12-30T13:15:00"/>
    <s v="Madurai"/>
    <n v="1"/>
    <m/>
    <n v="377"/>
    <n v="32.639257294429711"/>
    <s v="High"/>
  </r>
  <r>
    <s v="P10624"/>
    <n v="20250304"/>
    <x v="3"/>
    <x v="5"/>
    <x v="5"/>
    <n v="24824"/>
    <n v="29101"/>
    <n v="717"/>
    <n v="63"/>
    <n v="142"/>
    <n v="74"/>
    <n v="0"/>
    <n v="339"/>
    <d v="1899-12-30T18:15:00"/>
    <s v="Delhi"/>
    <n v="1"/>
    <m/>
    <n v="996"/>
    <n v="24.923694779116467"/>
    <s v="High"/>
  </r>
  <r>
    <s v="P10902"/>
    <n v="20260518"/>
    <x v="0"/>
    <x v="5"/>
    <x v="4"/>
    <n v="20379"/>
    <n v="27441"/>
    <n v="1402"/>
    <n v="66"/>
    <n v="185"/>
    <n v="116"/>
    <n v="7805"/>
    <n v="364"/>
    <d v="1899-12-30T13:30:00"/>
    <s v="Bengaluru"/>
    <n v="1"/>
    <m/>
    <n v="1769"/>
    <n v="11.520067834934991"/>
    <s v="High"/>
  </r>
  <r>
    <s v="P11014"/>
    <n v="20260414"/>
    <x v="3"/>
    <x v="3"/>
    <x v="1"/>
    <n v="12231"/>
    <n v="15689"/>
    <n v="728"/>
    <n v="61"/>
    <n v="21"/>
    <n v="81"/>
    <n v="0"/>
    <n v="17"/>
    <d v="1899-12-30T12:15:00"/>
    <s v="Chennai"/>
    <n v="1"/>
    <m/>
    <n v="891"/>
    <n v="13.727272727272727"/>
    <s v="High"/>
  </r>
  <r>
    <s v="P11964"/>
    <n v="20260318"/>
    <x v="1"/>
    <x v="4"/>
    <x v="0"/>
    <n v="7749"/>
    <n v="10634"/>
    <n v="344"/>
    <n v="40"/>
    <n v="29"/>
    <n v="47"/>
    <n v="0"/>
    <n v="133"/>
    <d v="1899-12-30T15:45:00"/>
    <s v="Pune"/>
    <n v="1"/>
    <m/>
    <n v="460"/>
    <n v="16.845652173913045"/>
    <s v="High"/>
  </r>
  <r>
    <s v="P10466"/>
    <n v="20260609"/>
    <x v="0"/>
    <x v="4"/>
    <x v="0"/>
    <n v="15751"/>
    <n v="17839"/>
    <n v="1765"/>
    <n v="163"/>
    <n v="122"/>
    <n v="57"/>
    <n v="0"/>
    <n v="92"/>
    <d v="1899-12-30T13:00:00"/>
    <s v="Delhi"/>
    <n v="1"/>
    <m/>
    <n v="2107"/>
    <n v="7.4755576649264359"/>
    <s v="Medium"/>
  </r>
  <r>
    <s v="P11764"/>
    <n v="20251030"/>
    <x v="4"/>
    <x v="0"/>
    <x v="4"/>
    <n v="93606"/>
    <n v="141284"/>
    <n v="8855"/>
    <n v="1104"/>
    <n v="350"/>
    <n v="925"/>
    <n v="60111"/>
    <n v="298"/>
    <d v="1899-12-30T17:00:00"/>
    <s v="Kolkata"/>
    <n v="1"/>
    <m/>
    <n v="11234"/>
    <n v="8.3323838347872528"/>
    <s v="Medium"/>
  </r>
  <r>
    <s v="P10351"/>
    <n v="20260320"/>
    <x v="0"/>
    <x v="4"/>
    <x v="3"/>
    <n v="26922"/>
    <n v="32532"/>
    <n v="1775"/>
    <n v="193"/>
    <n v="68"/>
    <n v="79"/>
    <n v="20784"/>
    <n v="64"/>
    <d v="1899-12-30T11:00:00"/>
    <s v="Delhi"/>
    <n v="1"/>
    <m/>
    <n v="2115"/>
    <n v="12.729078014184397"/>
    <s v="High"/>
  </r>
  <r>
    <s v="P10285"/>
    <n v="20260701"/>
    <x v="3"/>
    <x v="4"/>
    <x v="0"/>
    <n v="13492"/>
    <n v="22064"/>
    <n v="435"/>
    <n v="32"/>
    <n v="79"/>
    <n v="17"/>
    <n v="0"/>
    <n v="76"/>
    <d v="1899-12-30T11:15:00"/>
    <s v="Bengaluru"/>
    <n v="1"/>
    <m/>
    <n v="563"/>
    <n v="23.964476021314386"/>
    <s v="High"/>
  </r>
  <r>
    <s v="P10267"/>
    <n v="20260405"/>
    <x v="2"/>
    <x v="2"/>
    <x v="3"/>
    <n v="10539"/>
    <n v="11701"/>
    <n v="615"/>
    <n v="74"/>
    <n v="113"/>
    <n v="69"/>
    <n v="7752"/>
    <n v="12"/>
    <d v="1899-12-30T07:45:00"/>
    <s v="Mumbai"/>
    <n v="1"/>
    <m/>
    <n v="871"/>
    <n v="12.099885189437428"/>
    <s v="High"/>
  </r>
  <r>
    <s v="P10858"/>
    <n v="20251125"/>
    <x v="4"/>
    <x v="5"/>
    <x v="4"/>
    <n v="77350"/>
    <n v="105282"/>
    <n v="8353"/>
    <n v="1036"/>
    <n v="1507"/>
    <n v="1320"/>
    <n v="32239"/>
    <n v="1316"/>
    <d v="1899-12-30T08:30:00"/>
    <s v="Mumbai"/>
    <n v="1"/>
    <m/>
    <n v="12216"/>
    <n v="6.3318598559266537"/>
    <s v="Medium"/>
  </r>
  <r>
    <s v="P10871"/>
    <n v="20260701"/>
    <x v="1"/>
    <x v="4"/>
    <x v="2"/>
    <n v="10693"/>
    <n v="11586"/>
    <n v="549"/>
    <n v="27"/>
    <n v="45"/>
    <n v="31"/>
    <n v="4656"/>
    <n v="165"/>
    <d v="1899-12-30T15:00:00"/>
    <s v="Kochi"/>
    <n v="1"/>
    <m/>
    <n v="652"/>
    <n v="16.400306748466257"/>
    <s v="High"/>
  </r>
  <r>
    <s v="P10939"/>
    <n v="20250216"/>
    <x v="0"/>
    <x v="1"/>
    <x v="3"/>
    <n v="55308"/>
    <n v="70157"/>
    <n v="2151"/>
    <n v="287"/>
    <n v="105"/>
    <n v="49"/>
    <n v="47245"/>
    <n v="161"/>
    <d v="1899-12-30T16:00:00"/>
    <s v="Chennai"/>
    <n v="1"/>
    <m/>
    <n v="2592"/>
    <n v="21.337962962962962"/>
    <s v="High"/>
  </r>
  <r>
    <s v="P11701"/>
    <n v="20251101"/>
    <x v="0"/>
    <x v="3"/>
    <x v="3"/>
    <n v="77089"/>
    <n v="82139"/>
    <n v="6118"/>
    <n v="264"/>
    <n v="1098"/>
    <n v="973"/>
    <n v="33013"/>
    <n v="927"/>
    <d v="1899-12-30T08:30:00"/>
    <s v="Madurai"/>
    <n v="1"/>
    <m/>
    <n v="8453"/>
    <n v="9.1197208091801727"/>
    <s v="Medium"/>
  </r>
  <r>
    <s v="P11002"/>
    <n v="20251213"/>
    <x v="4"/>
    <x v="3"/>
    <x v="3"/>
    <n v="49633"/>
    <n v="67835"/>
    <n v="2708"/>
    <n v="276"/>
    <n v="94"/>
    <n v="362"/>
    <n v="19252"/>
    <n v="636"/>
    <d v="1899-12-30T19:45:00"/>
    <s v="Chennai"/>
    <n v="1"/>
    <m/>
    <n v="3440"/>
    <n v="14.428197674418605"/>
    <s v="High"/>
  </r>
  <r>
    <s v="P10274"/>
    <n v="20260717"/>
    <x v="4"/>
    <x v="4"/>
    <x v="0"/>
    <n v="31528"/>
    <n v="36722"/>
    <n v="2502"/>
    <n v="81"/>
    <n v="145"/>
    <n v="329"/>
    <n v="0"/>
    <n v="149"/>
    <d v="1899-12-30T17:15:00"/>
    <s v="Kochi"/>
    <n v="1"/>
    <m/>
    <n v="3057"/>
    <n v="10.313379129865881"/>
    <s v="High"/>
  </r>
  <r>
    <s v="P11954"/>
    <n v="20250916"/>
    <x v="0"/>
    <x v="1"/>
    <x v="3"/>
    <n v="50277"/>
    <n v="73231"/>
    <n v="4832"/>
    <n v="531"/>
    <n v="856"/>
    <n v="147"/>
    <n v="32635"/>
    <n v="71"/>
    <d v="1899-12-30T07:30:00"/>
    <s v="Hyderabad"/>
    <n v="1"/>
    <m/>
    <n v="6366"/>
    <n v="7.8977379830348724"/>
    <s v="Medium"/>
  </r>
  <r>
    <s v="P10055"/>
    <n v="20260304"/>
    <x v="4"/>
    <x v="4"/>
    <x v="2"/>
    <n v="49394"/>
    <n v="80687"/>
    <n v="2727"/>
    <n v="344"/>
    <n v="268"/>
    <n v="417"/>
    <n v="22346"/>
    <n v="727"/>
    <d v="1899-12-30T17:30:00"/>
    <s v="Delhi"/>
    <n v="1"/>
    <m/>
    <n v="3756"/>
    <n v="13.150692225772097"/>
    <s v="High"/>
  </r>
  <r>
    <s v="P11746"/>
    <n v="20250108"/>
    <x v="2"/>
    <x v="2"/>
    <x v="0"/>
    <n v="3427"/>
    <n v="4947"/>
    <n v="311"/>
    <n v="10"/>
    <n v="59"/>
    <n v="29"/>
    <n v="0"/>
    <n v="60"/>
    <d v="1899-12-30T09:15:00"/>
    <s v="Delhi"/>
    <n v="1"/>
    <m/>
    <n v="409"/>
    <n v="8.3789731051344738"/>
    <s v="Medium"/>
  </r>
  <r>
    <s v="P10173"/>
    <n v="20260121"/>
    <x v="3"/>
    <x v="6"/>
    <x v="1"/>
    <n v="12662"/>
    <n v="20293"/>
    <n v="716"/>
    <m/>
    <n v="55"/>
    <n v="56"/>
    <n v="0"/>
    <n v="172"/>
    <d v="1899-12-30T08:45:00"/>
    <s v="Kolkata"/>
    <n v="1"/>
    <m/>
    <n v="827"/>
    <n v="15.310761789600967"/>
    <s v="High"/>
  </r>
  <r>
    <s v="P10718"/>
    <n v="20260209"/>
    <x v="3"/>
    <x v="3"/>
    <x v="5"/>
    <n v="10204"/>
    <n v="15007"/>
    <n v="1020"/>
    <n v="118"/>
    <n v="39"/>
    <n v="109"/>
    <n v="0"/>
    <n v="128"/>
    <d v="1899-12-30T13:45:00"/>
    <s v="Kolkata"/>
    <n v="1"/>
    <m/>
    <n v="1286"/>
    <n v="7.9346811819595642"/>
    <s v="Medium"/>
  </r>
  <r>
    <s v="P11893"/>
    <n v="20260803"/>
    <x v="0"/>
    <x v="0"/>
    <x v="2"/>
    <n v="12004"/>
    <n v="13849"/>
    <n v="631"/>
    <n v="69"/>
    <n v="35"/>
    <n v="25"/>
    <n v="10516"/>
    <n v="165"/>
    <d v="1899-12-30T15:00:00"/>
    <s v="Bengaluru"/>
    <n v="1"/>
    <m/>
    <n v="760"/>
    <n v="15.794736842105262"/>
    <s v="High"/>
  </r>
  <r>
    <s v="P11024"/>
    <n v="20260715"/>
    <x v="0"/>
    <x v="0"/>
    <x v="4"/>
    <n v="10772"/>
    <n v="16589"/>
    <n v="1152"/>
    <n v="127"/>
    <n v="201"/>
    <n v="164"/>
    <n v="5633"/>
    <n v="46"/>
    <d v="1899-12-30T10:15:00"/>
    <s v="Chennai"/>
    <n v="1"/>
    <m/>
    <n v="1644"/>
    <n v="6.552311435523114"/>
    <s v="Medium"/>
  </r>
  <r>
    <s v="P10541"/>
    <n v="20250616"/>
    <x v="0"/>
    <x v="6"/>
    <x v="1"/>
    <n v="22876"/>
    <n v="26733"/>
    <n v="2688"/>
    <n v="242"/>
    <n v="211"/>
    <n v="68"/>
    <n v="0"/>
    <n v="86"/>
    <d v="1899-12-30T18:15:00"/>
    <s v="Chennai"/>
    <n v="1"/>
    <m/>
    <n v="3209"/>
    <n v="7.1287005297600494"/>
    <s v="Medium"/>
  </r>
  <r>
    <s v="P10549"/>
    <n v="20260930"/>
    <x v="3"/>
    <x v="1"/>
    <x v="5"/>
    <n v="20102"/>
    <n v="29263"/>
    <n v="1518"/>
    <n v="191"/>
    <n v="120"/>
    <n v="62"/>
    <n v="0"/>
    <n v="80"/>
    <d v="1899-12-30T09:00:00"/>
    <s v="Coimbatore"/>
    <n v="1"/>
    <m/>
    <n v="1891"/>
    <n v="10.630354309888947"/>
    <s v="High"/>
  </r>
  <r>
    <s v="P10026"/>
    <n v="20251110"/>
    <x v="4"/>
    <x v="5"/>
    <x v="0"/>
    <n v="42633"/>
    <n v="60761"/>
    <n v="2154"/>
    <n v="245"/>
    <n v="329"/>
    <n v="146"/>
    <n v="0"/>
    <n v="290"/>
    <d v="1899-12-30T07:15:00"/>
    <s v="Kochi"/>
    <n v="1"/>
    <m/>
    <n v="2874"/>
    <n v="14.834029227557412"/>
    <s v="High"/>
  </r>
  <r>
    <s v="P11442"/>
    <n v="20251005"/>
    <x v="2"/>
    <x v="1"/>
    <x v="4"/>
    <n v="15250"/>
    <n v="20708"/>
    <n v="841"/>
    <n v="40"/>
    <n v="25"/>
    <n v="89"/>
    <n v="7006"/>
    <n v="26"/>
    <d v="1899-12-30T10:00:00"/>
    <s v="Kolkata"/>
    <n v="1"/>
    <m/>
    <n v="995"/>
    <n v="15.326633165829145"/>
    <s v="High"/>
  </r>
  <r>
    <s v="P10047"/>
    <n v="20250114"/>
    <x v="0"/>
    <x v="1"/>
    <x v="2"/>
    <n v="42594"/>
    <n v="53577"/>
    <n v="4677"/>
    <n v="564"/>
    <n v="613"/>
    <n v="243"/>
    <n v="33799"/>
    <n v="687"/>
    <d v="1899-12-30T12:45:00"/>
    <s v="Mumbai"/>
    <n v="1"/>
    <m/>
    <n v="6097"/>
    <n v="6.9860587174020008"/>
    <s v="Medium"/>
  </r>
  <r>
    <s v="P10985"/>
    <n v="20260106"/>
    <x v="1"/>
    <x v="3"/>
    <x v="4"/>
    <n v="27290"/>
    <n v="44014"/>
    <n v="1421"/>
    <n v="67"/>
    <n v="80"/>
    <n v="180"/>
    <n v="14200"/>
    <n v="443"/>
    <d v="1899-12-30T16:00:00"/>
    <s v="Kolkata"/>
    <n v="1"/>
    <m/>
    <n v="1748"/>
    <n v="15.61212814645309"/>
    <s v="High"/>
  </r>
  <r>
    <s v="P11753"/>
    <n v="20250327"/>
    <x v="2"/>
    <x v="3"/>
    <x v="2"/>
    <n v="8128"/>
    <n v="10769"/>
    <n v="352"/>
    <n v="45"/>
    <n v="53"/>
    <n v="29"/>
    <n v="4988"/>
    <n v="91"/>
    <d v="1899-12-30T11:45:00"/>
    <s v="Delhi"/>
    <n v="1"/>
    <m/>
    <n v="479"/>
    <n v="16.968684759916492"/>
    <s v="High"/>
  </r>
  <r>
    <s v="P11686"/>
    <n v="20250927"/>
    <x v="1"/>
    <x v="7"/>
    <x v="2"/>
    <n v="12055"/>
    <n v="14425"/>
    <n v="657"/>
    <n v="36"/>
    <n v="27"/>
    <n v="36"/>
    <n v="5421"/>
    <n v="110"/>
    <d v="1899-12-30T19:30:00"/>
    <s v="Pune"/>
    <n v="1"/>
    <m/>
    <n v="756"/>
    <n v="15.945767195767196"/>
    <s v="High"/>
  </r>
  <r>
    <s v="P11816"/>
    <n v="20260326"/>
    <x v="1"/>
    <x v="0"/>
    <x v="5"/>
    <n v="13724"/>
    <n v="15569"/>
    <n v="539"/>
    <n v="43"/>
    <n v="34"/>
    <n v="17"/>
    <n v="0"/>
    <n v="176"/>
    <d v="1899-12-30T21:15:00"/>
    <s v="Hyderabad"/>
    <n v="1"/>
    <m/>
    <n v="633"/>
    <n v="21.68088467614534"/>
    <s v="High"/>
  </r>
  <r>
    <s v="P10408"/>
    <n v="20251223"/>
    <x v="4"/>
    <x v="0"/>
    <x v="4"/>
    <n v="34995"/>
    <n v="46956"/>
    <n v="3554"/>
    <n v="186"/>
    <n v="429"/>
    <n v="246"/>
    <n v="16642"/>
    <n v="432"/>
    <d v="1899-12-30T10:00:00"/>
    <s v="Pune"/>
    <n v="1"/>
    <m/>
    <n v="4415"/>
    <n v="7.9263873159682898"/>
    <s v="Medium"/>
  </r>
  <r>
    <s v="P11572"/>
    <n v="20260927"/>
    <x v="0"/>
    <x v="1"/>
    <x v="5"/>
    <n v="27326"/>
    <n v="36765"/>
    <n v="1300"/>
    <n v="109"/>
    <n v="142"/>
    <n v="61"/>
    <n v="0"/>
    <n v="165"/>
    <d v="1899-12-30T13:45:00"/>
    <s v="Kolkata"/>
    <n v="1"/>
    <m/>
    <n v="1612"/>
    <n v="16.951612903225808"/>
    <s v="High"/>
  </r>
  <r>
    <s v="P10444"/>
    <n v="20260825"/>
    <x v="3"/>
    <x v="3"/>
    <x v="2"/>
    <n v="24524"/>
    <n v="30393"/>
    <n v="1373"/>
    <n v="105"/>
    <n v="209"/>
    <n v="92"/>
    <n v="10500"/>
    <n v="262"/>
    <d v="1899-12-30T22:15:00"/>
    <s v="Mumbai"/>
    <n v="1"/>
    <m/>
    <n v="1779"/>
    <n v="13.785272625070265"/>
    <s v="High"/>
  </r>
  <r>
    <s v="P11408"/>
    <n v="20260619"/>
    <x v="0"/>
    <x v="3"/>
    <x v="0"/>
    <n v="21024"/>
    <n v="28691"/>
    <n v="604"/>
    <n v="26"/>
    <n v="98"/>
    <n v="52"/>
    <n v="0"/>
    <n v="47"/>
    <d v="1899-12-30T09:15:00"/>
    <s v="Bengaluru"/>
    <n v="1"/>
    <m/>
    <n v="780"/>
    <n v="26.953846153846154"/>
    <s v="High"/>
  </r>
  <r>
    <s v="P10157"/>
    <n v="20251225"/>
    <x v="3"/>
    <x v="7"/>
    <x v="5"/>
    <n v="57075"/>
    <n v="82102"/>
    <n v="4719"/>
    <n v="239"/>
    <n v="393"/>
    <n v="689"/>
    <n v="0"/>
    <n v="622"/>
    <d v="1899-12-30T10:00:00"/>
    <s v="Kolkata"/>
    <n v="1"/>
    <m/>
    <n v="6040"/>
    <n v="9.4495033112582778"/>
    <s v="Medium"/>
  </r>
  <r>
    <s v="P10756"/>
    <n v="20260915"/>
    <x v="3"/>
    <x v="0"/>
    <x v="3"/>
    <n v="10322"/>
    <n v="12796"/>
    <n v="440"/>
    <n v="58"/>
    <n v="75"/>
    <n v="25"/>
    <n v="8195"/>
    <n v="183"/>
    <d v="1899-12-30T17:45:00"/>
    <s v="Coimbatore"/>
    <n v="1"/>
    <m/>
    <n v="598"/>
    <n v="17.260869565217391"/>
    <s v="High"/>
  </r>
  <r>
    <s v="P11713"/>
    <n v="20251009"/>
    <x v="1"/>
    <x v="5"/>
    <x v="5"/>
    <n v="10412"/>
    <n v="11010"/>
    <n v="381"/>
    <n v="42"/>
    <n v="51"/>
    <n v="17"/>
    <n v="0"/>
    <n v="122"/>
    <d v="1899-12-30T09:45:00"/>
    <s v="Coimbatore"/>
    <n v="1"/>
    <m/>
    <n v="491"/>
    <n v="21.205702647657841"/>
    <s v="High"/>
  </r>
  <r>
    <s v="P11376"/>
    <n v="20250424"/>
    <x v="4"/>
    <x v="0"/>
    <x v="5"/>
    <n v="74435"/>
    <n v="94461"/>
    <n v="7459"/>
    <n v="531"/>
    <n v="1349"/>
    <n v="1031"/>
    <n v="0"/>
    <n v="1227"/>
    <d v="1899-12-30T20:45:00"/>
    <s v="Chennai"/>
    <n v="1"/>
    <m/>
    <n v="10370"/>
    <n v="7.1779170684667308"/>
    <s v="Medium"/>
  </r>
  <r>
    <s v="P10061"/>
    <n v="20260123"/>
    <x v="0"/>
    <x v="3"/>
    <x v="4"/>
    <n v="74093"/>
    <n v="101415"/>
    <n v="4077"/>
    <n v="123"/>
    <n v="138"/>
    <n v="219"/>
    <n v="40646"/>
    <n v="180"/>
    <d v="1899-12-30T12:15:00"/>
    <s v="Mumbai"/>
    <n v="1"/>
    <m/>
    <n v="4557"/>
    <n v="16.259161729207811"/>
    <s v="High"/>
  </r>
  <r>
    <s v="P10916"/>
    <n v="20260423"/>
    <x v="0"/>
    <x v="1"/>
    <x v="2"/>
    <n v="47191"/>
    <n v="60846"/>
    <n v="5128"/>
    <n v="385"/>
    <n v="511"/>
    <n v="590"/>
    <n v="24505"/>
    <n v="237"/>
    <d v="1899-12-30T16:30:00"/>
    <s v="Coimbatore"/>
    <n v="1"/>
    <m/>
    <n v="6614"/>
    <n v="7.1350166313879653"/>
    <s v="Medium"/>
  </r>
  <r>
    <s v="P10746"/>
    <n v="20260419"/>
    <x v="4"/>
    <x v="6"/>
    <x v="2"/>
    <n v="36007"/>
    <n v="53543"/>
    <n v="4111"/>
    <n v="283"/>
    <n v="720"/>
    <n v="525"/>
    <n v="13511"/>
    <n v="238"/>
    <d v="1899-12-30T19:00:00"/>
    <s v="Kochi"/>
    <n v="1"/>
    <m/>
    <n v="5639"/>
    <n v="6.3853520127682213"/>
    <s v="Medium"/>
  </r>
  <r>
    <s v="P11922"/>
    <n v="20260708"/>
    <x v="3"/>
    <x v="4"/>
    <x v="4"/>
    <n v="18086"/>
    <n v="24794"/>
    <n v="1320"/>
    <n v="70"/>
    <n v="79"/>
    <n v="33"/>
    <n v="10724"/>
    <n v="191"/>
    <d v="1899-12-30T13:30:00"/>
    <s v="Bengaluru"/>
    <n v="1"/>
    <m/>
    <n v="1502"/>
    <n v="12.041278295605858"/>
    <s v="High"/>
  </r>
  <r>
    <s v="P10253"/>
    <n v="20250409"/>
    <x v="1"/>
    <x v="3"/>
    <x v="2"/>
    <n v="7809"/>
    <n v="10157"/>
    <n v="204"/>
    <n v="5"/>
    <n v="8"/>
    <n v="11"/>
    <n v="5466"/>
    <n v="45"/>
    <d v="1899-12-30T14:45:00"/>
    <s v="Kolkata"/>
    <n v="1"/>
    <m/>
    <n v="228"/>
    <n v="34.25"/>
    <s v="High"/>
  </r>
  <r>
    <s v="P11645"/>
    <n v="20260929"/>
    <x v="2"/>
    <x v="7"/>
    <x v="1"/>
    <n v="2041"/>
    <n v="2925"/>
    <n v="169"/>
    <n v="15"/>
    <n v="6"/>
    <n v="24"/>
    <n v="0"/>
    <n v="14"/>
    <d v="1899-12-30T07:45:00"/>
    <s v="Hyderabad"/>
    <n v="1"/>
    <m/>
    <n v="214"/>
    <n v="9.5373831775700939"/>
    <s v="Medium"/>
  </r>
  <r>
    <s v="P10143"/>
    <n v="20251206"/>
    <x v="3"/>
    <x v="3"/>
    <x v="3"/>
    <n v="37556"/>
    <n v="53029"/>
    <n v="2431"/>
    <n v="236"/>
    <n v="171"/>
    <n v="333"/>
    <n v="17213"/>
    <n v="318"/>
    <d v="1899-12-30T11:00:00"/>
    <s v="Madurai"/>
    <n v="1"/>
    <m/>
    <n v="3171"/>
    <n v="11.843582466099022"/>
    <s v="High"/>
  </r>
  <r>
    <s v="P11941"/>
    <n v="20250311"/>
    <x v="2"/>
    <x v="2"/>
    <x v="0"/>
    <n v="18656"/>
    <n v="30245"/>
    <n v="2016"/>
    <n v="208"/>
    <n v="64"/>
    <n v="112"/>
    <n v="0"/>
    <n v="249"/>
    <d v="1899-12-30T19:45:00"/>
    <s v="Pune"/>
    <n v="1"/>
    <m/>
    <n v="2400"/>
    <n v="7.7733333333333334"/>
    <s v="Medium"/>
  </r>
  <r>
    <s v="P10045"/>
    <n v="20260824"/>
    <x v="4"/>
    <x v="6"/>
    <x v="0"/>
    <n v="49728"/>
    <n v="72217"/>
    <n v="4564"/>
    <n v="352"/>
    <n v="660"/>
    <n v="354"/>
    <n v="0"/>
    <n v="749"/>
    <d v="1899-12-30T07:30:00"/>
    <s v="Chennai"/>
    <n v="1"/>
    <m/>
    <n v="5930"/>
    <n v="8.3858347386172003"/>
    <s v="Medium"/>
  </r>
  <r>
    <s v="P10320"/>
    <n v="20260505"/>
    <x v="0"/>
    <x v="0"/>
    <x v="0"/>
    <n v="19489"/>
    <n v="30599"/>
    <n v="2247"/>
    <n v="139"/>
    <n v="124"/>
    <n v="170"/>
    <n v="0"/>
    <n v="46"/>
    <d v="1899-12-30T10:45:00"/>
    <s v="Kochi"/>
    <n v="1"/>
    <m/>
    <n v="2680"/>
    <n v="7.2720149253731341"/>
    <s v="Medium"/>
  </r>
  <r>
    <s v="P11987"/>
    <n v="20250905"/>
    <x v="2"/>
    <x v="1"/>
    <x v="3"/>
    <n v="6034"/>
    <n v="7016"/>
    <n v="205"/>
    <n v="7"/>
    <n v="12"/>
    <n v="11"/>
    <n v="3650"/>
    <n v="71"/>
    <d v="1899-12-30T16:00:00"/>
    <s v="Mumbai"/>
    <n v="1"/>
    <m/>
    <n v="235"/>
    <n v="25.676595744680853"/>
    <s v="High"/>
  </r>
  <r>
    <s v="P11166"/>
    <n v="20250815"/>
    <x v="1"/>
    <x v="5"/>
    <x v="2"/>
    <n v="7372"/>
    <n v="11032"/>
    <n v="208"/>
    <n v="21"/>
    <n v="27"/>
    <n v="7"/>
    <n v="6150"/>
    <n v="55"/>
    <d v="1899-12-30T09:30:00"/>
    <s v="Chennai"/>
    <n v="1"/>
    <m/>
    <n v="263"/>
    <n v="28.030418250950571"/>
    <s v="High"/>
  </r>
  <r>
    <s v="P10562"/>
    <n v="20260213"/>
    <x v="1"/>
    <x v="2"/>
    <x v="3"/>
    <n v="20269"/>
    <n v="28922"/>
    <n v="2013"/>
    <n v="219"/>
    <n v="338"/>
    <n v="65"/>
    <n v="12223"/>
    <n v="151"/>
    <d v="1899-12-30T15:45:00"/>
    <s v="Hyderabad"/>
    <n v="1"/>
    <m/>
    <n v="2635"/>
    <n v="7.6922201138519926"/>
    <s v="Medium"/>
  </r>
  <r>
    <s v="P11497"/>
    <n v="20250612"/>
    <x v="2"/>
    <x v="3"/>
    <x v="3"/>
    <n v="5078"/>
    <n v="6654"/>
    <n v="205"/>
    <n v="10"/>
    <n v="37"/>
    <n v="6"/>
    <n v="2213"/>
    <n v="31"/>
    <d v="1899-12-30T12:15:00"/>
    <s v="Bengaluru"/>
    <n v="1"/>
    <m/>
    <n v="258"/>
    <n v="19.68217054263566"/>
    <s v="High"/>
  </r>
  <r>
    <s v="P11093"/>
    <n v="20260529"/>
    <x v="0"/>
    <x v="3"/>
    <x v="4"/>
    <n v="8895"/>
    <n v="10194"/>
    <n v="338"/>
    <n v="31"/>
    <n v="44"/>
    <n v="46"/>
    <n v="6494"/>
    <n v="157"/>
    <d v="1899-12-30T10:45:00"/>
    <s v="Hyderabad"/>
    <n v="1"/>
    <m/>
    <n v="459"/>
    <n v="19.37908496732026"/>
    <s v="High"/>
  </r>
  <r>
    <s v="P10843"/>
    <n v="20250331"/>
    <x v="1"/>
    <x v="2"/>
    <x v="3"/>
    <n v="21024"/>
    <n v="34288"/>
    <n v="1327"/>
    <n v="156"/>
    <n v="197"/>
    <n v="108"/>
    <n v="11067"/>
    <n v="289"/>
    <d v="1899-12-30T20:15:00"/>
    <s v="Pune"/>
    <n v="1"/>
    <m/>
    <n v="1788"/>
    <n v="11.758389261744966"/>
    <s v="High"/>
  </r>
  <r>
    <s v="P11363"/>
    <n v="20250918"/>
    <x v="4"/>
    <x v="5"/>
    <x v="5"/>
    <n v="20526"/>
    <n v="23111"/>
    <n v="1563"/>
    <n v="64"/>
    <n v="208"/>
    <n v="145"/>
    <n v="0"/>
    <n v="26"/>
    <d v="1899-12-30T14:00:00"/>
    <s v="Pune"/>
    <n v="1"/>
    <m/>
    <n v="1980"/>
    <n v="10.366666666666667"/>
    <s v="High"/>
  </r>
  <r>
    <s v="P11096"/>
    <n v="20260416"/>
    <x v="1"/>
    <x v="1"/>
    <x v="4"/>
    <n v="22833"/>
    <n v="33843"/>
    <n v="1928"/>
    <n v="243"/>
    <n v="300"/>
    <n v="102"/>
    <n v="13951"/>
    <n v="188"/>
    <d v="1899-12-30T14:15:00"/>
    <s v="Coimbatore"/>
    <n v="1"/>
    <m/>
    <n v="2573"/>
    <n v="8.8740769529731836"/>
    <s v="Medium"/>
  </r>
  <r>
    <s v="P11513"/>
    <n v="20260122"/>
    <x v="4"/>
    <x v="2"/>
    <x v="0"/>
    <n v="40086"/>
    <n v="51179"/>
    <n v="4622"/>
    <n v="539"/>
    <n v="623"/>
    <n v="306"/>
    <n v="0"/>
    <n v="551"/>
    <d v="1899-12-30T14:45:00"/>
    <s v="Madurai"/>
    <n v="1"/>
    <m/>
    <n v="6090"/>
    <n v="6.5822660098522165"/>
    <s v="Medium"/>
  </r>
  <r>
    <s v="P11666"/>
    <n v="20250114"/>
    <x v="3"/>
    <x v="1"/>
    <x v="5"/>
    <n v="23042"/>
    <n v="31714"/>
    <n v="2258"/>
    <n v="221"/>
    <n v="159"/>
    <n v="262"/>
    <n v="0"/>
    <n v="129"/>
    <d v="1899-12-30T08:00:00"/>
    <s v="Mumbai"/>
    <n v="1"/>
    <m/>
    <n v="2900"/>
    <n v="7.94551724137931"/>
    <s v="Medium"/>
  </r>
  <r>
    <s v="P11829"/>
    <n v="20260513"/>
    <x v="4"/>
    <x v="2"/>
    <x v="1"/>
    <n v="24362"/>
    <n v="29179"/>
    <n v="2434"/>
    <n v="270"/>
    <n v="182"/>
    <n v="351"/>
    <n v="0"/>
    <n v="288"/>
    <d v="1899-12-30T20:00:00"/>
    <s v="Coimbatore"/>
    <n v="1"/>
    <m/>
    <n v="3237"/>
    <n v="7.5261044176706831"/>
    <s v="Medium"/>
  </r>
  <r>
    <s v="P11622"/>
    <n v="20251128"/>
    <x v="0"/>
    <x v="3"/>
    <x v="4"/>
    <n v="14125"/>
    <n v="16394"/>
    <n v="1488"/>
    <n v="161"/>
    <n v="162"/>
    <n v="167"/>
    <n v="5718"/>
    <n v="121"/>
    <d v="1899-12-30T21:45:00"/>
    <s v="Bengaluru"/>
    <n v="1"/>
    <m/>
    <n v="1978"/>
    <n v="7.1410515672396357"/>
    <s v="Medium"/>
  </r>
  <r>
    <s v="P10259"/>
    <n v="20260202"/>
    <x v="4"/>
    <x v="6"/>
    <x v="3"/>
    <n v="274700"/>
    <n v="415865"/>
    <n v="26525"/>
    <n v="2425"/>
    <n v="3754"/>
    <n v="2031"/>
    <n v="228011"/>
    <n v="3129"/>
    <d v="1899-12-30T10:00:00"/>
    <s v="Madurai"/>
    <n v="1"/>
    <m/>
    <n v="34735"/>
    <n v="7.9084496905138906"/>
    <s v="Medium"/>
  </r>
  <r>
    <s v="P11828"/>
    <n v="20251122"/>
    <x v="3"/>
    <x v="4"/>
    <x v="3"/>
    <n v="94986"/>
    <n v="128969"/>
    <n v="6127"/>
    <n v="371"/>
    <n v="484"/>
    <n v="175"/>
    <n v="36045"/>
    <n v="380"/>
    <d v="1899-12-30T10:45:00"/>
    <s v="Mumbai"/>
    <n v="1"/>
    <m/>
    <n v="7157"/>
    <n v="13.271761911415398"/>
    <s v="High"/>
  </r>
  <r>
    <s v="P10279"/>
    <n v="20251004"/>
    <x v="3"/>
    <x v="1"/>
    <x v="3"/>
    <n v="28832"/>
    <n v="36470"/>
    <n v="2240"/>
    <n v="228"/>
    <n v="268"/>
    <n v="95"/>
    <n v="13554"/>
    <n v="315"/>
    <d v="1899-12-30T11:15:00"/>
    <s v="Kolkata"/>
    <n v="1"/>
    <m/>
    <n v="2831"/>
    <n v="10.184387142352525"/>
    <s v="High"/>
  </r>
  <r>
    <s v="P10336"/>
    <n v="20260204"/>
    <x v="0"/>
    <x v="5"/>
    <x v="2"/>
    <n v="15595"/>
    <n v="25307"/>
    <n v="1756"/>
    <n v="132"/>
    <n v="152"/>
    <n v="74"/>
    <n v="9578"/>
    <n v="60"/>
    <d v="1899-12-30T08:30:00"/>
    <s v="Hyderabad"/>
    <n v="1"/>
    <m/>
    <n v="2114"/>
    <n v="7.3770104068117313"/>
    <s v="Medium"/>
  </r>
  <r>
    <s v="P10992"/>
    <n v="20250427"/>
    <x v="0"/>
    <x v="5"/>
    <x v="0"/>
    <n v="11844"/>
    <n v="19383"/>
    <n v="571"/>
    <n v="31"/>
    <n v="35"/>
    <n v="61"/>
    <n v="0"/>
    <n v="154"/>
    <d v="1899-12-30T12:15:00"/>
    <s v="Madurai"/>
    <n v="1"/>
    <m/>
    <n v="698"/>
    <n v="16.968481375358166"/>
    <s v="High"/>
  </r>
  <r>
    <s v="P11134"/>
    <n v="20251222"/>
    <x v="1"/>
    <x v="3"/>
    <x v="0"/>
    <n v="13758"/>
    <n v="16454"/>
    <n v="1243"/>
    <n v="130"/>
    <n v="96"/>
    <n v="85"/>
    <n v="0"/>
    <n v="242"/>
    <d v="1899-12-30T17:45:00"/>
    <s v="Kolkata"/>
    <n v="1"/>
    <m/>
    <n v="1554"/>
    <n v="8.8532818532818531"/>
    <s v="Medium"/>
  </r>
  <r>
    <s v="P11401"/>
    <n v="20251222"/>
    <x v="0"/>
    <x v="3"/>
    <x v="4"/>
    <n v="33651"/>
    <n v="43494"/>
    <n v="1579"/>
    <n v="74"/>
    <n v="283"/>
    <n v="242"/>
    <n v="23240"/>
    <n v="77"/>
    <d v="1899-12-30T20:15:00"/>
    <s v="Madurai"/>
    <n v="1"/>
    <m/>
    <n v="2178"/>
    <n v="15.450413223140496"/>
    <s v="High"/>
  </r>
  <r>
    <s v="P10372"/>
    <n v="20250507"/>
    <x v="3"/>
    <x v="3"/>
    <x v="0"/>
    <n v="14129"/>
    <n v="22983"/>
    <n v="1108"/>
    <n v="75"/>
    <n v="96"/>
    <n v="159"/>
    <n v="0"/>
    <n v="105"/>
    <d v="1899-12-30T08:45:00"/>
    <s v="Chennai"/>
    <n v="1"/>
    <m/>
    <n v="1438"/>
    <n v="9.8254520166898462"/>
    <s v="Medium"/>
  </r>
  <r>
    <s v="P11593"/>
    <n v="20250122"/>
    <x v="3"/>
    <x v="4"/>
    <x v="5"/>
    <n v="22058"/>
    <n v="31708"/>
    <n v="1360"/>
    <n v="92"/>
    <n v="153"/>
    <n v="65"/>
    <n v="0"/>
    <n v="374"/>
    <d v="1899-12-30T16:15:00"/>
    <s v="Madurai"/>
    <n v="1"/>
    <m/>
    <n v="1670"/>
    <n v="13.208383233532935"/>
    <s v="High"/>
  </r>
  <r>
    <s v="P11273"/>
    <n v="20260630"/>
    <x v="1"/>
    <x v="5"/>
    <x v="3"/>
    <n v="21240"/>
    <n v="27935"/>
    <n v="1262"/>
    <n v="85"/>
    <n v="99"/>
    <n v="194"/>
    <n v="8203"/>
    <n v="226"/>
    <d v="1899-12-30T22:00:00"/>
    <s v="Bengaluru"/>
    <n v="1"/>
    <m/>
    <n v="1640"/>
    <n v="12.951219512195122"/>
    <s v="High"/>
  </r>
  <r>
    <s v="P10716"/>
    <n v="20260827"/>
    <x v="0"/>
    <x v="4"/>
    <x v="3"/>
    <n v="17601"/>
    <n v="28433"/>
    <n v="542"/>
    <n v="34"/>
    <n v="80"/>
    <n v="68"/>
    <n v="11238"/>
    <n v="23"/>
    <d v="1899-12-30T17:00:00"/>
    <s v="Chennai"/>
    <n v="1"/>
    <m/>
    <n v="724"/>
    <n v="24.310773480662984"/>
    <s v="High"/>
  </r>
  <r>
    <s v="P11698"/>
    <n v="20250417"/>
    <x v="0"/>
    <x v="3"/>
    <x v="0"/>
    <n v="23919"/>
    <n v="35010"/>
    <n v="2655"/>
    <n v="131"/>
    <n v="115"/>
    <n v="147"/>
    <n v="0"/>
    <n v="158"/>
    <d v="1899-12-30T18:00:00"/>
    <s v="Hyderabad"/>
    <n v="1"/>
    <m/>
    <n v="3048"/>
    <n v="7.8474409448818898"/>
    <s v="Medium"/>
  </r>
  <r>
    <s v="P10709"/>
    <n v="20250403"/>
    <x v="3"/>
    <x v="0"/>
    <x v="3"/>
    <n v="7806"/>
    <n v="8777"/>
    <n v="586"/>
    <n v="42"/>
    <n v="80"/>
    <n v="20"/>
    <n v="4452"/>
    <n v="130"/>
    <d v="1899-12-30T21:15:00"/>
    <s v="Kochi"/>
    <n v="1"/>
    <m/>
    <n v="728"/>
    <n v="10.722527472527473"/>
    <s v="High"/>
  </r>
  <r>
    <s v="P11854"/>
    <n v="20260812"/>
    <x v="0"/>
    <x v="4"/>
    <x v="5"/>
    <n v="22918"/>
    <n v="28221"/>
    <n v="2237"/>
    <n v="272"/>
    <n v="139"/>
    <n v="122"/>
    <n v="0"/>
    <n v="248"/>
    <d v="1899-12-30T07:30:00"/>
    <s v="Coimbatore"/>
    <n v="1"/>
    <m/>
    <n v="2770"/>
    <n v="8.2736462093862819"/>
    <s v="Medium"/>
  </r>
  <r>
    <s v="P10989"/>
    <n v="20250721"/>
    <x v="2"/>
    <x v="5"/>
    <x v="1"/>
    <n v="5811"/>
    <n v="6796"/>
    <n v="484"/>
    <n v="21"/>
    <n v="75"/>
    <n v="10"/>
    <n v="0"/>
    <n v="55"/>
    <d v="1899-12-30T19:00:00"/>
    <s v="Coimbatore"/>
    <n v="1"/>
    <m/>
    <n v="590"/>
    <n v="9.849152542372881"/>
    <s v="Medium"/>
  </r>
  <r>
    <s v="P11247"/>
    <n v="20260907"/>
    <x v="3"/>
    <x v="0"/>
    <x v="4"/>
    <n v="22004"/>
    <n v="25739"/>
    <n v="657"/>
    <n v="79"/>
    <n v="109"/>
    <n v="30"/>
    <n v="11003"/>
    <n v="322"/>
    <d v="1899-12-30T17:00:00"/>
    <s v="Bengaluru"/>
    <n v="1"/>
    <m/>
    <n v="875"/>
    <n v="25.14742857142857"/>
    <s v="High"/>
  </r>
  <r>
    <s v="P11142"/>
    <n v="20260921"/>
    <x v="2"/>
    <x v="1"/>
    <x v="2"/>
    <n v="13169"/>
    <n v="15326"/>
    <n v="1481"/>
    <n v="59"/>
    <n v="238"/>
    <n v="221"/>
    <n v="4665"/>
    <n v="43"/>
    <d v="1899-12-30T16:00:00"/>
    <s v="Kochi"/>
    <n v="1"/>
    <m/>
    <n v="1999"/>
    <n v="6.5877938969484742"/>
    <s v="Medium"/>
  </r>
  <r>
    <s v="P10548"/>
    <n v="20250808"/>
    <x v="2"/>
    <x v="5"/>
    <x v="0"/>
    <n v="14402"/>
    <n v="16258"/>
    <n v="1699"/>
    <n v="134"/>
    <n v="117"/>
    <n v="168"/>
    <n v="0"/>
    <n v="107"/>
    <d v="1899-12-30T10:45:00"/>
    <s v="Chennai"/>
    <n v="1"/>
    <m/>
    <n v="2118"/>
    <n v="6.7998111425873464"/>
    <s v="Medium"/>
  </r>
  <r>
    <s v="P10286"/>
    <n v="20250711"/>
    <x v="1"/>
    <x v="2"/>
    <x v="5"/>
    <n v="12592"/>
    <n v="19737"/>
    <n v="1098"/>
    <n v="64"/>
    <n v="70"/>
    <n v="26"/>
    <n v="0"/>
    <n v="224"/>
    <d v="1899-12-30T07:00:00"/>
    <s v="Pune"/>
    <n v="1"/>
    <m/>
    <n v="1258"/>
    <n v="10.009538950715422"/>
    <s v="High"/>
  </r>
  <r>
    <s v="P11864"/>
    <n v="20250608"/>
    <x v="1"/>
    <x v="0"/>
    <x v="3"/>
    <n v="14554"/>
    <n v="22928"/>
    <n v="1223"/>
    <n v="155"/>
    <n v="206"/>
    <n v="150"/>
    <n v="12588"/>
    <n v="110"/>
    <d v="1899-12-30T08:30:00"/>
    <s v="Coimbatore"/>
    <n v="1"/>
    <m/>
    <n v="1734"/>
    <n v="8.3933102652825831"/>
    <s v="Medium"/>
  </r>
  <r>
    <s v="P11879"/>
    <n v="20250428"/>
    <x v="2"/>
    <x v="5"/>
    <x v="5"/>
    <n v="22309"/>
    <n v="27518"/>
    <n v="1654"/>
    <n v="229"/>
    <n v="213"/>
    <n v="133"/>
    <n v="0"/>
    <n v="173"/>
    <d v="1899-12-30T13:45:00"/>
    <s v="Hyderabad"/>
    <n v="1"/>
    <m/>
    <n v="2229"/>
    <n v="10.008524001794527"/>
    <s v="High"/>
  </r>
  <r>
    <s v="P10313"/>
    <n v="20250118"/>
    <x v="1"/>
    <x v="3"/>
    <x v="4"/>
    <n v="19564"/>
    <n v="31487"/>
    <n v="816"/>
    <n v="31"/>
    <n v="35"/>
    <n v="20"/>
    <n v="12720"/>
    <n v="311"/>
    <d v="1899-12-30T14:00:00"/>
    <s v="Mumbai"/>
    <n v="1"/>
    <m/>
    <n v="902"/>
    <n v="21.68957871396896"/>
    <s v="High"/>
  </r>
  <r>
    <s v="P11153"/>
    <n v="20260712"/>
    <x v="2"/>
    <x v="6"/>
    <x v="2"/>
    <n v="16026"/>
    <n v="21697"/>
    <n v="1798"/>
    <n v="51"/>
    <n v="109"/>
    <n v="173"/>
    <n v="11334"/>
    <n v="29"/>
    <d v="1899-12-30T09:15:00"/>
    <s v="Delhi"/>
    <n v="1"/>
    <m/>
    <n v="2131"/>
    <n v="7.5204129516658842"/>
    <s v="Medium"/>
  </r>
  <r>
    <s v="P11599"/>
    <n v="20250328"/>
    <x v="2"/>
    <x v="0"/>
    <x v="5"/>
    <n v="6521"/>
    <n v="8539"/>
    <n v="490"/>
    <n v="48"/>
    <n v="61"/>
    <n v="25"/>
    <n v="0"/>
    <n v="43"/>
    <d v="1899-12-30T10:15:00"/>
    <s v="Coimbatore"/>
    <n v="1"/>
    <m/>
    <n v="624"/>
    <n v="10.450320512820513"/>
    <s v="High"/>
  </r>
  <r>
    <s v="P11652"/>
    <n v="20250410"/>
    <x v="2"/>
    <x v="0"/>
    <x v="4"/>
    <n v="8930"/>
    <n v="9605"/>
    <n v="327"/>
    <n v="20"/>
    <n v="58"/>
    <n v="12"/>
    <n v="7363"/>
    <n v="85"/>
    <d v="1899-12-30T21:00:00"/>
    <s v="Delhi"/>
    <n v="1"/>
    <m/>
    <n v="417"/>
    <n v="21.414868105515588"/>
    <s v="High"/>
  </r>
  <r>
    <s v="P11785"/>
    <n v="20260902"/>
    <x v="1"/>
    <x v="1"/>
    <x v="3"/>
    <n v="11869"/>
    <n v="19094"/>
    <n v="1404"/>
    <n v="83"/>
    <n v="226"/>
    <n v="136"/>
    <n v="10000"/>
    <n v="146"/>
    <d v="1899-12-30T22:45:00"/>
    <s v="Delhi"/>
    <n v="1"/>
    <m/>
    <n v="1849"/>
    <n v="6.4191454840454298"/>
    <s v="Medium"/>
  </r>
  <r>
    <s v="P11911"/>
    <n v="20260331"/>
    <x v="4"/>
    <x v="4"/>
    <x v="0"/>
    <n v="25698"/>
    <n v="41738"/>
    <n v="1639"/>
    <n v="107"/>
    <n v="192"/>
    <n v="82"/>
    <n v="0"/>
    <n v="295"/>
    <d v="1899-12-30T15:15:00"/>
    <s v="Hyderabad"/>
    <n v="1"/>
    <m/>
    <n v="2020"/>
    <n v="12.721782178217822"/>
    <s v="High"/>
  </r>
  <r>
    <s v="P11630"/>
    <n v="20250601"/>
    <x v="1"/>
    <x v="4"/>
    <x v="0"/>
    <n v="22379"/>
    <n v="29308"/>
    <n v="2101"/>
    <n v="73"/>
    <n v="199"/>
    <n v="101"/>
    <n v="0"/>
    <n v="46"/>
    <d v="1899-12-30T07:30:00"/>
    <s v="Delhi"/>
    <n v="1"/>
    <m/>
    <n v="2474"/>
    <n v="9.0456750202101865"/>
    <s v="Medium"/>
  </r>
  <r>
    <s v="P11924"/>
    <n v="20260929"/>
    <x v="2"/>
    <x v="1"/>
    <x v="3"/>
    <n v="8159"/>
    <n v="9089"/>
    <n v="744"/>
    <n v="96"/>
    <n v="92"/>
    <n v="70"/>
    <n v="4629"/>
    <n v="13"/>
    <d v="1899-12-30T16:00:00"/>
    <s v="Bengaluru"/>
    <n v="1"/>
    <m/>
    <n v="1002"/>
    <n v="8.1427145708582831"/>
    <s v="Medium"/>
  </r>
  <r>
    <s v="P10632"/>
    <n v="20260209"/>
    <x v="4"/>
    <x v="6"/>
    <x v="3"/>
    <n v="27926"/>
    <n v="42208"/>
    <n v="3082"/>
    <n v="416"/>
    <n v="207"/>
    <n v="456"/>
    <n v="21104"/>
    <n v="453"/>
    <d v="1899-12-30T08:15:00"/>
    <s v="Hyderabad"/>
    <n v="1"/>
    <m/>
    <n v="4161"/>
    <n v="6.7113674597452535"/>
    <s v="Medium"/>
  </r>
  <r>
    <s v="P11217"/>
    <n v="20250322"/>
    <x v="3"/>
    <x v="5"/>
    <x v="0"/>
    <n v="10648"/>
    <n v="14631"/>
    <n v="273"/>
    <n v="37"/>
    <n v="23"/>
    <n v="32"/>
    <n v="0"/>
    <n v="66"/>
    <d v="1899-12-30T08:00:00"/>
    <s v="Pune"/>
    <n v="1"/>
    <m/>
    <n v="365"/>
    <n v="29.172602739726027"/>
    <s v="High"/>
  </r>
  <r>
    <s v="P11582"/>
    <n v="20250325"/>
    <x v="3"/>
    <x v="2"/>
    <x v="0"/>
    <n v="25369"/>
    <n v="37834"/>
    <n v="2173"/>
    <n v="179"/>
    <n v="180"/>
    <n v="268"/>
    <n v="0"/>
    <n v="58"/>
    <d v="1899-12-30T20:15:00"/>
    <s v="Chennai"/>
    <n v="1"/>
    <m/>
    <n v="2800"/>
    <n v="9.0603571428571428"/>
    <s v="Medium"/>
  </r>
  <r>
    <s v="P10535"/>
    <n v="20250512"/>
    <x v="3"/>
    <x v="3"/>
    <x v="4"/>
    <n v="31580"/>
    <n v="34207"/>
    <n v="883"/>
    <n v="92"/>
    <n v="78"/>
    <n v="58"/>
    <n v="20927"/>
    <n v="320"/>
    <d v="1899-12-30T19:15:00"/>
    <s v="Kochi"/>
    <n v="1"/>
    <m/>
    <n v="1111"/>
    <n v="28.424842484248426"/>
    <s v="High"/>
  </r>
  <r>
    <s v="P11571"/>
    <n v="20251113"/>
    <x v="3"/>
    <x v="0"/>
    <x v="0"/>
    <n v="20771"/>
    <n v="27474"/>
    <n v="2325"/>
    <n v="254"/>
    <n v="94"/>
    <n v="311"/>
    <n v="0"/>
    <n v="199"/>
    <d v="1899-12-30T17:45:00"/>
    <s v="Pune"/>
    <n v="1"/>
    <m/>
    <n v="2984"/>
    <n v="6.9607908847184987"/>
    <s v="Medium"/>
  </r>
  <r>
    <s v="P11581"/>
    <n v="20251114"/>
    <x v="3"/>
    <x v="5"/>
    <x v="3"/>
    <n v="23035"/>
    <n v="28165"/>
    <n v="1350"/>
    <n v="76"/>
    <n v="234"/>
    <n v="141"/>
    <n v="9932"/>
    <n v="99"/>
    <d v="1899-12-30T09:00:00"/>
    <s v="Mumbai"/>
    <n v="1"/>
    <m/>
    <n v="1801"/>
    <n v="12.79011660188784"/>
    <s v="High"/>
  </r>
  <r>
    <s v="P11928"/>
    <n v="20251029"/>
    <x v="4"/>
    <x v="5"/>
    <x v="2"/>
    <n v="32396"/>
    <n v="40069"/>
    <n v="1515"/>
    <n v="95"/>
    <n v="232"/>
    <n v="152"/>
    <n v="28743"/>
    <n v="100"/>
    <d v="1899-12-30T13:45:00"/>
    <s v="Kochi"/>
    <n v="1"/>
    <m/>
    <n v="1994"/>
    <n v="16.246740220661987"/>
    <s v="High"/>
  </r>
  <r>
    <s v="P10665"/>
    <n v="20251030"/>
    <x v="2"/>
    <x v="6"/>
    <x v="2"/>
    <n v="7131"/>
    <n v="11764"/>
    <n v="229"/>
    <n v="13"/>
    <n v="21"/>
    <n v="33"/>
    <n v="4311"/>
    <n v="51"/>
    <d v="1899-12-30T10:30:00"/>
    <s v="Chennai"/>
    <n v="1"/>
    <m/>
    <n v="296"/>
    <n v="24.091216216216218"/>
    <s v="High"/>
  </r>
  <r>
    <s v="P11690"/>
    <n v="20250914"/>
    <x v="3"/>
    <x v="6"/>
    <x v="4"/>
    <n v="10853"/>
    <n v="17568"/>
    <n v="965"/>
    <n v="68"/>
    <n v="137"/>
    <n v="114"/>
    <n v="8625"/>
    <n v="101"/>
    <d v="1899-12-30T12:30:00"/>
    <s v="Mumbai"/>
    <n v="1"/>
    <m/>
    <n v="1284"/>
    <n v="8.4524922118380061"/>
    <s v="Medium"/>
  </r>
  <r>
    <s v="P10141"/>
    <n v="20260912"/>
    <x v="0"/>
    <x v="1"/>
    <x v="4"/>
    <n v="24952"/>
    <n v="34808"/>
    <n v="2114"/>
    <n v="198"/>
    <m/>
    <n v="336"/>
    <m/>
    <n v="113"/>
    <d v="1899-12-30T20:45:00"/>
    <s v="Madurai"/>
    <n v="1"/>
    <m/>
    <n v="2648"/>
    <n v="9.4229607250755283"/>
    <s v="Medium"/>
  </r>
  <r>
    <s v="P11498"/>
    <n v="20260608"/>
    <x v="3"/>
    <x v="2"/>
    <x v="2"/>
    <n v="10772"/>
    <n v="14530"/>
    <n v="1172"/>
    <n v="40"/>
    <n v="158"/>
    <n v="125"/>
    <n v="9589"/>
    <n v="179"/>
    <d v="1899-12-30T15:15:00"/>
    <s v="Kolkata"/>
    <n v="1"/>
    <m/>
    <n v="1495"/>
    <n v="7.2053511705685622"/>
    <s v="Medium"/>
  </r>
  <r>
    <s v="P10872"/>
    <n v="20260528"/>
    <x v="0"/>
    <x v="1"/>
    <x v="3"/>
    <n v="27708"/>
    <n v="43811"/>
    <n v="2968"/>
    <n v="239"/>
    <n v="201"/>
    <n v="281"/>
    <n v="19293"/>
    <n v="225"/>
    <d v="1899-12-30T13:15:00"/>
    <s v="Chennai"/>
    <n v="1"/>
    <m/>
    <n v="3689"/>
    <n v="7.5109785849823805"/>
    <s v="Medium"/>
  </r>
  <r>
    <s v="P10617"/>
    <n v="20260109"/>
    <x v="3"/>
    <x v="5"/>
    <x v="3"/>
    <n v="19186"/>
    <n v="28372"/>
    <n v="647"/>
    <n v="70"/>
    <n v="104"/>
    <n v="32"/>
    <n v="8685"/>
    <n v="241"/>
    <d v="1899-12-30T22:15:00"/>
    <s v="Coimbatore"/>
    <n v="1"/>
    <m/>
    <n v="853"/>
    <n v="22.49237983587339"/>
    <s v="High"/>
  </r>
  <r>
    <s v="P10371"/>
    <n v="20250427"/>
    <x v="2"/>
    <x v="2"/>
    <x v="0"/>
    <n v="9762"/>
    <n v="13491"/>
    <n v="956"/>
    <n v="100"/>
    <n v="100"/>
    <n v="86"/>
    <n v="0"/>
    <n v="60"/>
    <d v="1899-12-30T11:45:00"/>
    <s v="Chennai"/>
    <n v="1"/>
    <m/>
    <n v="1242"/>
    <n v="7.8599033816425123"/>
    <s v="Medium"/>
  </r>
  <r>
    <s v="P10078"/>
    <n v="20250222"/>
    <x v="2"/>
    <x v="5"/>
    <x v="4"/>
    <n v="15609"/>
    <n v="17062"/>
    <n v="1122"/>
    <n v="63"/>
    <n v="180"/>
    <n v="80"/>
    <n v="13548"/>
    <n v="242"/>
    <d v="1899-12-30T19:30:00"/>
    <s v="Delhi"/>
    <n v="1"/>
    <m/>
    <n v="1445"/>
    <n v="10.802076124567474"/>
    <s v="High"/>
  </r>
  <r>
    <s v="P10852"/>
    <n v="20250113"/>
    <x v="1"/>
    <x v="2"/>
    <x v="5"/>
    <n v="14244"/>
    <n v="17683"/>
    <n v="844"/>
    <n v="25"/>
    <n v="78"/>
    <n v="109"/>
    <n v="0"/>
    <n v="89"/>
    <d v="1899-12-30T08:30:00"/>
    <s v="Coimbatore"/>
    <n v="1"/>
    <m/>
    <n v="1056"/>
    <n v="13.488636363636363"/>
    <s v="High"/>
  </r>
  <r>
    <s v="P11065"/>
    <n v="20250817"/>
    <x v="0"/>
    <x v="5"/>
    <x v="5"/>
    <n v="34780"/>
    <n v="47325"/>
    <n v="2384"/>
    <n v="190"/>
    <n v="415"/>
    <n v="300"/>
    <n v="0"/>
    <n v="38"/>
    <d v="1899-12-30T20:00:00"/>
    <s v="Delhi"/>
    <n v="1"/>
    <m/>
    <n v="3289"/>
    <n v="10.574642748555792"/>
    <s v="High"/>
  </r>
  <r>
    <s v="P10785"/>
    <n v="20250421"/>
    <x v="2"/>
    <x v="0"/>
    <x v="4"/>
    <n v="12469"/>
    <n v="20368"/>
    <n v="762"/>
    <n v="94"/>
    <n v="139"/>
    <n v="25"/>
    <n v="5376"/>
    <n v="164"/>
    <d v="1899-12-30T14:45:00"/>
    <s v="Chennai"/>
    <n v="1"/>
    <m/>
    <n v="1020"/>
    <n v="12.224509803921569"/>
    <s v="High"/>
  </r>
  <r>
    <s v="P10457"/>
    <n v="20260129"/>
    <x v="2"/>
    <x v="4"/>
    <x v="2"/>
    <n v="2069"/>
    <n v="2529"/>
    <n v="235"/>
    <n v="23"/>
    <n v="34"/>
    <n v="25"/>
    <n v="1249"/>
    <n v="7"/>
    <d v="1899-12-30T15:00:00"/>
    <s v="Chennai"/>
    <n v="1"/>
    <m/>
    <n v="317"/>
    <n v="6.5268138801261832"/>
    <s v="Medium"/>
  </r>
  <r>
    <s v="P10565"/>
    <n v="20250227"/>
    <x v="1"/>
    <x v="5"/>
    <x v="3"/>
    <n v="20095"/>
    <n v="30574"/>
    <n v="2011"/>
    <n v="240"/>
    <n v="109"/>
    <n v="157"/>
    <n v="8376"/>
    <n v="132"/>
    <d v="1899-12-30T16:30:00"/>
    <s v="Bengaluru"/>
    <n v="1"/>
    <m/>
    <n v="2517"/>
    <n v="7.9837107667858564"/>
    <s v="Medium"/>
  </r>
  <r>
    <s v="P11535"/>
    <n v="20251204"/>
    <x v="3"/>
    <x v="6"/>
    <x v="1"/>
    <n v="6302"/>
    <n v="10332"/>
    <n v="529"/>
    <n v="62"/>
    <n v="98"/>
    <n v="31"/>
    <n v="0"/>
    <n v="92"/>
    <d v="1899-12-30T21:45:00"/>
    <s v="Coimbatore"/>
    <n v="1"/>
    <m/>
    <n v="720"/>
    <n v="8.7527777777777782"/>
    <s v="Medium"/>
  </r>
  <r>
    <s v="P11596"/>
    <n v="20250507"/>
    <x v="0"/>
    <x v="0"/>
    <x v="3"/>
    <n v="52179"/>
    <n v="73369"/>
    <n v="2980"/>
    <n v="96"/>
    <n v="572"/>
    <n v="441"/>
    <n v="28538"/>
    <n v="86"/>
    <d v="1899-12-30T12:00:00"/>
    <s v="Chennai"/>
    <n v="1"/>
    <m/>
    <n v="4089"/>
    <n v="12.760821716801173"/>
    <s v="High"/>
  </r>
  <r>
    <s v="P11887"/>
    <n v="20260929"/>
    <x v="0"/>
    <x v="0"/>
    <x v="4"/>
    <n v="42448"/>
    <n v="65120"/>
    <n v="2436"/>
    <n v="299"/>
    <n v="332"/>
    <n v="239"/>
    <n v="36595"/>
    <n v="103"/>
    <d v="1899-12-30T20:15:00"/>
    <s v="Coimbatore"/>
    <n v="1"/>
    <m/>
    <n v="3306"/>
    <n v="12.839685420447671"/>
    <s v="High"/>
  </r>
  <r>
    <s v="P10024"/>
    <n v="20250610"/>
    <x v="1"/>
    <x v="4"/>
    <x v="4"/>
    <n v="21470"/>
    <n v="34739"/>
    <n v="1456"/>
    <n v="83"/>
    <n v="121"/>
    <n v="36"/>
    <n v="15000"/>
    <n v="321"/>
    <d v="1899-12-30T21:15:00"/>
    <s v="Madurai"/>
    <n v="1"/>
    <m/>
    <n v="1696"/>
    <n v="12.659198113207546"/>
    <s v="High"/>
  </r>
  <r>
    <s v="P11872"/>
    <n v="20260328"/>
    <x v="4"/>
    <x v="0"/>
    <x v="3"/>
    <n v="69982"/>
    <n v="78386"/>
    <n v="2887"/>
    <n v="356"/>
    <m/>
    <n v="200"/>
    <n v="62323"/>
    <n v="568"/>
    <d v="1899-12-30T09:45:00"/>
    <s v="Mumbai"/>
    <n v="1"/>
    <m/>
    <n v="3443"/>
    <n v="20.3258785942492"/>
    <s v="High"/>
  </r>
  <r>
    <s v="P10586"/>
    <n v="20250916"/>
    <x v="3"/>
    <x v="3"/>
    <x v="0"/>
    <n v="23974"/>
    <n v="33137"/>
    <n v="928"/>
    <n v="76"/>
    <n v="155"/>
    <n v="142"/>
    <n v="0"/>
    <n v="262"/>
    <d v="1899-12-30T19:30:00"/>
    <s v="Bengaluru"/>
    <n v="1"/>
    <m/>
    <n v="1301"/>
    <n v="18.427363566487319"/>
    <s v="High"/>
  </r>
  <r>
    <s v="P10669"/>
    <n v="20250316"/>
    <x v="4"/>
    <x v="1"/>
    <x v="0"/>
    <n v="94212"/>
    <n v="109679"/>
    <n v="10251"/>
    <n v="494"/>
    <n v="1703"/>
    <n v="1613"/>
    <n v="0"/>
    <n v="1518"/>
    <d v="1899-12-30T19:15:00"/>
    <s v="Delhi"/>
    <n v="1"/>
    <m/>
    <n v="14061"/>
    <n v="6.7002346917004481"/>
    <s v="Medium"/>
  </r>
  <r>
    <s v="P11472"/>
    <n v="20250409"/>
    <x v="0"/>
    <x v="1"/>
    <x v="2"/>
    <n v="34923"/>
    <n v="41851"/>
    <n v="2703"/>
    <n v="297"/>
    <n v="360"/>
    <n v="431"/>
    <n v="28258"/>
    <n v="129"/>
    <d v="1899-12-30T15:45:00"/>
    <s v="Coimbatore"/>
    <n v="1"/>
    <m/>
    <n v="3791"/>
    <n v="9.2120812450540761"/>
    <s v="Medium"/>
  </r>
  <r>
    <s v="P10771"/>
    <n v="20250506"/>
    <x v="0"/>
    <x v="1"/>
    <x v="4"/>
    <n v="96118"/>
    <n v="158316"/>
    <n v="2855"/>
    <n v="310"/>
    <n v="136"/>
    <n v="368"/>
    <n v="80435"/>
    <n v="1631"/>
    <d v="1899-12-30T17:30:00"/>
    <s v="Chennai"/>
    <n v="1"/>
    <m/>
    <n v="3669"/>
    <n v="26.197328972472064"/>
    <s v="High"/>
  </r>
  <r>
    <s v="P10876"/>
    <n v="20251215"/>
    <x v="0"/>
    <x v="1"/>
    <x v="5"/>
    <n v="15823"/>
    <n v="21686"/>
    <n v="639"/>
    <n v="41"/>
    <n v="93"/>
    <n v="55"/>
    <n v="0"/>
    <n v="212"/>
    <d v="1899-12-30T09:00:00"/>
    <s v="Chennai"/>
    <n v="1"/>
    <m/>
    <n v="828"/>
    <n v="19.109903381642511"/>
    <s v="High"/>
  </r>
  <r>
    <s v="P11793"/>
    <n v="20260817"/>
    <x v="0"/>
    <x v="6"/>
    <x v="4"/>
    <n v="18545"/>
    <n v="20611"/>
    <n v="565"/>
    <n v="23"/>
    <n v="100"/>
    <n v="28"/>
    <n v="7160"/>
    <n v="73"/>
    <d v="1899-12-30T08:30:00"/>
    <s v="Coimbatore"/>
    <n v="1"/>
    <m/>
    <n v="716"/>
    <n v="25.900837988826815"/>
    <s v="High"/>
  </r>
  <r>
    <s v="P10603"/>
    <n v="20250720"/>
    <x v="3"/>
    <x v="4"/>
    <x v="0"/>
    <n v="11347"/>
    <n v="18392"/>
    <n v="667"/>
    <n v="63"/>
    <n v="49"/>
    <n v="42"/>
    <n v="0"/>
    <n v="43"/>
    <d v="1899-12-30T17:15:00"/>
    <s v="Chennai"/>
    <n v="1"/>
    <m/>
    <n v="821"/>
    <n v="13.820950060901341"/>
    <s v="High"/>
  </r>
  <r>
    <s v="P10137"/>
    <n v="20260801"/>
    <x v="3"/>
    <x v="0"/>
    <x v="3"/>
    <n v="14124"/>
    <n v="16580"/>
    <n v="1325"/>
    <n v="53"/>
    <n v="153"/>
    <n v="122"/>
    <n v="8030"/>
    <n v="55"/>
    <d v="1899-12-30T16:00:00"/>
    <s v="Kolkata"/>
    <n v="1"/>
    <m/>
    <n v="1653"/>
    <n v="8.5444646098003627"/>
    <s v="Medium"/>
  </r>
  <r>
    <s v="P11917"/>
    <n v="20260317"/>
    <x v="3"/>
    <x v="5"/>
    <x v="3"/>
    <n v="36217"/>
    <n v="51277"/>
    <n v="4074"/>
    <n v="372"/>
    <n v="125"/>
    <n v="250"/>
    <n v="24844"/>
    <n v="151"/>
    <d v="1899-12-30T14:30:00"/>
    <s v="Chennai"/>
    <n v="1"/>
    <m/>
    <n v="4821"/>
    <n v="7.5123418377929889"/>
    <s v="Medium"/>
  </r>
  <r>
    <s v="P10860"/>
    <n v="20260223"/>
    <x v="2"/>
    <x v="4"/>
    <x v="2"/>
    <n v="7065"/>
    <n v="8496"/>
    <n v="273"/>
    <n v="34"/>
    <n v="19"/>
    <n v="40"/>
    <n v="6008"/>
    <n v="38"/>
    <d v="1899-12-30T21:30:00"/>
    <s v="Hyderabad"/>
    <n v="1"/>
    <m/>
    <n v="366"/>
    <n v="19.303278688524589"/>
    <s v="High"/>
  </r>
  <r>
    <s v="P11131"/>
    <n v="20250526"/>
    <x v="0"/>
    <x v="0"/>
    <x v="4"/>
    <n v="30331"/>
    <n v="37051"/>
    <n v="2389"/>
    <n v="254"/>
    <n v="114"/>
    <n v="213"/>
    <n v="14872"/>
    <n v="459"/>
    <d v="1899-12-30T12:15:00"/>
    <s v="Chennai"/>
    <n v="1"/>
    <m/>
    <n v="2970"/>
    <n v="10.212457912457912"/>
    <s v="High"/>
  </r>
  <r>
    <s v="P10677"/>
    <n v="20260323"/>
    <x v="1"/>
    <x v="2"/>
    <x v="4"/>
    <n v="35665"/>
    <n v="49851"/>
    <n v="1537"/>
    <n v="96"/>
    <n v="82"/>
    <n v="173"/>
    <n v="28966"/>
    <n v="104"/>
    <d v="1899-12-30T12:00:00"/>
    <s v="Kochi"/>
    <n v="1"/>
    <m/>
    <n v="1888"/>
    <n v="18.890360169491526"/>
    <s v="High"/>
  </r>
  <r>
    <s v="P10316"/>
    <n v="20251119"/>
    <x v="3"/>
    <x v="1"/>
    <x v="1"/>
    <n v="5843"/>
    <n v="9330"/>
    <n v="390"/>
    <n v="54"/>
    <n v="56"/>
    <n v="24"/>
    <n v="0"/>
    <n v="23"/>
    <d v="1899-12-30T08:00:00"/>
    <s v="Bengaluru"/>
    <n v="1"/>
    <m/>
    <n v="524"/>
    <n v="11.150763358778626"/>
    <s v="High"/>
  </r>
  <r>
    <s v="P11197"/>
    <n v="20260513"/>
    <x v="1"/>
    <x v="3"/>
    <x v="2"/>
    <n v="16883"/>
    <n v="19770"/>
    <n v="1272"/>
    <n v="168"/>
    <n v="60"/>
    <n v="174"/>
    <n v="11205"/>
    <n v="236"/>
    <d v="1899-12-30T15:15:00"/>
    <s v="Hyderabad"/>
    <n v="1"/>
    <m/>
    <n v="1674"/>
    <n v="10.08542413381123"/>
    <s v="High"/>
  </r>
  <r>
    <s v="P11308"/>
    <n v="20260115"/>
    <x v="2"/>
    <x v="5"/>
    <x v="3"/>
    <n v="9717"/>
    <n v="10461"/>
    <n v="676"/>
    <n v="52"/>
    <n v="33"/>
    <n v="100"/>
    <n v="4779"/>
    <n v="15"/>
    <d v="1899-12-30T12:15:00"/>
    <s v="Chennai"/>
    <n v="1"/>
    <m/>
    <n v="861"/>
    <n v="11.285714285714286"/>
    <s v="High"/>
  </r>
  <r>
    <s v="P10767"/>
    <n v="20250930"/>
    <x v="4"/>
    <x v="6"/>
    <x v="0"/>
    <n v="27540"/>
    <n v="39716"/>
    <n v="2414"/>
    <n v="94"/>
    <n v="352"/>
    <n v="366"/>
    <n v="0"/>
    <n v="69"/>
    <d v="1899-12-30T13:00:00"/>
    <s v="Kolkata"/>
    <n v="1"/>
    <m/>
    <n v="3226"/>
    <n v="8.5368877867327964"/>
    <s v="Medium"/>
  </r>
  <r>
    <s v="P10329"/>
    <n v="20260212"/>
    <x v="2"/>
    <x v="6"/>
    <x v="4"/>
    <n v="8683"/>
    <n v="12648"/>
    <n v="763"/>
    <n v="80"/>
    <n v="90"/>
    <n v="105"/>
    <n v="4268"/>
    <n v="44"/>
    <d v="1899-12-30T10:15:00"/>
    <s v="Mumbai"/>
    <n v="1"/>
    <m/>
    <n v="1038"/>
    <n v="8.3651252408477834"/>
    <s v="Medium"/>
  </r>
  <r>
    <s v="P11674"/>
    <n v="20250612"/>
    <x v="3"/>
    <x v="2"/>
    <x v="2"/>
    <n v="24916"/>
    <n v="34541"/>
    <n v="1460"/>
    <n v="154"/>
    <n v="239"/>
    <n v="125"/>
    <n v="19546"/>
    <n v="97"/>
    <d v="1899-12-30T11:45:00"/>
    <s v="Kolkata"/>
    <n v="1"/>
    <m/>
    <n v="1978"/>
    <n v="12.596562184024267"/>
    <s v="High"/>
  </r>
  <r>
    <s v="P11392"/>
    <n v="20250617"/>
    <x v="2"/>
    <x v="0"/>
    <x v="3"/>
    <n v="7803"/>
    <n v="10732"/>
    <n v="453"/>
    <n v="61"/>
    <n v="89"/>
    <n v="37"/>
    <n v="4892"/>
    <n v="94"/>
    <d v="1899-12-30T22:45:00"/>
    <s v="Mumbai"/>
    <n v="1"/>
    <m/>
    <n v="640"/>
    <n v="12.192187499999999"/>
    <s v="High"/>
  </r>
  <r>
    <s v="P11085"/>
    <n v="20250531"/>
    <x v="2"/>
    <x v="3"/>
    <x v="5"/>
    <n v="22750"/>
    <n v="33215"/>
    <n v="1849"/>
    <n v="100"/>
    <n v="69"/>
    <n v="170"/>
    <n v="0"/>
    <n v="187"/>
    <d v="1899-12-30T09:00:00"/>
    <s v="Mumbai"/>
    <n v="1"/>
    <m/>
    <n v="2188"/>
    <n v="10.397623400365632"/>
    <s v="High"/>
  </r>
  <r>
    <s v="P11207"/>
    <n v="20250213"/>
    <x v="0"/>
    <x v="1"/>
    <x v="4"/>
    <n v="35751"/>
    <n v="44764"/>
    <n v="2446"/>
    <n v="67"/>
    <n v="157"/>
    <n v="273"/>
    <n v="26036"/>
    <n v="299"/>
    <d v="1899-12-30T17:30:00"/>
    <s v="Hyderabad"/>
    <n v="1"/>
    <m/>
    <n v="2943"/>
    <n v="12.147808358817533"/>
    <s v="High"/>
  </r>
  <r>
    <s v="P11684"/>
    <n v="20250110"/>
    <x v="0"/>
    <x v="0"/>
    <x v="0"/>
    <n v="21042"/>
    <n v="26581"/>
    <n v="1760"/>
    <n v="245"/>
    <n v="308"/>
    <n v="221"/>
    <n v="0"/>
    <n v="323"/>
    <d v="1899-12-30T14:45:00"/>
    <s v="Kochi"/>
    <n v="1"/>
    <m/>
    <n v="2534"/>
    <n v="8.3038674033149178"/>
    <s v="Medium"/>
  </r>
  <r>
    <s v="P10792"/>
    <n v="20260301"/>
    <x v="3"/>
    <x v="1"/>
    <x v="1"/>
    <n v="15999"/>
    <n v="17350"/>
    <n v="1398"/>
    <n v="165"/>
    <n v="90"/>
    <n v="110"/>
    <n v="0"/>
    <n v="30"/>
    <d v="1899-12-30T09:30:00"/>
    <s v="Chennai"/>
    <n v="1"/>
    <m/>
    <n v="1763"/>
    <n v="9.0748723766307435"/>
    <s v="Medium"/>
  </r>
  <r>
    <s v="P11012"/>
    <n v="20250304"/>
    <x v="2"/>
    <x v="1"/>
    <x v="3"/>
    <n v="8423"/>
    <n v="13649"/>
    <n v="432"/>
    <n v="51"/>
    <n v="39"/>
    <n v="9"/>
    <n v="3122"/>
    <n v="140"/>
    <d v="1899-12-30T17:15:00"/>
    <s v="Coimbatore"/>
    <n v="1"/>
    <m/>
    <n v="531"/>
    <n v="15.862523540489642"/>
    <s v="High"/>
  </r>
  <r>
    <s v="P10154"/>
    <n v="20260925"/>
    <x v="0"/>
    <x v="6"/>
    <x v="2"/>
    <n v="4901"/>
    <n v="8017"/>
    <n v="372"/>
    <n v="39"/>
    <n v="65"/>
    <n v="12"/>
    <n v="3795"/>
    <n v="67"/>
    <d v="1899-12-30T08:30:00"/>
    <s v="Hyderabad"/>
    <n v="1"/>
    <m/>
    <n v="488"/>
    <n v="10.043032786885245"/>
    <s v="High"/>
  </r>
  <r>
    <s v="P11846"/>
    <n v="20260509"/>
    <x v="0"/>
    <x v="4"/>
    <x v="0"/>
    <n v="21407"/>
    <n v="26926"/>
    <n v="1554"/>
    <n v="169"/>
    <n v="249"/>
    <n v="86"/>
    <n v="0"/>
    <n v="37"/>
    <d v="1899-12-30T18:45:00"/>
    <m/>
    <n v="1"/>
    <m/>
    <n v="2058"/>
    <n v="10.401846452866861"/>
    <s v="High"/>
  </r>
  <r>
    <s v="P10521"/>
    <n v="20250713"/>
    <x v="1"/>
    <x v="3"/>
    <x v="4"/>
    <n v="5655"/>
    <n v="8148"/>
    <n v="324"/>
    <n v="26"/>
    <n v="29"/>
    <n v="7"/>
    <n v="4641"/>
    <n v="8"/>
    <d v="1899-12-30T09:00:00"/>
    <s v="Hyderabad"/>
    <n v="1"/>
    <m/>
    <n v="386"/>
    <n v="14.650259067357513"/>
    <s v="High"/>
  </r>
  <r>
    <s v="P11895"/>
    <n v="20260615"/>
    <x v="2"/>
    <x v="1"/>
    <x v="3"/>
    <n v="10250"/>
    <n v="14356"/>
    <n v="719"/>
    <n v="74"/>
    <n v="118"/>
    <n v="82"/>
    <n v="8978"/>
    <n v="10"/>
    <d v="1899-12-30T12:30:00"/>
    <s v="Kochi"/>
    <n v="1"/>
    <m/>
    <n v="993"/>
    <n v="10.322255790533736"/>
    <s v="High"/>
  </r>
  <r>
    <s v="P10293"/>
    <n v="20260422"/>
    <x v="1"/>
    <x v="0"/>
    <x v="4"/>
    <n v="16045"/>
    <n v="20237"/>
    <n v="551"/>
    <n v="22"/>
    <n v="54"/>
    <n v="42"/>
    <n v="7104"/>
    <n v="23"/>
    <d v="1899-12-30T22:45:00"/>
    <s v="Pune"/>
    <n v="1"/>
    <m/>
    <n v="669"/>
    <n v="23.98355754857997"/>
    <s v="High"/>
  </r>
  <r>
    <s v="P10069"/>
    <n v="20250611"/>
    <x v="2"/>
    <x v="4"/>
    <x v="5"/>
    <n v="4328"/>
    <n v="5981"/>
    <n v="446"/>
    <n v="52"/>
    <n v="25"/>
    <n v="55"/>
    <n v="0"/>
    <n v="42"/>
    <d v="1899-12-30T21:45:00"/>
    <s v="Madurai"/>
    <n v="1"/>
    <m/>
    <n v="578"/>
    <n v="7.4878892733564015"/>
    <s v="Medium"/>
  </r>
  <r>
    <s v="P11848"/>
    <n v="20250605"/>
    <x v="2"/>
    <x v="3"/>
    <x v="2"/>
    <n v="7567"/>
    <n v="11228"/>
    <n v="632"/>
    <n v="47"/>
    <n v="68"/>
    <n v="33"/>
    <n v="3459"/>
    <n v="120"/>
    <d v="1899-12-30T09:30:00"/>
    <s v="Hyderabad"/>
    <n v="1"/>
    <m/>
    <n v="780"/>
    <n v="9.7012820512820515"/>
    <s v="Medium"/>
  </r>
  <r>
    <s v="P11010"/>
    <n v="20250626"/>
    <x v="3"/>
    <x v="2"/>
    <x v="3"/>
    <n v="56781"/>
    <n v="63785"/>
    <n v="3479"/>
    <n v="266"/>
    <n v="611"/>
    <n v="423"/>
    <n v="29293"/>
    <n v="59"/>
    <d v="1899-12-30T22:30:00"/>
    <s v="Chennai"/>
    <n v="1"/>
    <m/>
    <n v="4779"/>
    <n v="11.881355932203389"/>
    <s v="High"/>
  </r>
  <r>
    <s v="P11318"/>
    <n v="20260725"/>
    <x v="3"/>
    <x v="5"/>
    <x v="3"/>
    <n v="44272"/>
    <n v="72501"/>
    <n v="4075"/>
    <n v="292"/>
    <n v="393"/>
    <n v="400"/>
    <n v="22123"/>
    <n v="479"/>
    <d v="1899-12-30T19:30:00"/>
    <s v="Delhi"/>
    <n v="1"/>
    <m/>
    <n v="5160"/>
    <n v="8.57984496124031"/>
    <s v="Medium"/>
  </r>
  <r>
    <s v="P11512"/>
    <n v="20250718"/>
    <x v="0"/>
    <x v="6"/>
    <x v="4"/>
    <n v="28298"/>
    <n v="30337"/>
    <n v="741"/>
    <n v="46"/>
    <n v="68"/>
    <n v="46"/>
    <n v="24463"/>
    <n v="240"/>
    <d v="1899-12-30T21:00:00"/>
    <s v="Pune"/>
    <n v="1"/>
    <m/>
    <n v="901"/>
    <n v="31.407325194228633"/>
    <s v="High"/>
  </r>
  <r>
    <s v="P10997"/>
    <n v="20250316"/>
    <x v="2"/>
    <x v="4"/>
    <x v="3"/>
    <n v="21472"/>
    <n v="30233"/>
    <n v="1963"/>
    <n v="159"/>
    <n v="138"/>
    <n v="131"/>
    <n v="13822"/>
    <n v="103"/>
    <d v="1899-12-30T10:30:00"/>
    <s v="Mumbai"/>
    <n v="1"/>
    <m/>
    <n v="2391"/>
    <n v="8.9803429527394396"/>
    <s v="Medium"/>
  </r>
  <r>
    <s v="P11454"/>
    <n v="20250729"/>
    <x v="4"/>
    <x v="1"/>
    <x v="0"/>
    <n v="43747"/>
    <n v="48854"/>
    <n v="3725"/>
    <n v="518"/>
    <n v="555"/>
    <n v="583"/>
    <n v="0"/>
    <n v="546"/>
    <d v="1899-12-30T09:30:00"/>
    <s v="Madurai"/>
    <n v="1"/>
    <m/>
    <n v="5381"/>
    <n v="8.129901505296413"/>
    <s v="Medium"/>
  </r>
  <r>
    <s v="P11985"/>
    <n v="20260922"/>
    <x v="0"/>
    <x v="3"/>
    <x v="4"/>
    <n v="39026"/>
    <n v="57706"/>
    <n v="1254"/>
    <n v="44"/>
    <n v="73"/>
    <n v="147"/>
    <n v="31163"/>
    <n v="53"/>
    <d v="1899-12-30T08:15:00"/>
    <s v="Coimbatore"/>
    <n v="1"/>
    <m/>
    <n v="1518"/>
    <n v="25.708827404479578"/>
    <s v="High"/>
  </r>
  <r>
    <s v="P11411"/>
    <n v="20251229"/>
    <x v="0"/>
    <x v="6"/>
    <x v="2"/>
    <n v="7433"/>
    <n v="10608"/>
    <n v="542"/>
    <m/>
    <n v="69"/>
    <n v="25"/>
    <n v="4446"/>
    <n v="109"/>
    <d v="1899-12-30T17:15:00"/>
    <s v="Delhi"/>
    <n v="1"/>
    <m/>
    <n v="636"/>
    <n v="11.687106918238994"/>
    <s v="High"/>
  </r>
  <r>
    <s v="P11934"/>
    <n v="20251015"/>
    <x v="2"/>
    <x v="1"/>
    <x v="3"/>
    <n v="15875"/>
    <n v="19882"/>
    <n v="1897"/>
    <n v="212"/>
    <n v="292"/>
    <n v="295"/>
    <n v="6984"/>
    <n v="277"/>
    <d v="1899-12-30T15:00:00"/>
    <s v="Bengaluru"/>
    <n v="1"/>
    <m/>
    <n v="2696"/>
    <n v="5.8883531157270026"/>
    <s v="Medium"/>
  </r>
  <r>
    <s v="P11468"/>
    <n v="20260427"/>
    <x v="0"/>
    <x v="2"/>
    <x v="5"/>
    <n v="11407"/>
    <n v="16714"/>
    <n v="1089"/>
    <n v="34"/>
    <n v="58"/>
    <n v="142"/>
    <n v="0"/>
    <n v="23"/>
    <d v="1899-12-30T20:15:00"/>
    <s v="Delhi"/>
    <n v="1"/>
    <m/>
    <n v="1323"/>
    <n v="8.6220710506424787"/>
    <s v="Medium"/>
  </r>
  <r>
    <s v="P10559"/>
    <n v="20250710"/>
    <x v="0"/>
    <x v="4"/>
    <x v="4"/>
    <n v="17993"/>
    <n v="25932"/>
    <n v="902"/>
    <n v="27"/>
    <n v="68"/>
    <n v="102"/>
    <n v="8932"/>
    <n v="249"/>
    <d v="1899-12-30T10:45:00"/>
    <s v="Kolkata"/>
    <n v="1"/>
    <m/>
    <n v="1099"/>
    <n v="16.372156505914468"/>
    <s v="High"/>
  </r>
  <r>
    <s v="P11023"/>
    <n v="20251226"/>
    <x v="1"/>
    <x v="3"/>
    <x v="3"/>
    <n v="12531"/>
    <n v="13213"/>
    <n v="515"/>
    <n v="35"/>
    <n v="36"/>
    <n v="59"/>
    <n v="6963"/>
    <n v="56"/>
    <d v="1899-12-30T08:15:00"/>
    <s v="Bengaluru"/>
    <n v="1"/>
    <m/>
    <n v="645"/>
    <n v="19.427906976744186"/>
    <s v="High"/>
  </r>
  <r>
    <s v="P10612"/>
    <n v="20250110"/>
    <x v="3"/>
    <x v="5"/>
    <x v="2"/>
    <n v="11685"/>
    <n v="15612"/>
    <n v="436"/>
    <n v="28"/>
    <n v="84"/>
    <n v="53"/>
    <n v="10476"/>
    <n v="183"/>
    <d v="1899-12-30T13:45:00"/>
    <s v="Chennai"/>
    <n v="1"/>
    <m/>
    <n v="601"/>
    <n v="19.442595673876873"/>
    <s v="High"/>
  </r>
  <r>
    <s v="P10986"/>
    <n v="20260307"/>
    <x v="3"/>
    <x v="6"/>
    <x v="2"/>
    <n v="24935"/>
    <n v="41048"/>
    <n v="2838"/>
    <n v="387"/>
    <n v="338"/>
    <n v="210"/>
    <n v="11569"/>
    <n v="391"/>
    <d v="1899-12-30T19:00:00"/>
    <s v="Pune"/>
    <n v="1"/>
    <m/>
    <n v="3773"/>
    <n v="6.6087993639014044"/>
    <s v="Medium"/>
  </r>
  <r>
    <s v="P10796"/>
    <n v="20251116"/>
    <x v="4"/>
    <x v="3"/>
    <x v="2"/>
    <n v="17588"/>
    <n v="28058"/>
    <n v="580"/>
    <n v="24"/>
    <n v="82"/>
    <n v="40"/>
    <n v="6929"/>
    <n v="288"/>
    <d v="1899-12-30T11:30:00"/>
    <s v="Chennai"/>
    <n v="1"/>
    <m/>
    <n v="726"/>
    <n v="24.225895316804408"/>
    <s v="High"/>
  </r>
  <r>
    <s v="P11862"/>
    <n v="20260809"/>
    <x v="0"/>
    <x v="2"/>
    <x v="2"/>
    <n v="23442"/>
    <n v="36685"/>
    <n v="1628"/>
    <n v="186"/>
    <n v="235"/>
    <n v="208"/>
    <n v="18436"/>
    <n v="194"/>
    <d v="1899-12-30T16:15:00"/>
    <s v="Hyderabad"/>
    <n v="1"/>
    <m/>
    <n v="2257"/>
    <n v="10.386353566681436"/>
    <s v="High"/>
  </r>
  <r>
    <s v="P11831"/>
    <n v="20260303"/>
    <x v="0"/>
    <x v="6"/>
    <x v="1"/>
    <n v="22483"/>
    <n v="27840"/>
    <n v="2297"/>
    <n v="194"/>
    <n v="285"/>
    <n v="51"/>
    <n v="0"/>
    <n v="310"/>
    <d v="1899-12-30T22:15:00"/>
    <s v="Bengaluru"/>
    <n v="1"/>
    <m/>
    <n v="2827"/>
    <n v="7.9529536611248677"/>
    <s v="Medium"/>
  </r>
  <r>
    <s v="P10011"/>
    <n v="20251127"/>
    <x v="3"/>
    <x v="1"/>
    <x v="5"/>
    <n v="23927"/>
    <n v="30523"/>
    <n v="2310"/>
    <n v="192"/>
    <n v="170"/>
    <n v="285"/>
    <n v="0"/>
    <n v="278"/>
    <d v="1899-12-30T10:30:00"/>
    <s v="Kolkata"/>
    <n v="1"/>
    <m/>
    <n v="2957"/>
    <n v="8.091646939465674"/>
    <s v="Medium"/>
  </r>
  <r>
    <s v="P11155"/>
    <n v="20250510"/>
    <x v="3"/>
    <x v="6"/>
    <x v="1"/>
    <n v="15413"/>
    <n v="23429"/>
    <n v="1009"/>
    <n v="50"/>
    <n v="44"/>
    <n v="156"/>
    <n v="0"/>
    <n v="27"/>
    <d v="1899-12-30T07:15:00"/>
    <s v="Chennai"/>
    <n v="1"/>
    <m/>
    <n v="1259"/>
    <n v="12.242255758538523"/>
    <s v="High"/>
  </r>
  <r>
    <s v="P11730"/>
    <n v="20251102"/>
    <x v="1"/>
    <x v="4"/>
    <x v="4"/>
    <n v="32518"/>
    <n v="38619"/>
    <n v="3820"/>
    <n v="454"/>
    <n v="412"/>
    <n v="609"/>
    <n v="21459"/>
    <n v="192"/>
    <d v="1899-12-30T15:45:00"/>
    <s v="Kolkata"/>
    <n v="1"/>
    <m/>
    <n v="5295"/>
    <n v="6.1412653446647782"/>
    <s v="Medium"/>
  </r>
  <r>
    <s v="P10649"/>
    <n v="20250203"/>
    <x v="0"/>
    <x v="3"/>
    <x v="5"/>
    <n v="16051"/>
    <n v="23643"/>
    <n v="753"/>
    <n v="99"/>
    <n v="96"/>
    <n v="53"/>
    <n v="0"/>
    <n v="21"/>
    <d v="1899-12-30T22:00:00"/>
    <s v="Delhi"/>
    <n v="1"/>
    <m/>
    <n v="1001"/>
    <n v="16.034965034965033"/>
    <s v="High"/>
  </r>
  <r>
    <s v="P11826"/>
    <n v="20250212"/>
    <x v="1"/>
    <x v="6"/>
    <x v="0"/>
    <n v="9097"/>
    <n v="12687"/>
    <n v="246"/>
    <n v="18"/>
    <n v="28"/>
    <n v="22"/>
    <n v="0"/>
    <n v="152"/>
    <d v="1899-12-30T16:15:00"/>
    <m/>
    <n v="1"/>
    <m/>
    <n v="314"/>
    <n v="28.971337579617835"/>
    <s v="High"/>
  </r>
  <r>
    <s v="P10513"/>
    <n v="20250910"/>
    <x v="4"/>
    <x v="3"/>
    <x v="5"/>
    <n v="204612"/>
    <n v="298740"/>
    <n v="14544"/>
    <n v="606"/>
    <n v="2538"/>
    <n v="2246"/>
    <n v="0"/>
    <n v="3184"/>
    <d v="1899-12-30T22:45:00"/>
    <s v="Bengaluru"/>
    <n v="1"/>
    <m/>
    <n v="19934"/>
    <n v="10.264472760108358"/>
    <s v="High"/>
  </r>
  <r>
    <s v="P10983"/>
    <n v="20250101"/>
    <x v="0"/>
    <x v="3"/>
    <x v="1"/>
    <n v="22244"/>
    <n v="24049"/>
    <n v="2413"/>
    <n v="195"/>
    <n v="390"/>
    <n v="320"/>
    <n v="0"/>
    <n v="149"/>
    <d v="1899-12-30T17:00:00"/>
    <s v="Hyderabad"/>
    <n v="1"/>
    <m/>
    <n v="3318"/>
    <n v="6.7040385774562994"/>
    <s v="Medium"/>
  </r>
  <r>
    <s v="P10755"/>
    <n v="20250103"/>
    <x v="3"/>
    <x v="2"/>
    <x v="2"/>
    <n v="9845"/>
    <n v="14696"/>
    <n v="708"/>
    <n v="87"/>
    <n v="128"/>
    <n v="107"/>
    <n v="5443"/>
    <n v="143"/>
    <d v="1899-12-30T08:30:00"/>
    <s v="Kochi"/>
    <n v="1"/>
    <m/>
    <n v="1030"/>
    <n v="9.5582524271844669"/>
    <s v="Medium"/>
  </r>
  <r>
    <s v="P10602"/>
    <n v="20250525"/>
    <x v="2"/>
    <x v="1"/>
    <x v="4"/>
    <n v="12830"/>
    <n v="16200"/>
    <n v="969"/>
    <n v="69"/>
    <n v="171"/>
    <n v="36"/>
    <n v="7714"/>
    <n v="80"/>
    <d v="1899-12-30T17:45:00"/>
    <s v="Mumbai"/>
    <n v="1"/>
    <m/>
    <n v="1245"/>
    <n v="10.305220883534137"/>
    <s v="High"/>
  </r>
  <r>
    <s v="P11959"/>
    <n v="20250728"/>
    <x v="2"/>
    <x v="0"/>
    <x v="5"/>
    <n v="19958"/>
    <n v="27033"/>
    <n v="1111"/>
    <n v="51"/>
    <n v="220"/>
    <n v="127"/>
    <n v="0"/>
    <n v="300"/>
    <d v="1899-12-30T17:15:00"/>
    <s v="Madurai"/>
    <n v="1"/>
    <m/>
    <n v="1509"/>
    <n v="13.225977468522201"/>
    <s v="High"/>
  </r>
  <r>
    <s v="P11840"/>
    <n v="20251120"/>
    <x v="4"/>
    <x v="0"/>
    <x v="2"/>
    <n v="47236"/>
    <n v="63556"/>
    <n v="2148"/>
    <n v="144"/>
    <n v="79"/>
    <n v="223"/>
    <n v="39458"/>
    <n v="192"/>
    <d v="1899-12-30T16:00:00"/>
    <s v="Pune"/>
    <n v="1"/>
    <m/>
    <n v="2594"/>
    <n v="18.209714726291441"/>
    <s v="High"/>
  </r>
  <r>
    <s v="P11370"/>
    <n v="20250625"/>
    <x v="1"/>
    <x v="1"/>
    <x v="2"/>
    <n v="8598"/>
    <n v="11714"/>
    <n v="917"/>
    <n v="106"/>
    <n v="33"/>
    <n v="39"/>
    <n v="3158"/>
    <n v="56"/>
    <d v="1899-12-30T13:00:00"/>
    <s v="Delhi"/>
    <n v="1"/>
    <m/>
    <n v="1095"/>
    <n v="7.8520547945205479"/>
    <s v="Medium"/>
  </r>
  <r>
    <s v="P10138"/>
    <n v="20260711"/>
    <x v="3"/>
    <x v="2"/>
    <x v="5"/>
    <n v="16835"/>
    <n v="18792"/>
    <n v="1834"/>
    <n v="207"/>
    <n v="343"/>
    <n v="136"/>
    <n v="0"/>
    <n v="297"/>
    <d v="1899-12-30T12:15:00"/>
    <s v="Coimbatore"/>
    <n v="1"/>
    <m/>
    <n v="2520"/>
    <n v="6.6805555555555554"/>
    <s v="Medium"/>
  </r>
  <r>
    <s v="P11165"/>
    <n v="20250706"/>
    <x v="3"/>
    <x v="6"/>
    <x v="1"/>
    <n v="16355"/>
    <n v="20490"/>
    <n v="1010"/>
    <n v="42"/>
    <n v="177"/>
    <n v="36"/>
    <n v="0"/>
    <n v="178"/>
    <d v="1899-12-30T10:30:00"/>
    <s v="Bengaluru"/>
    <n v="1"/>
    <m/>
    <n v="1265"/>
    <n v="12.928853754940711"/>
    <s v="High"/>
  </r>
  <r>
    <s v="P10552"/>
    <n v="20260401"/>
    <x v="0"/>
    <x v="5"/>
    <x v="4"/>
    <n v="57794"/>
    <n v="81189"/>
    <n v="4261"/>
    <n v="457"/>
    <n v="249"/>
    <n v="208"/>
    <n v="24887"/>
    <n v="300"/>
    <d v="1899-12-30T09:30:00"/>
    <s v="Madurai"/>
    <n v="1"/>
    <m/>
    <n v="5175"/>
    <n v="11.167922705314009"/>
    <s v="High"/>
  </r>
  <r>
    <s v="P11017"/>
    <n v="20251227"/>
    <x v="0"/>
    <x v="2"/>
    <x v="4"/>
    <n v="16751"/>
    <n v="19717"/>
    <n v="628"/>
    <n v="35"/>
    <n v="91"/>
    <n v="39"/>
    <n v="12921"/>
    <n v="241"/>
    <d v="1899-12-30T15:15:00"/>
    <s v="Kochi"/>
    <n v="1"/>
    <m/>
    <n v="793"/>
    <n v="21.123581336696091"/>
    <s v="High"/>
  </r>
  <r>
    <s v="P11703"/>
    <n v="20260924"/>
    <x v="2"/>
    <x v="2"/>
    <x v="0"/>
    <n v="30094"/>
    <n v="37421"/>
    <n v="2332"/>
    <n v="121"/>
    <n v="81"/>
    <n v="174"/>
    <n v="0"/>
    <n v="388"/>
    <d v="1899-12-30T14:15:00"/>
    <s v="Delhi"/>
    <n v="1"/>
    <m/>
    <n v="2708"/>
    <n v="11.112998522895126"/>
    <s v="High"/>
  </r>
  <r>
    <s v="P10713"/>
    <n v="20260207"/>
    <x v="0"/>
    <x v="5"/>
    <x v="1"/>
    <n v="17174"/>
    <n v="18435"/>
    <n v="2046"/>
    <n v="143"/>
    <n v="203"/>
    <n v="69"/>
    <n v="0"/>
    <n v="128"/>
    <d v="1899-12-30T12:45:00"/>
    <s v="Chennai"/>
    <n v="1"/>
    <m/>
    <n v="2461"/>
    <n v="6.9784640390085331"/>
    <s v="Medium"/>
  </r>
  <r>
    <s v="P10944"/>
    <n v="20260919"/>
    <x v="3"/>
    <x v="7"/>
    <x v="0"/>
    <n v="33232"/>
    <n v="46404"/>
    <n v="2146"/>
    <n v="298"/>
    <n v="195"/>
    <n v="340"/>
    <n v="0"/>
    <n v="50"/>
    <d v="1899-12-30T15:00:00"/>
    <s v="Kolkata"/>
    <n v="1"/>
    <m/>
    <n v="2979"/>
    <n v="11.155421282309501"/>
    <s v="High"/>
  </r>
  <r>
    <s v="P11935"/>
    <n v="20250616"/>
    <x v="4"/>
    <x v="5"/>
    <x v="5"/>
    <n v="30267"/>
    <n v="43691"/>
    <n v="1324"/>
    <n v="174"/>
    <n v="199"/>
    <n v="170"/>
    <n v="0"/>
    <n v="120"/>
    <d v="1899-12-30T11:30:00"/>
    <s v="Hyderabad"/>
    <n v="1"/>
    <m/>
    <n v="1867"/>
    <n v="16.211569362613819"/>
    <s v="High"/>
  </r>
  <r>
    <s v="P11977"/>
    <n v="20260204"/>
    <x v="0"/>
    <x v="1"/>
    <x v="5"/>
    <n v="24538"/>
    <n v="27725"/>
    <n v="1460"/>
    <n v="57"/>
    <n v="179"/>
    <n v="101"/>
    <n v="0"/>
    <n v="273"/>
    <d v="1899-12-30T11:00:00"/>
    <s v="Bengaluru"/>
    <n v="1"/>
    <m/>
    <n v="1797"/>
    <n v="13.654980523094046"/>
    <s v="High"/>
  </r>
  <r>
    <s v="P10979"/>
    <n v="20251212"/>
    <x v="4"/>
    <x v="6"/>
    <x v="3"/>
    <n v="104606"/>
    <n v="161260"/>
    <n v="5843"/>
    <n v="633"/>
    <n v="728"/>
    <n v="862"/>
    <n v="74029"/>
    <n v="639"/>
    <d v="1899-12-30T10:00:00"/>
    <s v="Pune"/>
    <n v="1"/>
    <m/>
    <n v="8066"/>
    <n v="12.968757748574262"/>
    <s v="High"/>
  </r>
  <r>
    <s v="P10946"/>
    <n v="20251010"/>
    <x v="1"/>
    <x v="0"/>
    <x v="3"/>
    <n v="26511"/>
    <n v="39981"/>
    <n v="2338"/>
    <n v="140"/>
    <n v="106"/>
    <n v="161"/>
    <n v="12472"/>
    <n v="177"/>
    <d v="1899-12-30T22:15:00"/>
    <s v="Delhi"/>
    <n v="1"/>
    <m/>
    <n v="2745"/>
    <n v="9.6579234972677597"/>
    <s v="Medium"/>
  </r>
  <r>
    <s v="P11635"/>
    <n v="20250907"/>
    <x v="4"/>
    <x v="5"/>
    <x v="5"/>
    <n v="52872"/>
    <n v="63404"/>
    <n v="3832"/>
    <n v="176"/>
    <n v="248"/>
    <n v="405"/>
    <n v="0"/>
    <n v="883"/>
    <d v="1899-12-30T07:45:00"/>
    <s v="Kolkata"/>
    <n v="1"/>
    <m/>
    <n v="4661"/>
    <n v="11.343488521776443"/>
    <s v="High"/>
  </r>
  <r>
    <s v="P10105"/>
    <n v="20250202"/>
    <x v="2"/>
    <x v="0"/>
    <x v="0"/>
    <n v="4417"/>
    <n v="5412"/>
    <n v="232"/>
    <n v="29"/>
    <n v="13"/>
    <n v="21"/>
    <n v="0"/>
    <n v="75"/>
    <d v="1899-12-30T12:45:00"/>
    <s v="Kochi"/>
    <n v="1"/>
    <m/>
    <n v="295"/>
    <n v="14.972881355932204"/>
    <s v="High"/>
  </r>
  <r>
    <s v="P10508"/>
    <n v="20250823"/>
    <x v="4"/>
    <x v="5"/>
    <x v="2"/>
    <n v="19289"/>
    <n v="21398"/>
    <n v="1011"/>
    <n v="91"/>
    <n v="130"/>
    <n v="120"/>
    <n v="12565"/>
    <n v="262"/>
    <d v="1899-12-30T11:30:00"/>
    <s v="Kochi"/>
    <n v="1"/>
    <m/>
    <n v="1352"/>
    <n v="14.267011834319527"/>
    <s v="High"/>
  </r>
  <r>
    <s v="P11957"/>
    <n v="20250621"/>
    <x v="1"/>
    <x v="4"/>
    <x v="2"/>
    <n v="9907"/>
    <n v="12770"/>
    <n v="580"/>
    <n v="32"/>
    <n v="54"/>
    <n v="68"/>
    <n v="5686"/>
    <n v="114"/>
    <d v="1899-12-30T09:15:00"/>
    <s v="Coimbatore"/>
    <n v="1"/>
    <m/>
    <n v="734"/>
    <n v="13.497275204359672"/>
    <s v="High"/>
  </r>
  <r>
    <s v="P10273"/>
    <n v="20251231"/>
    <x v="3"/>
    <x v="3"/>
    <x v="1"/>
    <n v="15809"/>
    <n v="19979"/>
    <n v="1721"/>
    <n v="129"/>
    <n v="243"/>
    <n v="185"/>
    <n v="0"/>
    <n v="271"/>
    <d v="1899-12-30T14:00:00"/>
    <s v="Kolkata"/>
    <n v="1"/>
    <m/>
    <n v="2278"/>
    <n v="6.9398595258999123"/>
    <s v="Medium"/>
  </r>
  <r>
    <s v="P11888"/>
    <n v="20260807"/>
    <x v="4"/>
    <x v="0"/>
    <x v="2"/>
    <n v="15046"/>
    <n v="21438"/>
    <n v="655"/>
    <n v="74"/>
    <m/>
    <n v="50"/>
    <n v="10495"/>
    <n v="172"/>
    <d v="1899-12-30T13:45:00"/>
    <s v="Madurai"/>
    <n v="1"/>
    <m/>
    <n v="779"/>
    <n v="19.314505776636715"/>
    <s v="High"/>
  </r>
  <r>
    <s v="P10509"/>
    <n v="20260811"/>
    <x v="4"/>
    <x v="5"/>
    <x v="2"/>
    <n v="21060"/>
    <n v="27589"/>
    <n v="2004"/>
    <n v="175"/>
    <n v="69"/>
    <n v="263"/>
    <n v="8483"/>
    <n v="304"/>
    <d v="1899-12-30T09:45:00"/>
    <s v="Madurai"/>
    <n v="1"/>
    <m/>
    <n v="2511"/>
    <n v="8.387096774193548"/>
    <s v="Medium"/>
  </r>
  <r>
    <s v="P10822"/>
    <n v="20250104"/>
    <x v="2"/>
    <x v="1"/>
    <x v="2"/>
    <n v="9574"/>
    <n v="15063"/>
    <n v="692"/>
    <n v="52"/>
    <n v="87"/>
    <n v="74"/>
    <n v="5517"/>
    <n v="130"/>
    <d v="1899-12-30T07:15:00"/>
    <s v="Bengaluru"/>
    <n v="1"/>
    <m/>
    <n v="905"/>
    <n v="10.579005524861879"/>
    <s v="High"/>
  </r>
  <r>
    <s v="P10074"/>
    <n v="20260407"/>
    <x v="0"/>
    <x v="0"/>
    <x v="4"/>
    <n v="27177"/>
    <n v="36714"/>
    <n v="1568"/>
    <n v="217"/>
    <n v="205"/>
    <n v="81"/>
    <n v="23481"/>
    <n v="190"/>
    <d v="1899-12-30T22:15:00"/>
    <s v="Bengaluru"/>
    <n v="1"/>
    <m/>
    <n v="2071"/>
    <n v="13.122646064703043"/>
    <s v="High"/>
  </r>
  <r>
    <s v="P10427"/>
    <n v="20260905"/>
    <x v="0"/>
    <x v="0"/>
    <x v="5"/>
    <n v="5385"/>
    <n v="6324"/>
    <n v="645"/>
    <n v="23"/>
    <n v="22"/>
    <n v="92"/>
    <n v="0"/>
    <n v="81"/>
    <d v="1899-12-30T15:00:00"/>
    <s v="Mumbai"/>
    <n v="1"/>
    <m/>
    <n v="782"/>
    <n v="6.8861892583120206"/>
    <s v="Medium"/>
  </r>
  <r>
    <s v="P11921"/>
    <n v="20260820"/>
    <x v="4"/>
    <x v="1"/>
    <x v="2"/>
    <n v="33855"/>
    <n v="37742"/>
    <n v="3417"/>
    <n v="380"/>
    <n v="418"/>
    <n v="350"/>
    <n v="16005"/>
    <n v="423"/>
    <d v="1899-12-30T20:30:00"/>
    <s v="Chennai"/>
    <n v="1"/>
    <m/>
    <n v="4565"/>
    <n v="7.4162102957283684"/>
    <s v="Medium"/>
  </r>
  <r>
    <s v="P10912"/>
    <n v="20260515"/>
    <x v="1"/>
    <x v="1"/>
    <x v="0"/>
    <n v="7062"/>
    <n v="11224"/>
    <n v="801"/>
    <n v="44"/>
    <n v="113"/>
    <n v="121"/>
    <n v="0"/>
    <n v="96"/>
    <d v="1899-12-30T15:15:00"/>
    <s v="Pune"/>
    <n v="1"/>
    <m/>
    <n v="1079"/>
    <n v="6.5449490268767381"/>
    <s v="Medium"/>
  </r>
  <r>
    <s v="P11899"/>
    <n v="20250721"/>
    <x v="4"/>
    <x v="1"/>
    <x v="0"/>
    <n v="24340"/>
    <n v="31227"/>
    <n v="2280"/>
    <n v="258"/>
    <n v="237"/>
    <n v="233"/>
    <n v="0"/>
    <n v="325"/>
    <d v="1899-12-30T11:00:00"/>
    <s v="Pune"/>
    <n v="1"/>
    <m/>
    <n v="3008"/>
    <n v="8.0917553191489358"/>
    <s v="Medium"/>
  </r>
  <r>
    <s v="P11400"/>
    <n v="20250619"/>
    <x v="0"/>
    <x v="0"/>
    <x v="5"/>
    <n v="22500"/>
    <n v="27222"/>
    <n v="1125"/>
    <n v="75"/>
    <n v="78"/>
    <n v="93"/>
    <n v="0"/>
    <n v="238"/>
    <d v="1899-12-30T15:00:00"/>
    <s v="Mumbai"/>
    <n v="1"/>
    <m/>
    <n v="1371"/>
    <n v="16.411378555798688"/>
    <s v="High"/>
  </r>
  <r>
    <s v="P11768"/>
    <n v="20250527"/>
    <x v="3"/>
    <x v="1"/>
    <x v="0"/>
    <n v="14598"/>
    <n v="19122"/>
    <n v="579"/>
    <n v="32"/>
    <n v="84"/>
    <n v="28"/>
    <n v="0"/>
    <n v="33"/>
    <d v="1899-12-30T15:30:00"/>
    <s v="Chennai"/>
    <n v="1"/>
    <m/>
    <n v="723"/>
    <n v="20.190871369294605"/>
    <s v="High"/>
  </r>
  <r>
    <s v="P10862"/>
    <n v="20250405"/>
    <x v="2"/>
    <x v="3"/>
    <x v="5"/>
    <n v="20693"/>
    <n v="30972"/>
    <n v="1425"/>
    <n v="160"/>
    <n v="43"/>
    <n v="196"/>
    <n v="0"/>
    <n v="184"/>
    <d v="1899-12-30T21:15:00"/>
    <s v="Pune"/>
    <n v="1"/>
    <m/>
    <n v="1824"/>
    <n v="11.34484649122807"/>
    <s v="High"/>
  </r>
  <r>
    <s v="P11415"/>
    <n v="20251222"/>
    <x v="3"/>
    <x v="1"/>
    <x v="3"/>
    <n v="21422"/>
    <n v="33267"/>
    <n v="1705"/>
    <n v="117"/>
    <n v="317"/>
    <n v="103"/>
    <n v="16975"/>
    <n v="83"/>
    <d v="1899-12-30T07:00:00"/>
    <s v="Madurai"/>
    <n v="1"/>
    <m/>
    <n v="2242"/>
    <n v="9.5548617305976808"/>
    <s v="Medium"/>
  </r>
  <r>
    <s v="P11146"/>
    <n v="20250617"/>
    <x v="3"/>
    <x v="5"/>
    <x v="0"/>
    <n v="13854"/>
    <n v="15519"/>
    <n v="716"/>
    <n v="71"/>
    <n v="37"/>
    <n v="81"/>
    <n v="0"/>
    <n v="149"/>
    <d v="1899-12-30T20:45:00"/>
    <s v="Bengaluru"/>
    <n v="1"/>
    <m/>
    <n v="905"/>
    <n v="15.308287292817679"/>
    <s v="High"/>
  </r>
  <r>
    <s v="P11437"/>
    <n v="20260216"/>
    <x v="4"/>
    <x v="4"/>
    <x v="1"/>
    <n v="40813"/>
    <n v="48838"/>
    <n v="4062"/>
    <n v="534"/>
    <n v="403"/>
    <n v="272"/>
    <n v="0"/>
    <n v="129"/>
    <d v="1899-12-30T19:15:00"/>
    <s v="Kolkata"/>
    <n v="1"/>
    <m/>
    <n v="5271"/>
    <n v="7.7429330297856191"/>
    <s v="Medium"/>
  </r>
  <r>
    <s v="P10964"/>
    <n v="20251222"/>
    <x v="1"/>
    <x v="2"/>
    <x v="4"/>
    <n v="20266"/>
    <n v="27737"/>
    <n v="1991"/>
    <n v="73"/>
    <n v="168"/>
    <n v="141"/>
    <n v="15361"/>
    <n v="175"/>
    <d v="1899-12-30T15:30:00"/>
    <s v="Hyderabad"/>
    <n v="1"/>
    <m/>
    <n v="2373"/>
    <n v="8.5402444163506104"/>
    <s v="Medium"/>
  </r>
  <r>
    <s v="P11382"/>
    <n v="20250425"/>
    <x v="4"/>
    <x v="0"/>
    <x v="5"/>
    <n v="61000"/>
    <n v="95797"/>
    <n v="6354"/>
    <n v="479"/>
    <n v="1081"/>
    <n v="833"/>
    <n v="0"/>
    <n v="836"/>
    <d v="1899-12-30T16:45:00"/>
    <s v="Bengaluru"/>
    <n v="1"/>
    <m/>
    <n v="8747"/>
    <n v="6.9738195952898137"/>
    <s v="Medium"/>
  </r>
  <r>
    <s v="P11329"/>
    <n v="20260521"/>
    <x v="1"/>
    <x v="5"/>
    <x v="4"/>
    <n v="11066"/>
    <n v="14075"/>
    <n v="997"/>
    <n v="29"/>
    <n v="118"/>
    <n v="140"/>
    <n v="4165"/>
    <n v="42"/>
    <d v="1899-12-30T22:00:00"/>
    <s v="Bengaluru"/>
    <n v="1"/>
    <m/>
    <n v="1284"/>
    <n v="8.6183800623052953"/>
    <s v="Medium"/>
  </r>
  <r>
    <s v="P11421"/>
    <n v="20260609"/>
    <x v="1"/>
    <x v="5"/>
    <x v="5"/>
    <n v="5499"/>
    <n v="8044"/>
    <n v="383"/>
    <n v="16"/>
    <n v="65"/>
    <n v="29"/>
    <n v="0"/>
    <n v="35"/>
    <d v="1899-12-30T08:45:00"/>
    <s v="Chennai"/>
    <n v="1"/>
    <m/>
    <n v="493"/>
    <n v="11.154158215010142"/>
    <s v="High"/>
  </r>
  <r>
    <s v="P10606"/>
    <n v="20260701"/>
    <x v="3"/>
    <x v="5"/>
    <x v="3"/>
    <n v="50954"/>
    <n v="74895"/>
    <n v="3964"/>
    <n v="275"/>
    <n v="182"/>
    <n v="524"/>
    <n v="19722"/>
    <n v="745"/>
    <d v="1899-12-30T16:15:00"/>
    <s v="Bengaluru"/>
    <n v="1"/>
    <m/>
    <n v="4945"/>
    <n v="10.304145601617796"/>
    <s v="High"/>
  </r>
  <r>
    <s v="P11464"/>
    <n v="20250320"/>
    <x v="0"/>
    <x v="4"/>
    <x v="3"/>
    <n v="41477"/>
    <n v="53153"/>
    <n v="2401"/>
    <n v="107"/>
    <n v="384"/>
    <n v="358"/>
    <n v="18908"/>
    <n v="562"/>
    <d v="1899-12-30T19:30:00"/>
    <s v="Mumbai"/>
    <n v="1"/>
    <m/>
    <n v="3250"/>
    <n v="12.762153846153845"/>
    <s v="High"/>
  </r>
  <r>
    <s v="P10337"/>
    <n v="20260416"/>
    <x v="1"/>
    <x v="2"/>
    <x v="4"/>
    <n v="13557"/>
    <n v="19901"/>
    <n v="443"/>
    <n v="58"/>
    <n v="14"/>
    <n v="20"/>
    <n v="5635"/>
    <n v="87"/>
    <d v="1899-12-30T11:30:00"/>
    <s v="Hyderabad"/>
    <n v="1"/>
    <m/>
    <n v="535"/>
    <n v="25.340186915887852"/>
    <s v="High"/>
  </r>
  <r>
    <s v="P10676"/>
    <n v="20260311"/>
    <x v="2"/>
    <x v="1"/>
    <x v="2"/>
    <n v="13289"/>
    <n v="20851"/>
    <n v="451"/>
    <n v="37"/>
    <n v="90"/>
    <n v="44"/>
    <n v="11748"/>
    <n v="85"/>
    <d v="1899-12-30T19:45:00"/>
    <s v="Mumbai"/>
    <n v="1"/>
    <m/>
    <n v="622"/>
    <n v="21.364951768488744"/>
    <s v="High"/>
  </r>
  <r>
    <s v="P11483"/>
    <n v="20260623"/>
    <x v="2"/>
    <x v="4"/>
    <x v="4"/>
    <n v="18093"/>
    <n v="28023"/>
    <n v="685"/>
    <n v="20"/>
    <n v="118"/>
    <n v="51"/>
    <n v="10408"/>
    <n v="68"/>
    <d v="1899-12-30T12:00:00"/>
    <s v="Bengaluru"/>
    <n v="1"/>
    <m/>
    <n v="874"/>
    <n v="20.701372997711669"/>
    <s v="High"/>
  </r>
  <r>
    <s v="P10894"/>
    <n v="20260610"/>
    <x v="3"/>
    <x v="0"/>
    <x v="0"/>
    <n v="31344"/>
    <n v="34283"/>
    <n v="2860"/>
    <n v="241"/>
    <n v="366"/>
    <n v="203"/>
    <n v="0"/>
    <n v="415"/>
    <d v="1899-12-30T12:15:00"/>
    <s v="Mumbai"/>
    <n v="1"/>
    <m/>
    <n v="3670"/>
    <n v="8.5405994550408728"/>
    <s v="Medium"/>
  </r>
  <r>
    <s v="P10147"/>
    <n v="20260418"/>
    <x v="1"/>
    <x v="0"/>
    <x v="5"/>
    <n v="6493"/>
    <n v="8546"/>
    <n v="422"/>
    <n v="35"/>
    <n v="47"/>
    <n v="47"/>
    <n v="0"/>
    <n v="48"/>
    <d v="1899-12-30T21:45:00"/>
    <s v="Madurai"/>
    <n v="1"/>
    <m/>
    <n v="551"/>
    <n v="11.784029038112523"/>
    <s v="High"/>
  </r>
  <r>
    <s v="P11839"/>
    <n v="20250220"/>
    <x v="0"/>
    <x v="0"/>
    <x v="3"/>
    <n v="130299"/>
    <n v="192827"/>
    <n v="13915"/>
    <n v="395"/>
    <n v="610"/>
    <n v="1676"/>
    <n v="98763"/>
    <n v="1958"/>
    <d v="1899-12-30T13:00:00"/>
    <s v="Kolkata"/>
    <n v="1"/>
    <m/>
    <n v="16596"/>
    <n v="7.8512292118582794"/>
    <s v="Medium"/>
  </r>
  <r>
    <s v="P11243"/>
    <n v="20260107"/>
    <x v="1"/>
    <x v="6"/>
    <x v="3"/>
    <n v="5164"/>
    <n v="7528"/>
    <n v="617"/>
    <n v="80"/>
    <n v="86"/>
    <n v="32"/>
    <n v="3025"/>
    <n v="85"/>
    <d v="1899-12-30T10:15:00"/>
    <s v="Delhi"/>
    <n v="1"/>
    <m/>
    <n v="815"/>
    <n v="6.3361963190184047"/>
    <s v="Medium"/>
  </r>
  <r>
    <s v="P11694"/>
    <n v="20251109"/>
    <x v="0"/>
    <x v="1"/>
    <x v="4"/>
    <n v="33093"/>
    <n v="41314"/>
    <n v="2307"/>
    <n v="110"/>
    <n v="442"/>
    <n v="100"/>
    <n v="17758"/>
    <n v="409"/>
    <d v="1899-12-30T09:15:00"/>
    <s v="Bengaluru"/>
    <n v="1"/>
    <m/>
    <n v="2959"/>
    <n v="11.183845893883069"/>
    <s v="High"/>
  </r>
  <r>
    <s v="P10030"/>
    <n v="20260420"/>
    <x v="1"/>
    <x v="2"/>
    <x v="0"/>
    <n v="17422"/>
    <n v="25486"/>
    <n v="1975"/>
    <n v="70"/>
    <n v="303"/>
    <n v="128"/>
    <n v="0"/>
    <n v="124"/>
    <d v="1899-12-30T13:30:00"/>
    <s v="Bengaluru"/>
    <n v="1"/>
    <m/>
    <n v="2476"/>
    <n v="7.0363489499192244"/>
    <s v="Medium"/>
  </r>
  <r>
    <s v="P10292"/>
    <n v="20250607"/>
    <x v="4"/>
    <x v="2"/>
    <x v="2"/>
    <n v="18223"/>
    <n v="19703"/>
    <n v="1916"/>
    <n v="186"/>
    <n v="164"/>
    <n v="236"/>
    <n v="9857"/>
    <n v="114"/>
    <d v="1899-12-30T22:30:00"/>
    <s v="Kochi"/>
    <n v="1"/>
    <m/>
    <n v="2502"/>
    <n v="7.283373301358913"/>
    <s v="Medium"/>
  </r>
  <r>
    <s v="P11488"/>
    <n v="20251030"/>
    <x v="1"/>
    <x v="1"/>
    <x v="4"/>
    <n v="22848"/>
    <n v="24989"/>
    <n v="2532"/>
    <n v="326"/>
    <n v="363"/>
    <n v="311"/>
    <n v="8747"/>
    <n v="117"/>
    <d v="1899-12-30T20:00:00"/>
    <s v="Madurai"/>
    <n v="1"/>
    <m/>
    <n v="3532"/>
    <n v="6.4688561721404305"/>
    <s v="Medium"/>
  </r>
  <r>
    <s v="P11461"/>
    <n v="20250107"/>
    <x v="3"/>
    <x v="6"/>
    <x v="2"/>
    <n v="11008"/>
    <n v="13927"/>
    <n v="341"/>
    <n v="45"/>
    <n v="41"/>
    <n v="48"/>
    <n v="7137"/>
    <n v="190"/>
    <d v="1899-12-30T19:00:00"/>
    <s v="Coimbatore"/>
    <n v="1"/>
    <m/>
    <n v="475"/>
    <n v="23.174736842105265"/>
    <s v="High"/>
  </r>
  <r>
    <s v="P10790"/>
    <n v="20260818"/>
    <x v="0"/>
    <x v="4"/>
    <x v="0"/>
    <n v="38816"/>
    <n v="54870"/>
    <n v="2063"/>
    <n v="137"/>
    <n v="262"/>
    <n v="293"/>
    <n v="0"/>
    <n v="139"/>
    <d v="1899-12-30T16:30:00"/>
    <s v="Chennai"/>
    <n v="1"/>
    <m/>
    <n v="2755"/>
    <n v="14.089292196007259"/>
    <s v="High"/>
  </r>
  <r>
    <s v="P11814"/>
    <n v="20250326"/>
    <x v="3"/>
    <x v="0"/>
    <x v="0"/>
    <n v="13298"/>
    <n v="18650"/>
    <n v="1317"/>
    <n v="137"/>
    <n v="60"/>
    <n v="99"/>
    <n v="0"/>
    <n v="194"/>
    <d v="1899-12-30T21:00:00"/>
    <s v="Bengaluru"/>
    <n v="1"/>
    <m/>
    <n v="1613"/>
    <n v="8.2442653440793556"/>
    <s v="Medium"/>
  </r>
  <r>
    <s v="P11484"/>
    <n v="20260117"/>
    <x v="3"/>
    <x v="3"/>
    <x v="4"/>
    <n v="38838"/>
    <n v="41717"/>
    <n v="3985"/>
    <m/>
    <n v="581"/>
    <n v="87"/>
    <n v="25643"/>
    <n v="106"/>
    <d v="1899-12-30T11:15:00"/>
    <s v="Kochi"/>
    <n v="1"/>
    <m/>
    <n v="4653"/>
    <n v="8.3468729851708581"/>
    <s v="Medium"/>
  </r>
  <r>
    <s v="P10501"/>
    <n v="20250705"/>
    <x v="4"/>
    <x v="5"/>
    <x v="4"/>
    <n v="17665"/>
    <n v="23469"/>
    <n v="1170"/>
    <n v="76"/>
    <n v="221"/>
    <n v="30"/>
    <n v="14713"/>
    <n v="205"/>
    <d v="1899-12-30T11:45:00"/>
    <s v="Chennai"/>
    <n v="1"/>
    <m/>
    <n v="1497"/>
    <n v="11.800267201068804"/>
    <s v="High"/>
  </r>
  <r>
    <s v="P10849"/>
    <n v="20250110"/>
    <x v="2"/>
    <x v="5"/>
    <x v="0"/>
    <n v="5671"/>
    <n v="7849"/>
    <n v="164"/>
    <n v="22"/>
    <n v="12"/>
    <n v="18"/>
    <n v="0"/>
    <n v="42"/>
    <d v="1899-12-30T18:00:00"/>
    <s v="Chennai"/>
    <n v="1"/>
    <m/>
    <n v="216"/>
    <n v="26.25462962962963"/>
    <s v="High"/>
  </r>
  <r>
    <s v="P11502"/>
    <n v="20260623"/>
    <x v="0"/>
    <x v="6"/>
    <x v="4"/>
    <n v="40517"/>
    <n v="64067"/>
    <n v="2709"/>
    <n v="297"/>
    <n v="503"/>
    <n v="228"/>
    <n v="33468"/>
    <n v="500"/>
    <d v="1899-12-30T08:45:00"/>
    <s v="Madurai"/>
    <n v="1"/>
    <m/>
    <n v="3737"/>
    <n v="10.842119347069842"/>
    <s v="High"/>
  </r>
  <r>
    <s v="P10310"/>
    <n v="20250913"/>
    <x v="1"/>
    <x v="3"/>
    <x v="4"/>
    <n v="18598"/>
    <n v="21719"/>
    <n v="1991"/>
    <n v="85"/>
    <n v="312"/>
    <n v="118"/>
    <n v="14648"/>
    <n v="86"/>
    <d v="1899-12-30T10:00:00"/>
    <s v="Mumbai"/>
    <n v="1"/>
    <m/>
    <n v="2506"/>
    <n v="7.4213886671987233"/>
    <s v="Medium"/>
  </r>
  <r>
    <s v="P10170"/>
    <n v="20260718"/>
    <x v="4"/>
    <x v="2"/>
    <x v="5"/>
    <n v="19110"/>
    <n v="27319"/>
    <n v="2024"/>
    <n v="165"/>
    <n v="375"/>
    <n v="245"/>
    <n v="0"/>
    <n v="43"/>
    <d v="1899-12-30T20:00:00"/>
    <s v="Kolkata"/>
    <n v="1"/>
    <m/>
    <n v="2809"/>
    <n v="6.8031327874688499"/>
    <s v="Medium"/>
  </r>
  <r>
    <s v="P10077"/>
    <n v="20251204"/>
    <x v="3"/>
    <x v="1"/>
    <x v="4"/>
    <n v="17658"/>
    <n v="28740"/>
    <n v="2020"/>
    <n v="226"/>
    <n v="132"/>
    <n v="59"/>
    <n v="14624"/>
    <n v="30"/>
    <d v="1899-12-30T19:15:00"/>
    <s v="Pune"/>
    <n v="1"/>
    <m/>
    <n v="2437"/>
    <n v="7.2457940090274926"/>
    <s v="Medium"/>
  </r>
  <r>
    <s v="P11387"/>
    <n v="20251016"/>
    <x v="4"/>
    <x v="4"/>
    <x v="3"/>
    <n v="106854"/>
    <n v="157613"/>
    <n v="9540"/>
    <n v="1306"/>
    <n v="651"/>
    <n v="710"/>
    <n v="84868"/>
    <n v="876"/>
    <d v="1899-12-30T22:45:00"/>
    <s v="Madurai"/>
    <n v="1"/>
    <m/>
    <n v="12207"/>
    <n v="8.7535020889653481"/>
    <s v="Medium"/>
  </r>
  <r>
    <s v="P10577"/>
    <n v="20250216"/>
    <x v="4"/>
    <x v="4"/>
    <x v="0"/>
    <n v="87441"/>
    <n v="117734"/>
    <n v="7041"/>
    <n v="293"/>
    <n v="1107"/>
    <n v="989"/>
    <n v="0"/>
    <n v="326"/>
    <d v="1899-12-30T12:15:00"/>
    <s v="Kochi"/>
    <n v="1"/>
    <m/>
    <n v="9430"/>
    <n v="9.2726405090137867"/>
    <s v="Medium"/>
  </r>
  <r>
    <s v="P11356"/>
    <n v="20250714"/>
    <x v="1"/>
    <x v="1"/>
    <x v="4"/>
    <n v="15514"/>
    <n v="22645"/>
    <n v="625"/>
    <n v="18"/>
    <n v="87"/>
    <n v="22"/>
    <n v="12964"/>
    <n v="36"/>
    <d v="1899-12-30T12:45:00"/>
    <s v="Kochi"/>
    <n v="1"/>
    <m/>
    <n v="752"/>
    <n v="20.63031914893617"/>
    <s v="High"/>
  </r>
  <r>
    <s v="P10972"/>
    <n v="20250129"/>
    <x v="2"/>
    <x v="1"/>
    <x v="1"/>
    <n v="5753"/>
    <n v="6756"/>
    <n v="659"/>
    <n v="42"/>
    <n v="121"/>
    <n v="36"/>
    <n v="0"/>
    <n v="61"/>
    <d v="1899-12-30T17:45:00"/>
    <s v="Chennai"/>
    <n v="1"/>
    <m/>
    <n v="858"/>
    <n v="6.7051282051282053"/>
    <s v="Medium"/>
  </r>
  <r>
    <s v="P11776"/>
    <n v="20260729"/>
    <x v="3"/>
    <x v="7"/>
    <x v="3"/>
    <n v="9245"/>
    <n v="13258"/>
    <n v="427"/>
    <n v="42"/>
    <n v="41"/>
    <n v="27"/>
    <n v="5192"/>
    <n v="91"/>
    <d v="1899-12-30T13:45:00"/>
    <s v="Kolkata"/>
    <n v="1"/>
    <m/>
    <n v="537"/>
    <n v="17.216014897579143"/>
    <s v="High"/>
  </r>
  <r>
    <s v="P11592"/>
    <n v="20251110"/>
    <x v="4"/>
    <x v="6"/>
    <x v="5"/>
    <n v="25324"/>
    <n v="30275"/>
    <n v="1620"/>
    <n v="146"/>
    <n v="260"/>
    <n v="65"/>
    <n v="0"/>
    <n v="301"/>
    <d v="1899-12-30T15:15:00"/>
    <s v="Hyderabad"/>
    <n v="1"/>
    <m/>
    <n v="2091"/>
    <n v="12.110951697752272"/>
    <s v="High"/>
  </r>
  <r>
    <s v="P11431"/>
    <n v="20260412"/>
    <x v="1"/>
    <x v="1"/>
    <x v="4"/>
    <n v="5390"/>
    <n v="8368"/>
    <n v="461"/>
    <n v="58"/>
    <n v="62"/>
    <n v="60"/>
    <n v="4685"/>
    <n v="52"/>
    <d v="1899-12-30T11:00:00"/>
    <s v="Pune"/>
    <n v="1"/>
    <m/>
    <n v="641"/>
    <n v="8.408736349453978"/>
    <s v="Medium"/>
  </r>
  <r>
    <s v="P10345"/>
    <n v="20250530"/>
    <x v="1"/>
    <x v="6"/>
    <x v="5"/>
    <n v="11295"/>
    <n v="13895"/>
    <n v="976"/>
    <n v="58"/>
    <n v="145"/>
    <n v="25"/>
    <n v="0"/>
    <n v="192"/>
    <d v="1899-12-30T20:00:00"/>
    <s v="Coimbatore"/>
    <n v="1"/>
    <m/>
    <n v="1204"/>
    <n v="9.381229235880399"/>
    <s v="Medium"/>
  </r>
  <r>
    <s v="P10163"/>
    <n v="20260109"/>
    <x v="0"/>
    <x v="5"/>
    <x v="4"/>
    <n v="28013"/>
    <n v="45306"/>
    <n v="1366"/>
    <n v="186"/>
    <n v="270"/>
    <n v="45"/>
    <n v="20275"/>
    <n v="109"/>
    <d v="1899-12-30T10:30:00"/>
    <s v="Delhi"/>
    <n v="1"/>
    <m/>
    <n v="1867"/>
    <n v="15.004284949116229"/>
    <s v="High"/>
  </r>
  <r>
    <s v="P11062"/>
    <n v="20251124"/>
    <x v="3"/>
    <x v="2"/>
    <x v="5"/>
    <n v="19260"/>
    <n v="20735"/>
    <n v="568"/>
    <n v="40"/>
    <n v="98"/>
    <n v="43"/>
    <n v="0"/>
    <n v="305"/>
    <d v="1899-12-30T21:15:00"/>
    <s v="Chennai"/>
    <n v="1"/>
    <m/>
    <n v="749"/>
    <n v="25.714285714285715"/>
    <s v="High"/>
  </r>
  <r>
    <s v="P11618"/>
    <n v="20260321"/>
    <x v="3"/>
    <x v="1"/>
    <x v="5"/>
    <n v="20640"/>
    <n v="23941"/>
    <n v="2265"/>
    <n v="292"/>
    <n v="280"/>
    <n v="265"/>
    <n v="0"/>
    <n v="170"/>
    <d v="1899-12-30T17:30:00"/>
    <s v="Kochi"/>
    <n v="1"/>
    <m/>
    <n v="3102"/>
    <n v="6.653771760154739"/>
    <s v="Medium"/>
  </r>
  <r>
    <s v="P11171"/>
    <n v="20260210"/>
    <x v="2"/>
    <x v="0"/>
    <x v="0"/>
    <n v="17840"/>
    <n v="19162"/>
    <n v="557"/>
    <n v="62"/>
    <n v="23"/>
    <n v="31"/>
    <n v="0"/>
    <n v="285"/>
    <d v="1899-12-30T09:30:00"/>
    <s v="Hyderabad"/>
    <n v="1"/>
    <m/>
    <n v="673"/>
    <n v="26.508172362555722"/>
    <s v="High"/>
  </r>
  <r>
    <s v="P11144"/>
    <n v="20250127"/>
    <x v="0"/>
    <x v="1"/>
    <x v="0"/>
    <n v="7973"/>
    <n v="11734"/>
    <n v="330"/>
    <n v="31"/>
    <n v="34"/>
    <n v="9"/>
    <n v="0"/>
    <n v="89"/>
    <d v="1899-12-30T21:45:00"/>
    <s v="Coimbatore"/>
    <n v="1"/>
    <m/>
    <n v="404"/>
    <n v="19.735148514851485"/>
    <s v="High"/>
  </r>
  <r>
    <s v="P11534"/>
    <n v="20251116"/>
    <x v="0"/>
    <x v="6"/>
    <x v="2"/>
    <n v="17244"/>
    <n v="20076"/>
    <n v="449"/>
    <n v="47"/>
    <n v="83"/>
    <n v="49"/>
    <n v="14870"/>
    <n v="154"/>
    <d v="1899-12-30T14:00:00"/>
    <s v="Mumbai"/>
    <n v="1"/>
    <m/>
    <n v="628"/>
    <n v="27.458598726114651"/>
    <s v="High"/>
  </r>
  <r>
    <s v="P11633"/>
    <n v="20260909"/>
    <x v="2"/>
    <x v="5"/>
    <x v="4"/>
    <n v="12115"/>
    <n v="18563"/>
    <n v="659"/>
    <n v="36"/>
    <n v="76"/>
    <n v="65"/>
    <n v="6047"/>
    <n v="150"/>
    <d v="1899-12-30T17:30:00"/>
    <s v="Kolkata"/>
    <n v="1"/>
    <m/>
    <n v="836"/>
    <n v="14.491626794258373"/>
    <s v="High"/>
  </r>
  <r>
    <s v="P10542"/>
    <n v="20250401"/>
    <x v="2"/>
    <x v="1"/>
    <x v="2"/>
    <n v="2690"/>
    <n v="3412"/>
    <n v="227"/>
    <n v="18"/>
    <n v="15"/>
    <n v="22"/>
    <n v="1609"/>
    <n v="18"/>
    <d v="1899-12-30T10:15:00"/>
    <s v="Chennai"/>
    <n v="1"/>
    <m/>
    <n v="282"/>
    <n v="9.539007092198581"/>
    <s v="Medium"/>
  </r>
  <r>
    <s v="P10733"/>
    <n v="20251216"/>
    <x v="2"/>
    <x v="4"/>
    <x v="3"/>
    <n v="14886"/>
    <n v="16029"/>
    <n v="778"/>
    <n v="41"/>
    <n v="37"/>
    <n v="79"/>
    <n v="6804"/>
    <n v="114"/>
    <d v="1899-12-30T18:00:00"/>
    <s v="Coimbatore"/>
    <n v="1"/>
    <m/>
    <n v="935"/>
    <n v="15.920855614973261"/>
    <s v="High"/>
  </r>
  <r>
    <s v="P10910"/>
    <n v="20260708"/>
    <x v="3"/>
    <x v="1"/>
    <x v="2"/>
    <n v="48161"/>
    <n v="56738"/>
    <n v="4192"/>
    <n v="477"/>
    <n v="451"/>
    <n v="190"/>
    <n v="20837"/>
    <n v="674"/>
    <d v="1899-12-30T22:45:00"/>
    <s v="Coimbatore"/>
    <n v="1"/>
    <m/>
    <n v="5310"/>
    <n v="9.0698681732580031"/>
    <s v="Medium"/>
  </r>
  <r>
    <s v="P11332"/>
    <n v="20250223"/>
    <x v="0"/>
    <x v="1"/>
    <x v="0"/>
    <n v="16382"/>
    <n v="18701"/>
    <n v="1067"/>
    <n v="147"/>
    <n v="140"/>
    <n v="22"/>
    <n v="0"/>
    <n v="76"/>
    <d v="1899-12-30T13:45:00"/>
    <s v="Mumbai"/>
    <n v="1"/>
    <m/>
    <n v="1376"/>
    <n v="11.905523255813954"/>
    <s v="High"/>
  </r>
  <r>
    <s v="P10700"/>
    <n v="20250421"/>
    <x v="0"/>
    <x v="0"/>
    <x v="3"/>
    <n v="43150"/>
    <n v="69388"/>
    <n v="2027"/>
    <n v="173"/>
    <n v="182"/>
    <n v="80"/>
    <n v="25361"/>
    <n v="591"/>
    <d v="1899-12-30T21:30:00"/>
    <s v="Delhi"/>
    <n v="1"/>
    <m/>
    <n v="2462"/>
    <n v="17.526401299756294"/>
    <s v="High"/>
  </r>
  <r>
    <s v="P11672"/>
    <n v="20250128"/>
    <x v="0"/>
    <x v="4"/>
    <x v="0"/>
    <n v="16630"/>
    <n v="21638"/>
    <n v="1181"/>
    <n v="93"/>
    <n v="194"/>
    <n v="119"/>
    <n v="0"/>
    <n v="58"/>
    <d v="1899-12-30T07:45:00"/>
    <s v="Pune"/>
    <n v="1"/>
    <m/>
    <n v="1587"/>
    <n v="10.478890989287965"/>
    <s v="High"/>
  </r>
  <r>
    <s v="P10166"/>
    <n v="20250821"/>
    <x v="2"/>
    <x v="1"/>
    <x v="3"/>
    <n v="13038"/>
    <n v="14699"/>
    <n v="1228"/>
    <n v="102"/>
    <n v="174"/>
    <n v="191"/>
    <n v="6493"/>
    <n v="137"/>
    <d v="1899-12-30T19:45:00"/>
    <s v="Coimbatore"/>
    <n v="1"/>
    <m/>
    <n v="1695"/>
    <n v="7.6920353982300886"/>
    <s v="Medium"/>
  </r>
  <r>
    <s v="P11665"/>
    <n v="20260915"/>
    <x v="0"/>
    <x v="3"/>
    <x v="5"/>
    <n v="16797"/>
    <n v="18136"/>
    <n v="551"/>
    <n v="51"/>
    <n v="103"/>
    <n v="85"/>
    <n v="0"/>
    <n v="118"/>
    <d v="1899-12-30T18:15:00"/>
    <s v="Mumbai"/>
    <n v="1"/>
    <m/>
    <n v="790"/>
    <n v="21.262025316455695"/>
    <s v="High"/>
  </r>
  <r>
    <s v="P10361"/>
    <n v="20250216"/>
    <x v="0"/>
    <x v="0"/>
    <x v="4"/>
    <n v="24671"/>
    <n v="26770"/>
    <n v="2653"/>
    <n v="175"/>
    <n v="367"/>
    <n v="173"/>
    <n v="21465"/>
    <n v="90"/>
    <d v="1899-12-30T22:30:00"/>
    <s v="Chennai"/>
    <n v="1"/>
    <m/>
    <n v="3368"/>
    <n v="7.3251187648456053"/>
    <s v="Medium"/>
  </r>
  <r>
    <s v="P11396"/>
    <n v="20260725"/>
    <x v="1"/>
    <x v="1"/>
    <x v="3"/>
    <n v="25133"/>
    <n v="41129"/>
    <n v="917"/>
    <n v="92"/>
    <n v="168"/>
    <n v="84"/>
    <n v="20811"/>
    <n v="379"/>
    <d v="1899-12-30T09:45:00"/>
    <s v="Coimbatore"/>
    <n v="1"/>
    <m/>
    <n v="1261"/>
    <n v="19.931007137192704"/>
    <s v="High"/>
  </r>
  <r>
    <s v="P11055"/>
    <n v="20260421"/>
    <x v="1"/>
    <x v="3"/>
    <x v="0"/>
    <n v="10611"/>
    <n v="16958"/>
    <n v="707"/>
    <n v="87"/>
    <n v="70"/>
    <n v="73"/>
    <n v="0"/>
    <n v="187"/>
    <d v="1899-12-30T07:45:00"/>
    <m/>
    <n v="1"/>
    <m/>
    <n v="937"/>
    <n v="11.32443970117396"/>
    <s v="High"/>
  </r>
  <r>
    <s v="P11052"/>
    <n v="20260115"/>
    <x v="2"/>
    <x v="1"/>
    <x v="4"/>
    <n v="1306"/>
    <n v="1771"/>
    <n v="73"/>
    <n v="2"/>
    <n v="9"/>
    <n v="3"/>
    <n v="633"/>
    <n v="8"/>
    <d v="1899-12-30T20:15:00"/>
    <s v="Hyderabad"/>
    <n v="1"/>
    <m/>
    <n v="87"/>
    <n v="15.011494252873563"/>
    <s v="High"/>
  </r>
  <r>
    <s v="P11678"/>
    <n v="20260228"/>
    <x v="3"/>
    <x v="0"/>
    <x v="4"/>
    <n v="31906"/>
    <n v="52387"/>
    <n v="1948"/>
    <n v="54"/>
    <n v="135"/>
    <n v="309"/>
    <n v="11394"/>
    <n v="444"/>
    <d v="1899-12-30T12:15:00"/>
    <s v="Pune"/>
    <n v="1"/>
    <m/>
    <n v="2446"/>
    <n v="13.044153720359771"/>
    <s v="High"/>
  </r>
  <r>
    <s v="P11455"/>
    <n v="20251102"/>
    <x v="0"/>
    <x v="5"/>
    <x v="0"/>
    <n v="17784"/>
    <n v="28290"/>
    <n v="1607"/>
    <n v="118"/>
    <n v="210"/>
    <n v="253"/>
    <n v="0"/>
    <n v="131"/>
    <d v="1899-12-30T10:15:00"/>
    <s v="Bengaluru"/>
    <n v="1"/>
    <m/>
    <n v="2188"/>
    <n v="8.1279707495429623"/>
    <s v="Medium"/>
  </r>
  <r>
    <s v="P10880"/>
    <n v="20250614"/>
    <x v="2"/>
    <x v="1"/>
    <x v="4"/>
    <n v="5577"/>
    <n v="5857"/>
    <n v="224"/>
    <n v="23"/>
    <n v="19"/>
    <n v="24"/>
    <n v="3503"/>
    <n v="99"/>
    <d v="1899-12-30T15:00:00"/>
    <s v="Pune"/>
    <n v="1"/>
    <m/>
    <n v="290"/>
    <n v="19.23103448275862"/>
    <s v="High"/>
  </r>
  <r>
    <s v="P10863"/>
    <n v="20260804"/>
    <x v="4"/>
    <x v="4"/>
    <x v="4"/>
    <n v="51946"/>
    <n v="78167"/>
    <n v="5916"/>
    <n v="611"/>
    <n v="491"/>
    <n v="561"/>
    <n v="45467"/>
    <n v="754"/>
    <d v="1899-12-30T22:15:00"/>
    <s v="Delhi"/>
    <n v="1"/>
    <m/>
    <n v="7579"/>
    <n v="6.8539385143158729"/>
    <s v="Medium"/>
  </r>
  <r>
    <s v="P11605"/>
    <n v="20250527"/>
    <x v="4"/>
    <x v="3"/>
    <x v="2"/>
    <n v="22794"/>
    <n v="25438"/>
    <n v="1205"/>
    <n v="41"/>
    <n v="86"/>
    <n v="109"/>
    <n v="16955"/>
    <n v="243"/>
    <d v="1899-12-30T18:15:00"/>
    <s v="Pune"/>
    <n v="1"/>
    <m/>
    <n v="1441"/>
    <n v="15.818181818181818"/>
    <s v="High"/>
  </r>
  <r>
    <s v="P10650"/>
    <n v="20251214"/>
    <x v="4"/>
    <x v="1"/>
    <x v="3"/>
    <n v="89741"/>
    <n v="123494"/>
    <n v="3860"/>
    <n v="183"/>
    <n v="757"/>
    <n v="196"/>
    <n v="75454"/>
    <n v="937"/>
    <d v="1899-12-30T20:45:00"/>
    <s v="Delhi"/>
    <n v="1"/>
    <m/>
    <n v="4996"/>
    <n v="17.962570056044836"/>
    <s v="High"/>
  </r>
  <r>
    <s v="P10638"/>
    <n v="20260403"/>
    <x v="4"/>
    <x v="0"/>
    <x v="3"/>
    <n v="35737"/>
    <n v="53790"/>
    <n v="1010"/>
    <n v="62"/>
    <n v="62"/>
    <n v="156"/>
    <n v="14530"/>
    <n v="191"/>
    <d v="1899-12-30T09:15:00"/>
    <s v="Mumbai"/>
    <n v="1"/>
    <m/>
    <n v="1290"/>
    <n v="27.7031007751938"/>
    <s v="High"/>
  </r>
  <r>
    <s v="P10319"/>
    <n v="20250604"/>
    <x v="4"/>
    <x v="3"/>
    <x v="3"/>
    <n v="245596"/>
    <n v="283037"/>
    <n v="21122"/>
    <n v="2240"/>
    <n v="3854"/>
    <n v="1239"/>
    <n v="186294"/>
    <n v="3474"/>
    <d v="1899-12-30T09:00:00"/>
    <s v="Kolkata"/>
    <n v="1"/>
    <m/>
    <n v="28455"/>
    <n v="8.6310314531716745"/>
    <s v="Medium"/>
  </r>
  <r>
    <s v="P10431"/>
    <n v="20250617"/>
    <x v="0"/>
    <x v="3"/>
    <x v="3"/>
    <n v="19595"/>
    <n v="25090"/>
    <n v="1966"/>
    <n v="213"/>
    <n v="338"/>
    <n v="106"/>
    <n v="13023"/>
    <n v="264"/>
    <d v="1899-12-30T21:30:00"/>
    <s v="Chennai"/>
    <n v="1"/>
    <m/>
    <n v="2623"/>
    <n v="7.4704536789935192"/>
    <s v="Medium"/>
  </r>
  <r>
    <s v="P10214"/>
    <n v="20260504"/>
    <x v="3"/>
    <x v="0"/>
    <x v="0"/>
    <n v="10709"/>
    <n v="16459"/>
    <n v="645"/>
    <n v="64"/>
    <n v="100"/>
    <n v="100"/>
    <n v="0"/>
    <n v="154"/>
    <d v="1899-12-30T15:30:00"/>
    <s v="Bengaluru"/>
    <n v="1"/>
    <m/>
    <n v="909"/>
    <n v="11.781078107810782"/>
    <s v="High"/>
  </r>
  <r>
    <s v="P11073"/>
    <n v="20250329"/>
    <x v="1"/>
    <x v="5"/>
    <x v="4"/>
    <n v="22899"/>
    <n v="29717"/>
    <n v="2498"/>
    <n v="286"/>
    <n v="378"/>
    <n v="308"/>
    <n v="13665"/>
    <n v="412"/>
    <d v="1899-12-30T20:45:00"/>
    <s v="Kolkata"/>
    <n v="1"/>
    <m/>
    <n v="3470"/>
    <n v="6.5991354466858789"/>
    <s v="Medium"/>
  </r>
  <r>
    <s v="P11995"/>
    <n v="20260401"/>
    <x v="1"/>
    <x v="0"/>
    <x v="3"/>
    <n v="43740"/>
    <n v="62116"/>
    <n v="1370"/>
    <n v="42"/>
    <n v="72"/>
    <n v="114"/>
    <n v="32960"/>
    <n v="330"/>
    <d v="1899-12-30T22:00:00"/>
    <s v="Bengaluru"/>
    <n v="1"/>
    <m/>
    <n v="1598"/>
    <n v="27.371714643304131"/>
    <s v="High"/>
  </r>
  <r>
    <s v="P11364"/>
    <n v="20260130"/>
    <x v="4"/>
    <x v="0"/>
    <x v="3"/>
    <n v="21051"/>
    <n v="32402"/>
    <n v="1126"/>
    <n v="36"/>
    <n v="179"/>
    <n v="149"/>
    <n v="12476"/>
    <n v="171"/>
    <d v="1899-12-30T13:00:00"/>
    <s v="Bengaluru"/>
    <n v="1"/>
    <m/>
    <n v="1490"/>
    <n v="14.128187919463087"/>
    <s v="High"/>
  </r>
  <r>
    <s v="P11939"/>
    <n v="20250314"/>
    <x v="0"/>
    <x v="6"/>
    <x v="2"/>
    <n v="49809"/>
    <n v="79807"/>
    <n v="3316"/>
    <n v="430"/>
    <n v="413"/>
    <n v="259"/>
    <n v="28020"/>
    <n v="529"/>
    <d v="1899-12-30T17:45:00"/>
    <s v="Chennai"/>
    <n v="1"/>
    <m/>
    <n v="4418"/>
    <n v="11.274105930285197"/>
    <s v="High"/>
  </r>
  <r>
    <s v="P10380"/>
    <n v="20260714"/>
    <x v="3"/>
    <x v="2"/>
    <x v="0"/>
    <n v="10141"/>
    <n v="13213"/>
    <n v="403"/>
    <n v="19"/>
    <n v="13"/>
    <n v="32"/>
    <n v="0"/>
    <n v="69"/>
    <d v="1899-12-30T15:45:00"/>
    <s v="Hyderabad"/>
    <n v="1"/>
    <m/>
    <n v="467"/>
    <n v="21.715203426124198"/>
    <s v="High"/>
  </r>
  <r>
    <s v="P10891"/>
    <n v="20251023"/>
    <x v="3"/>
    <x v="3"/>
    <x v="4"/>
    <n v="22093"/>
    <n v="27713"/>
    <n v="1703"/>
    <n v="170"/>
    <n v="242"/>
    <n v="214"/>
    <n v="13950"/>
    <n v="216"/>
    <d v="1899-12-30T19:45:00"/>
    <s v="Mumbai"/>
    <n v="1"/>
    <m/>
    <n v="2329"/>
    <n v="9.4860455130957497"/>
    <s v="Medium"/>
  </r>
  <r>
    <s v="P11606"/>
    <n v="20260721"/>
    <x v="0"/>
    <x v="3"/>
    <x v="5"/>
    <n v="28017"/>
    <n v="39669"/>
    <n v="2318"/>
    <n v="272"/>
    <n v="353"/>
    <n v="339"/>
    <n v="0"/>
    <n v="395"/>
    <d v="1899-12-30T09:45:00"/>
    <s v="Chennai"/>
    <n v="1"/>
    <m/>
    <n v="3282"/>
    <n v="8.536563071297989"/>
    <s v="Medium"/>
  </r>
  <r>
    <s v="P10437"/>
    <n v="20260830"/>
    <x v="0"/>
    <x v="2"/>
    <x v="4"/>
    <n v="46638"/>
    <n v="60124"/>
    <n v="4323"/>
    <n v="307"/>
    <n v="753"/>
    <n v="609"/>
    <n v="25477"/>
    <n v="837"/>
    <d v="1899-12-30T07:45:00"/>
    <s v="Pune"/>
    <n v="1"/>
    <m/>
    <n v="5992"/>
    <n v="7.7833778371161548"/>
    <s v="Medium"/>
  </r>
  <r>
    <s v="P11227"/>
    <n v="20260622"/>
    <x v="4"/>
    <x v="5"/>
    <x v="3"/>
    <n v="49690"/>
    <n v="61743"/>
    <n v="5355"/>
    <n v="498"/>
    <n v="274"/>
    <n v="524"/>
    <n v="18088"/>
    <n v="379"/>
    <d v="1899-12-30T11:30:00"/>
    <s v="Mumbai"/>
    <n v="1"/>
    <m/>
    <n v="6651"/>
    <n v="7.4710569839121934"/>
    <s v="Medium"/>
  </r>
  <r>
    <s v="P11803"/>
    <n v="20250523"/>
    <x v="3"/>
    <x v="0"/>
    <x v="4"/>
    <n v="34809"/>
    <n v="47453"/>
    <n v="3808"/>
    <n v="344"/>
    <n v="630"/>
    <n v="213"/>
    <n v="16244"/>
    <n v="79"/>
    <d v="1899-12-30T21:15:00"/>
    <s v="Kolkata"/>
    <n v="1"/>
    <m/>
    <n v="4995"/>
    <n v="6.9687687687687685"/>
    <s v="Medium"/>
  </r>
  <r>
    <s v="P11607"/>
    <n v="20251222"/>
    <x v="1"/>
    <x v="1"/>
    <x v="4"/>
    <n v="22007"/>
    <n v="28960"/>
    <n v="1330"/>
    <n v="101"/>
    <n v="121"/>
    <n v="133"/>
    <n v="17008"/>
    <n v="344"/>
    <d v="1899-12-30T11:45:00"/>
    <s v="Chennai"/>
    <n v="1"/>
    <m/>
    <n v="1685"/>
    <n v="13.060534124629081"/>
    <s v="High"/>
  </r>
  <r>
    <s v="P10918"/>
    <n v="20260224"/>
    <x v="0"/>
    <x v="2"/>
    <x v="4"/>
    <n v="48328"/>
    <n v="65552"/>
    <n v="5143"/>
    <n v="329"/>
    <n v="441"/>
    <n v="811"/>
    <n v="26328"/>
    <n v="139"/>
    <d v="1899-12-30T15:00:00"/>
    <s v="Hyderabad"/>
    <n v="1"/>
    <m/>
    <n v="6724"/>
    <n v="7.187388459250446"/>
    <s v="Medium"/>
  </r>
  <r>
    <s v="P11490"/>
    <n v="20260329"/>
    <x v="0"/>
    <x v="4"/>
    <x v="2"/>
    <n v="5908"/>
    <n v="8095"/>
    <n v="290"/>
    <n v="29"/>
    <n v="30"/>
    <n v="34"/>
    <n v="3100"/>
    <n v="45"/>
    <d v="1899-12-30T07:00:00"/>
    <s v="Pune"/>
    <n v="1"/>
    <m/>
    <n v="383"/>
    <n v="15.425587467362924"/>
    <s v="High"/>
  </r>
  <r>
    <s v="P10097"/>
    <n v="20251016"/>
    <x v="0"/>
    <x v="0"/>
    <x v="3"/>
    <n v="29931"/>
    <n v="47744"/>
    <n v="2601"/>
    <n v="357"/>
    <n v="127"/>
    <n v="158"/>
    <n v="13159"/>
    <n v="256"/>
    <d v="1899-12-30T16:30:00"/>
    <s v="Hyderabad"/>
    <n v="1"/>
    <m/>
    <n v="3243"/>
    <n v="9.2294172062904725"/>
    <s v="Medium"/>
  </r>
  <r>
    <s v="P10787"/>
    <n v="20250203"/>
    <x v="4"/>
    <x v="1"/>
    <x v="0"/>
    <n v="12304"/>
    <n v="14072"/>
    <n v="1026"/>
    <n v="95"/>
    <n v="124"/>
    <n v="103"/>
    <n v="0"/>
    <n v="151"/>
    <d v="1899-12-30T13:15:00"/>
    <s v="Kochi"/>
    <n v="1"/>
    <m/>
    <n v="1348"/>
    <n v="9.1275964391691389"/>
    <s v="Medium"/>
  </r>
  <r>
    <s v="P10132"/>
    <n v="20250205"/>
    <x v="2"/>
    <x v="4"/>
    <x v="0"/>
    <n v="13567"/>
    <n v="18561"/>
    <n v="798"/>
    <n v="77"/>
    <n v="147"/>
    <n v="125"/>
    <n v="0"/>
    <n v="76"/>
    <d v="1899-12-30T15:00:00"/>
    <s v="Pune"/>
    <n v="1"/>
    <m/>
    <n v="1147"/>
    <n v="11.82824760244115"/>
    <s v="High"/>
  </r>
  <r>
    <s v="P11309"/>
    <n v="20260316"/>
    <x v="0"/>
    <x v="4"/>
    <x v="4"/>
    <n v="37878"/>
    <n v="56811"/>
    <n v="2310"/>
    <n v="272"/>
    <n v="238"/>
    <n v="342"/>
    <n v="20562"/>
    <n v="506"/>
    <d v="1899-12-30T10:15:00"/>
    <s v="Hyderabad"/>
    <n v="1"/>
    <m/>
    <n v="3162"/>
    <n v="11.979127134724857"/>
    <s v="High"/>
  </r>
  <r>
    <s v="P10966"/>
    <n v="20250513"/>
    <x v="0"/>
    <x v="1"/>
    <x v="0"/>
    <n v="16837"/>
    <n v="20272"/>
    <n v="1569"/>
    <n v="150"/>
    <n v="267"/>
    <n v="78"/>
    <n v="0"/>
    <n v="221"/>
    <d v="1899-12-30T12:00:00"/>
    <s v="Pune"/>
    <n v="1"/>
    <m/>
    <n v="2064"/>
    <n v="8.1574612403100772"/>
    <s v="Medium"/>
  </r>
  <r>
    <s v="P10836"/>
    <n v="20250428"/>
    <x v="2"/>
    <x v="6"/>
    <x v="1"/>
    <n v="9128"/>
    <n v="12283"/>
    <n v="405"/>
    <n v="22"/>
    <n v="72"/>
    <n v="17"/>
    <n v="0"/>
    <n v="54"/>
    <d v="1899-12-30T14:15:00"/>
    <s v="Hyderabad"/>
    <n v="1"/>
    <m/>
    <n v="516"/>
    <n v="17.689922480620154"/>
    <s v="High"/>
  </r>
  <r>
    <s v="P11072"/>
    <n v="20250406"/>
    <x v="1"/>
    <x v="0"/>
    <x v="4"/>
    <n v="14922"/>
    <n v="18183"/>
    <n v="1264"/>
    <n v="54"/>
    <n v="242"/>
    <n v="200"/>
    <n v="10166"/>
    <n v="253"/>
    <d v="1899-12-30T11:45:00"/>
    <s v="Delhi"/>
    <n v="1"/>
    <m/>
    <n v="1760"/>
    <n v="8.478409090909091"/>
    <s v="Medium"/>
  </r>
  <r>
    <s v="P11740"/>
    <n v="20250531"/>
    <x v="3"/>
    <x v="0"/>
    <x v="2"/>
    <n v="4425"/>
    <n v="6450"/>
    <n v="467"/>
    <n v="47"/>
    <n v="16"/>
    <n v="27"/>
    <n v="3949"/>
    <n v="45"/>
    <d v="1899-12-30T14:30:00"/>
    <s v="Pune"/>
    <n v="1"/>
    <m/>
    <n v="557"/>
    <n v="7.9443447037701977"/>
    <s v="Medium"/>
  </r>
  <r>
    <s v="P11083"/>
    <n v="20250107"/>
    <x v="0"/>
    <x v="1"/>
    <x v="3"/>
    <n v="31117"/>
    <n v="40890"/>
    <n v="1791"/>
    <n v="62"/>
    <m/>
    <n v="164"/>
    <n v="19121"/>
    <n v="202"/>
    <d v="1899-12-30T16:00:00"/>
    <s v="Kochi"/>
    <n v="1"/>
    <m/>
    <n v="2017"/>
    <n v="15.42736737729301"/>
    <s v="High"/>
  </r>
  <r>
    <s v="P11050"/>
    <n v="20260403"/>
    <x v="1"/>
    <x v="5"/>
    <x v="2"/>
    <n v="12873"/>
    <n v="15701"/>
    <n v="688"/>
    <n v="29"/>
    <n v="88"/>
    <n v="75"/>
    <n v="5039"/>
    <n v="119"/>
    <d v="1899-12-30T18:15:00"/>
    <s v="Chennai"/>
    <n v="1"/>
    <m/>
    <n v="880"/>
    <n v="14.628409090909091"/>
    <s v="High"/>
  </r>
  <r>
    <s v="P10948"/>
    <n v="20250111"/>
    <x v="4"/>
    <x v="0"/>
    <x v="4"/>
    <n v="21239"/>
    <n v="24159"/>
    <n v="839"/>
    <n v="67"/>
    <n v="108"/>
    <n v="37"/>
    <n v="15711"/>
    <n v="353"/>
    <d v="1899-12-30T16:30:00"/>
    <s v="Hyderabad"/>
    <n v="1"/>
    <m/>
    <n v="1051"/>
    <n v="20.208372978116081"/>
    <s v="High"/>
  </r>
  <r>
    <s v="P11566"/>
    <n v="20250502"/>
    <x v="0"/>
    <x v="2"/>
    <x v="3"/>
    <n v="65927"/>
    <n v="76039"/>
    <n v="7567"/>
    <n v="306"/>
    <n v="235"/>
    <n v="399"/>
    <n v="43205"/>
    <n v="867"/>
    <d v="1899-12-30T15:00:00"/>
    <s v="Mumbai"/>
    <n v="1"/>
    <m/>
    <n v="8507"/>
    <n v="7.7497355119313509"/>
    <s v="Medium"/>
  </r>
  <r>
    <s v="P10811"/>
    <n v="20250517"/>
    <x v="2"/>
    <x v="0"/>
    <x v="0"/>
    <n v="3839"/>
    <n v="4893"/>
    <n v="264"/>
    <n v="13"/>
    <n v="26"/>
    <n v="38"/>
    <n v="0"/>
    <n v="53"/>
    <d v="1899-12-30T12:15:00"/>
    <s v="Delhi"/>
    <n v="1"/>
    <m/>
    <n v="341"/>
    <n v="11.258064516129032"/>
    <s v="High"/>
  </r>
  <r>
    <s v="P11859"/>
    <n v="20250920"/>
    <x v="1"/>
    <x v="4"/>
    <x v="0"/>
    <n v="5939"/>
    <n v="6842"/>
    <n v="497"/>
    <n v="31"/>
    <n v="97"/>
    <n v="63"/>
    <n v="0"/>
    <n v="105"/>
    <d v="1899-12-30T22:15:00"/>
    <s v="Kolkata"/>
    <n v="1"/>
    <m/>
    <n v="688"/>
    <n v="8.6322674418604652"/>
    <s v="Medium"/>
  </r>
  <r>
    <s v="P10737"/>
    <n v="20251203"/>
    <x v="4"/>
    <x v="4"/>
    <x v="2"/>
    <n v="23467"/>
    <n v="33957"/>
    <n v="2070"/>
    <n v="72"/>
    <n v="102"/>
    <n v="289"/>
    <n v="13158"/>
    <n v="96"/>
    <d v="1899-12-30T15:00:00"/>
    <s v="Kochi"/>
    <n v="1"/>
    <m/>
    <n v="2533"/>
    <n v="9.2645084879589419"/>
    <s v="Medium"/>
  </r>
  <r>
    <s v="P10277"/>
    <n v="20250127"/>
    <x v="3"/>
    <x v="3"/>
    <x v="3"/>
    <n v="39285"/>
    <n v="48247"/>
    <n v="4444"/>
    <n v="484"/>
    <n v="431"/>
    <n v="250"/>
    <n v="19844"/>
    <n v="660"/>
    <d v="1899-12-30T09:00:00"/>
    <s v="Mumbai"/>
    <n v="1"/>
    <m/>
    <n v="5609"/>
    <n v="7.0039222677839188"/>
    <s v="Medium"/>
  </r>
  <r>
    <s v="P11960"/>
    <n v="20251220"/>
    <x v="2"/>
    <x v="0"/>
    <x v="5"/>
    <n v="6062"/>
    <n v="8373"/>
    <n v="605"/>
    <n v="64"/>
    <n v="103"/>
    <n v="55"/>
    <n v="0"/>
    <n v="22"/>
    <d v="1899-12-30T20:45:00"/>
    <s v="Mumbai"/>
    <n v="1"/>
    <m/>
    <n v="827"/>
    <n v="7.3301088270858523"/>
    <s v="Medium"/>
  </r>
  <r>
    <s v="P10324"/>
    <n v="20250903"/>
    <x v="3"/>
    <x v="3"/>
    <x v="3"/>
    <n v="15686"/>
    <n v="20015"/>
    <n v="1134"/>
    <n v="78"/>
    <n v="173"/>
    <n v="175"/>
    <n v="5907"/>
    <n v="54"/>
    <d v="1899-12-30T11:00:00"/>
    <s v="Pune"/>
    <n v="1"/>
    <m/>
    <n v="1560"/>
    <n v="10.055128205128206"/>
    <s v="High"/>
  </r>
  <r>
    <s v="P10654"/>
    <n v="20250603"/>
    <x v="0"/>
    <x v="5"/>
    <x v="3"/>
    <n v="11250"/>
    <n v="11998"/>
    <n v="1102"/>
    <n v="91"/>
    <n v="96"/>
    <n v="67"/>
    <n v="7283"/>
    <n v="185"/>
    <d v="1899-12-30T19:00:00"/>
    <s v="Bengaluru"/>
    <n v="1"/>
    <m/>
    <n v="1356"/>
    <n v="8.2964601769911503"/>
    <s v="Medium"/>
  </r>
  <r>
    <s v="P11653"/>
    <n v="20260423"/>
    <x v="3"/>
    <x v="4"/>
    <x v="1"/>
    <n v="9908"/>
    <n v="16347"/>
    <n v="388"/>
    <n v="40"/>
    <n v="54"/>
    <n v="38"/>
    <n v="0"/>
    <n v="122"/>
    <d v="1899-12-30T10:00:00"/>
    <s v="Kolkata"/>
    <n v="1"/>
    <m/>
    <n v="520"/>
    <n v="19.053846153846155"/>
    <s v="High"/>
  </r>
  <r>
    <s v="P10839"/>
    <n v="20250423"/>
    <x v="3"/>
    <x v="7"/>
    <x v="1"/>
    <n v="12867"/>
    <n v="16253"/>
    <n v="1027"/>
    <n v="31"/>
    <n v="188"/>
    <n v="76"/>
    <n v="0"/>
    <n v="18"/>
    <d v="1899-12-30T08:45:00"/>
    <s v="Madurai"/>
    <n v="1"/>
    <m/>
    <n v="1322"/>
    <n v="9.7329803328290474"/>
    <s v="Medium"/>
  </r>
  <r>
    <s v="P10094"/>
    <n v="20260816"/>
    <x v="0"/>
    <x v="6"/>
    <x v="4"/>
    <n v="22675"/>
    <n v="26483"/>
    <n v="715"/>
    <n v="48"/>
    <n v="81"/>
    <n v="109"/>
    <n v="20335"/>
    <n v="30"/>
    <d v="1899-12-30T20:00:00"/>
    <s v="Hyderabad"/>
    <n v="1"/>
    <m/>
    <n v="953"/>
    <n v="23.793284365162645"/>
    <s v="High"/>
  </r>
  <r>
    <s v="P10686"/>
    <n v="20250322"/>
    <x v="4"/>
    <x v="0"/>
    <x v="4"/>
    <n v="78406"/>
    <n v="114719"/>
    <n v="7558"/>
    <n v="192"/>
    <n v="1399"/>
    <n v="492"/>
    <n v="54283"/>
    <n v="524"/>
    <d v="1899-12-30T20:00:00"/>
    <s v="Madurai"/>
    <n v="1"/>
    <m/>
    <n v="9641"/>
    <n v="8.132558863188466"/>
    <s v="Medium"/>
  </r>
  <r>
    <s v="P11557"/>
    <n v="20250830"/>
    <x v="2"/>
    <x v="6"/>
    <x v="1"/>
    <n v="8759"/>
    <n v="14159"/>
    <n v="842"/>
    <n v="79"/>
    <n v="44"/>
    <n v="35"/>
    <n v="0"/>
    <n v="66"/>
    <d v="1899-12-30T10:15:00"/>
    <s v="Madurai"/>
    <n v="1"/>
    <m/>
    <n v="1000"/>
    <n v="8.7590000000000003"/>
    <s v="Medium"/>
  </r>
  <r>
    <s v="P10022"/>
    <n v="20250711"/>
    <x v="2"/>
    <x v="6"/>
    <x v="4"/>
    <n v="10367"/>
    <n v="14620"/>
    <n v="551"/>
    <n v="18"/>
    <n v="22"/>
    <n v="76"/>
    <n v="6653"/>
    <n v="133"/>
    <d v="1899-12-30T09:00:00"/>
    <s v="Hyderabad"/>
    <n v="1"/>
    <m/>
    <n v="667"/>
    <n v="15.54272863568216"/>
    <s v="High"/>
  </r>
  <r>
    <s v="P11942"/>
    <n v="20260301"/>
    <x v="0"/>
    <x v="0"/>
    <x v="5"/>
    <n v="32911"/>
    <n v="51185"/>
    <n v="3564"/>
    <n v="279"/>
    <n v="619"/>
    <n v="516"/>
    <n v="0"/>
    <n v="398"/>
    <d v="1899-12-30T08:00:00"/>
    <s v="Bengaluru"/>
    <n v="1"/>
    <m/>
    <n v="4978"/>
    <n v="6.6112896745680994"/>
    <s v="Medium"/>
  </r>
  <r>
    <s v="P11458"/>
    <n v="20250815"/>
    <x v="0"/>
    <x v="1"/>
    <x v="4"/>
    <n v="21400"/>
    <n v="25362"/>
    <n v="1375"/>
    <n v="71"/>
    <n v="246"/>
    <n v="184"/>
    <n v="7831"/>
    <n v="212"/>
    <d v="1899-12-30T12:45:00"/>
    <s v="Madurai"/>
    <n v="1"/>
    <m/>
    <n v="1876"/>
    <n v="11.40724946695096"/>
    <s v="High"/>
  </r>
  <r>
    <s v="P10838"/>
    <n v="20260616"/>
    <x v="2"/>
    <x v="4"/>
    <x v="0"/>
    <n v="7075"/>
    <n v="8215"/>
    <n v="540"/>
    <n v="22"/>
    <n v="68"/>
    <n v="34"/>
    <n v="0"/>
    <n v="87"/>
    <d v="1899-12-30T17:15:00"/>
    <s v="Kolkata"/>
    <n v="1"/>
    <m/>
    <n v="664"/>
    <n v="10.65512048192771"/>
    <s v="High"/>
  </r>
  <r>
    <s v="P11001"/>
    <n v="20260222"/>
    <x v="0"/>
    <x v="2"/>
    <x v="4"/>
    <n v="16967"/>
    <n v="22213"/>
    <n v="705"/>
    <n v="30"/>
    <n v="84"/>
    <n v="14"/>
    <n v="9515"/>
    <n v="244"/>
    <d v="1899-12-30T21:15:00"/>
    <s v="Pune"/>
    <n v="1"/>
    <m/>
    <n v="833"/>
    <n v="20.368547418967587"/>
    <s v="High"/>
  </r>
  <r>
    <s v="P10524"/>
    <n v="20250614"/>
    <x v="2"/>
    <x v="2"/>
    <x v="5"/>
    <n v="5436"/>
    <n v="7924"/>
    <n v="465"/>
    <n v="21"/>
    <n v="35"/>
    <n v="49"/>
    <n v="0"/>
    <n v="13"/>
    <d v="1899-12-30T16:45:00"/>
    <s v="Delhi"/>
    <n v="1"/>
    <m/>
    <n v="570"/>
    <n v="9.5368421052631582"/>
    <s v="Medium"/>
  </r>
  <r>
    <s v="P10404"/>
    <n v="20260705"/>
    <x v="2"/>
    <x v="0"/>
    <x v="5"/>
    <n v="5983"/>
    <n v="7059"/>
    <n v="680"/>
    <n v="46"/>
    <n v="34"/>
    <n v="63"/>
    <n v="0"/>
    <n v="64"/>
    <d v="1899-12-30T14:30:00"/>
    <s v="Delhi"/>
    <n v="1"/>
    <m/>
    <n v="823"/>
    <n v="7.2697448359659784"/>
    <s v="Medium"/>
  </r>
  <r>
    <s v="P10452"/>
    <n v="20250316"/>
    <x v="3"/>
    <x v="0"/>
    <x v="5"/>
    <n v="23404"/>
    <n v="26382"/>
    <n v="1842"/>
    <n v="127"/>
    <n v="258"/>
    <n v="240"/>
    <n v="0"/>
    <n v="240"/>
    <d v="1899-12-30T14:00:00"/>
    <s v="Madurai"/>
    <n v="1"/>
    <m/>
    <n v="2467"/>
    <n v="9.4868261045804623"/>
    <s v="Medium"/>
  </r>
  <r>
    <s v="P11378"/>
    <n v="20251028"/>
    <x v="3"/>
    <x v="3"/>
    <x v="4"/>
    <n v="26090"/>
    <n v="39171"/>
    <n v="2352"/>
    <n v="220"/>
    <n v="414"/>
    <n v="344"/>
    <n v="10247"/>
    <n v="462"/>
    <d v="1899-12-30T18:45:00"/>
    <s v="Coimbatore"/>
    <n v="1"/>
    <m/>
    <n v="3330"/>
    <n v="7.8348348348348349"/>
    <s v="Medium"/>
  </r>
  <r>
    <s v="P11372"/>
    <n v="20260330"/>
    <x v="4"/>
    <x v="1"/>
    <x v="5"/>
    <n v="46267"/>
    <n v="49686"/>
    <n v="2253"/>
    <n v="76"/>
    <n v="414"/>
    <n v="148"/>
    <n v="0"/>
    <n v="102"/>
    <d v="1899-12-30T19:45:00"/>
    <s v="Pune"/>
    <n v="1"/>
    <m/>
    <n v="2891"/>
    <n v="16.003804911795225"/>
    <s v="High"/>
  </r>
  <r>
    <s v="P10276"/>
    <n v="20251010"/>
    <x v="0"/>
    <x v="6"/>
    <x v="4"/>
    <n v="30883"/>
    <n v="48782"/>
    <n v="2162"/>
    <n v="207"/>
    <n v="235"/>
    <n v="226"/>
    <n v="12406"/>
    <n v="139"/>
    <d v="1899-12-30T13:30:00"/>
    <s v="Pune"/>
    <n v="1"/>
    <m/>
    <n v="2830"/>
    <n v="10.912720848056537"/>
    <s v="High"/>
  </r>
  <r>
    <s v="P10895"/>
    <n v="20260929"/>
    <x v="0"/>
    <x v="2"/>
    <x v="0"/>
    <n v="32822"/>
    <n v="51501"/>
    <n v="1047"/>
    <n v="45"/>
    <n v="85"/>
    <n v="36"/>
    <n v="0"/>
    <n v="382"/>
    <d v="1899-12-30T11:45:00"/>
    <s v="Coimbatore"/>
    <n v="1"/>
    <m/>
    <n v="1213"/>
    <n v="27.05853256389118"/>
    <s v="High"/>
  </r>
  <r>
    <s v="P11175"/>
    <n v="20260702"/>
    <x v="4"/>
    <x v="3"/>
    <x v="5"/>
    <n v="35729"/>
    <n v="39736"/>
    <n v="1708"/>
    <n v="171"/>
    <n v="269"/>
    <n v="150"/>
    <n v="0"/>
    <n v="396"/>
    <d v="1899-12-30T22:30:00"/>
    <s v="Chennai"/>
    <n v="1"/>
    <m/>
    <n v="2298"/>
    <n v="15.54786771105309"/>
    <s v="High"/>
  </r>
  <r>
    <s v="P11628"/>
    <n v="20260117"/>
    <x v="4"/>
    <x v="0"/>
    <x v="0"/>
    <n v="79974"/>
    <n v="86031"/>
    <n v="6055"/>
    <n v="221"/>
    <n v="769"/>
    <n v="709"/>
    <n v="0"/>
    <n v="388"/>
    <d v="1899-12-30T15:15:00"/>
    <s v="Delhi"/>
    <n v="1"/>
    <m/>
    <n v="7754"/>
    <n v="10.313902501934486"/>
    <s v="High"/>
  </r>
  <r>
    <s v="P10090"/>
    <n v="20260417"/>
    <x v="4"/>
    <x v="0"/>
    <x v="3"/>
    <n v="34808"/>
    <n v="54757"/>
    <n v="2180"/>
    <n v="206"/>
    <n v="225"/>
    <n v="254"/>
    <n v="12245"/>
    <n v="283"/>
    <d v="1899-12-30T14:00:00"/>
    <s v="Pune"/>
    <n v="1"/>
    <m/>
    <n v="2865"/>
    <n v="12.149389179755673"/>
    <s v="High"/>
  </r>
  <r>
    <s v="P11657"/>
    <n v="20251130"/>
    <x v="4"/>
    <x v="5"/>
    <x v="5"/>
    <n v="130758"/>
    <n v="215202"/>
    <n v="7404"/>
    <n v="410"/>
    <n v="1359"/>
    <n v="164"/>
    <n v="0"/>
    <n v="1135"/>
    <d v="1899-12-30T08:00:00"/>
    <s v="Pune"/>
    <n v="1"/>
    <m/>
    <n v="9337"/>
    <n v="14.004284031273428"/>
    <s v="High"/>
  </r>
  <r>
    <s v="P10093"/>
    <n v="20260514"/>
    <x v="1"/>
    <x v="0"/>
    <x v="1"/>
    <n v="11756"/>
    <n v="14731"/>
    <n v="734"/>
    <n v="32"/>
    <n v="105"/>
    <n v="71"/>
    <n v="0"/>
    <n v="133"/>
    <d v="1899-12-30T20:00:00"/>
    <s v="Madurai"/>
    <n v="1"/>
    <m/>
    <n v="942"/>
    <n v="12.479830148619957"/>
    <s v="High"/>
  </r>
  <r>
    <s v="P11302"/>
    <n v="20260808"/>
    <x v="1"/>
    <x v="3"/>
    <x v="4"/>
    <n v="19126"/>
    <n v="22216"/>
    <n v="1794"/>
    <n v="84"/>
    <n v="305"/>
    <n v="161"/>
    <n v="11474"/>
    <n v="63"/>
    <d v="1899-12-30T07:15:00"/>
    <s v="Pune"/>
    <n v="1"/>
    <m/>
    <n v="2344"/>
    <n v="8.1595563139931748"/>
    <s v="Medium"/>
  </r>
  <r>
    <s v="P10326"/>
    <n v="20250208"/>
    <x v="2"/>
    <x v="5"/>
    <x v="2"/>
    <n v="10548"/>
    <n v="11247"/>
    <n v="1232"/>
    <n v="83"/>
    <n v="123"/>
    <n v="82"/>
    <n v="7804"/>
    <n v="16"/>
    <d v="1899-12-30T19:45:00"/>
    <s v="Kochi"/>
    <n v="1"/>
    <m/>
    <n v="1520"/>
    <n v="6.939473684210526"/>
    <s v="Medium"/>
  </r>
  <r>
    <s v="P11881"/>
    <n v="20250808"/>
    <x v="0"/>
    <x v="4"/>
    <x v="5"/>
    <n v="22864"/>
    <n v="33275"/>
    <n v="2155"/>
    <n v="121"/>
    <n v="296"/>
    <n v="287"/>
    <n v="0"/>
    <n v="43"/>
    <d v="1899-12-30T12:00:00"/>
    <s v="Bengaluru"/>
    <n v="1"/>
    <m/>
    <n v="2859"/>
    <n v="7.9972018188177687"/>
    <s v="Medium"/>
  </r>
  <r>
    <s v="P11326"/>
    <n v="20250417"/>
    <x v="0"/>
    <x v="3"/>
    <x v="5"/>
    <n v="31867"/>
    <n v="38209"/>
    <n v="3745"/>
    <n v="195"/>
    <n v="324"/>
    <n v="143"/>
    <n v="0"/>
    <n v="62"/>
    <d v="1899-12-30T10:45:00"/>
    <s v="Madurai"/>
    <n v="1"/>
    <m/>
    <n v="4407"/>
    <n v="7.2309961425005671"/>
    <s v="Medium"/>
  </r>
  <r>
    <s v="P10633"/>
    <n v="20260602"/>
    <x v="4"/>
    <x v="1"/>
    <x v="4"/>
    <n v="38542"/>
    <n v="49578"/>
    <n v="2685"/>
    <n v="217"/>
    <n v="240"/>
    <n v="363"/>
    <n v="13895"/>
    <n v="39"/>
    <d v="1899-12-30T20:00:00"/>
    <s v="Kochi"/>
    <n v="1"/>
    <m/>
    <n v="3505"/>
    <n v="10.996291012838801"/>
    <s v="High"/>
  </r>
  <r>
    <s v="P10505"/>
    <n v="20250513"/>
    <x v="0"/>
    <x v="2"/>
    <x v="0"/>
    <n v="30273"/>
    <n v="45363"/>
    <n v="1308"/>
    <n v="174"/>
    <n v="201"/>
    <n v="193"/>
    <n v="0"/>
    <n v="387"/>
    <d v="1899-12-30T22:15:00"/>
    <s v="Kolkata"/>
    <n v="1"/>
    <m/>
    <n v="1876"/>
    <n v="16.136993603411515"/>
    <s v="High"/>
  </r>
  <r>
    <s v="P11805"/>
    <n v="20260418"/>
    <x v="2"/>
    <x v="1"/>
    <x v="3"/>
    <n v="11099"/>
    <n v="14888"/>
    <n v="713"/>
    <n v="72"/>
    <n v="134"/>
    <n v="90"/>
    <n v="6763"/>
    <n v="48"/>
    <d v="1899-12-30T12:45:00"/>
    <s v="Pune"/>
    <n v="1"/>
    <m/>
    <n v="1009"/>
    <n v="11"/>
    <s v="High"/>
  </r>
  <r>
    <s v="P11173"/>
    <n v="20251108"/>
    <x v="3"/>
    <x v="1"/>
    <x v="0"/>
    <n v="22225"/>
    <n v="24664"/>
    <n v="2348"/>
    <n v="70"/>
    <n v="132"/>
    <n v="324"/>
    <n v="0"/>
    <n v="39"/>
    <d v="1899-12-30T19:15:00"/>
    <s v="Chennai"/>
    <n v="1"/>
    <m/>
    <n v="2874"/>
    <n v="7.7331245650661096"/>
    <s v="Medium"/>
  </r>
  <r>
    <s v="P11986"/>
    <n v="20260601"/>
    <x v="4"/>
    <x v="3"/>
    <x v="4"/>
    <n v="30382"/>
    <n v="39237"/>
    <n v="2055"/>
    <n v="179"/>
    <n v="267"/>
    <n v="290"/>
    <n v="18203"/>
    <n v="319"/>
    <d v="1899-12-30T09:30:00"/>
    <s v="Hyderabad"/>
    <n v="1"/>
    <m/>
    <n v="2791"/>
    <n v="10.885704048728055"/>
    <s v="High"/>
  </r>
  <r>
    <s v="P10271"/>
    <n v="20250207"/>
    <x v="1"/>
    <x v="4"/>
    <x v="2"/>
    <n v="8306"/>
    <n v="12173"/>
    <n v="919"/>
    <n v="80"/>
    <n v="96"/>
    <n v="143"/>
    <n v="6755"/>
    <n v="11"/>
    <d v="1899-12-30T10:15:00"/>
    <s v="Kochi"/>
    <n v="1"/>
    <m/>
    <n v="1238"/>
    <n v="6.7092084006462036"/>
    <s v="Medium"/>
  </r>
  <r>
    <s v="P10333"/>
    <n v="20250120"/>
    <x v="4"/>
    <x v="2"/>
    <x v="4"/>
    <n v="52428"/>
    <n v="69559"/>
    <n v="5245"/>
    <n v="631"/>
    <n v="650"/>
    <n v="762"/>
    <n v="24270"/>
    <n v="392"/>
    <d v="1899-12-30T12:45:00"/>
    <s v="Chennai"/>
    <n v="1"/>
    <m/>
    <n v="7288"/>
    <n v="7.1937431394072444"/>
    <s v="Medium"/>
  </r>
  <r>
    <s v="P10803"/>
    <n v="20260805"/>
    <x v="3"/>
    <x v="4"/>
    <x v="1"/>
    <n v="15871"/>
    <n v="25099"/>
    <n v="1885"/>
    <n v="184"/>
    <n v="89"/>
    <n v="175"/>
    <n v="0"/>
    <n v="279"/>
    <d v="1899-12-30T11:45:00"/>
    <s v="Delhi"/>
    <n v="1"/>
    <m/>
    <n v="2333"/>
    <n v="6.8028289755679383"/>
    <s v="Medium"/>
  </r>
  <r>
    <s v="P10111"/>
    <n v="20260701"/>
    <x v="4"/>
    <x v="4"/>
    <x v="4"/>
    <n v="29524"/>
    <n v="40427"/>
    <n v="1646"/>
    <n v="186"/>
    <n v="171"/>
    <n v="133"/>
    <n v="14465"/>
    <n v="381"/>
    <d v="1899-12-30T15:15:00"/>
    <s v="Kolkata"/>
    <n v="1"/>
    <m/>
    <n v="2136"/>
    <n v="13.822097378277153"/>
    <s v="High"/>
  </r>
  <r>
    <s v="P10984"/>
    <n v="20260721"/>
    <x v="0"/>
    <x v="5"/>
    <x v="2"/>
    <n v="19092"/>
    <n v="29637"/>
    <n v="1472"/>
    <n v="181"/>
    <n v="86"/>
    <n v="52"/>
    <n v="8353"/>
    <n v="319"/>
    <d v="1899-12-30T21:15:00"/>
    <s v="Hyderabad"/>
    <n v="1"/>
    <m/>
    <n v="1791"/>
    <n v="10.659966499162479"/>
    <s v="High"/>
  </r>
  <r>
    <s v="P10553"/>
    <n v="20251227"/>
    <x v="4"/>
    <x v="1"/>
    <x v="4"/>
    <n v="28031"/>
    <n v="33297"/>
    <n v="2120"/>
    <n v="63"/>
    <n v="86"/>
    <n v="330"/>
    <n v="19925"/>
    <n v="367"/>
    <d v="1899-12-30T11:30:00"/>
    <s v="Kolkata"/>
    <n v="1"/>
    <m/>
    <n v="2599"/>
    <n v="10.785302039245863"/>
    <s v="High"/>
  </r>
  <r>
    <s v="P10384"/>
    <n v="20250929"/>
    <x v="2"/>
    <x v="0"/>
    <x v="2"/>
    <n v="6926"/>
    <n v="8542"/>
    <n v="306"/>
    <n v="10"/>
    <n v="38"/>
    <n v="17"/>
    <n v="2831"/>
    <n v="64"/>
    <d v="1899-12-30T21:45:00"/>
    <s v="Coimbatore"/>
    <n v="1"/>
    <m/>
    <n v="371"/>
    <n v="18.668463611859838"/>
    <s v="High"/>
  </r>
  <r>
    <s v="P10699"/>
    <n v="20250212"/>
    <x v="3"/>
    <x v="2"/>
    <x v="1"/>
    <n v="9270"/>
    <n v="13442"/>
    <n v="802"/>
    <n v="73"/>
    <n v="88"/>
    <n v="68"/>
    <n v="0"/>
    <n v="19"/>
    <d v="1899-12-30T20:45:00"/>
    <s v="Pune"/>
    <n v="1"/>
    <m/>
    <n v="1031"/>
    <n v="8.9912706110572262"/>
    <s v="Medium"/>
  </r>
  <r>
    <s v="P11560"/>
    <n v="20260812"/>
    <x v="3"/>
    <x v="0"/>
    <x v="4"/>
    <n v="25523"/>
    <n v="38387"/>
    <n v="2752"/>
    <n v="307"/>
    <n v="212"/>
    <n v="241"/>
    <n v="13804"/>
    <n v="197"/>
    <d v="1899-12-30T12:15:00"/>
    <s v="Kochi"/>
    <n v="1"/>
    <m/>
    <n v="3512"/>
    <n v="7.267369020501139"/>
    <s v="Medium"/>
  </r>
  <r>
    <s v="P10757"/>
    <n v="20251229"/>
    <x v="4"/>
    <x v="1"/>
    <x v="2"/>
    <n v="31234"/>
    <n v="41864"/>
    <n v="3536"/>
    <n v="309"/>
    <n v="394"/>
    <n v="403"/>
    <n v="24691"/>
    <n v="124"/>
    <d v="1899-12-30T16:00:00"/>
    <s v="Hyderabad"/>
    <n v="1"/>
    <m/>
    <n v="4642"/>
    <n v="6.7285652735889698"/>
    <s v="Medium"/>
  </r>
  <r>
    <s v="P10434"/>
    <n v="20251012"/>
    <x v="2"/>
    <x v="4"/>
    <x v="1"/>
    <n v="9137"/>
    <n v="12495"/>
    <n v="589"/>
    <n v="31"/>
    <n v="39"/>
    <n v="77"/>
    <n v="0"/>
    <n v="130"/>
    <d v="1899-12-30T10:45:00"/>
    <s v="Hyderabad"/>
    <n v="1"/>
    <m/>
    <n v="736"/>
    <n v="12.414402173913043"/>
    <s v="High"/>
  </r>
  <r>
    <s v="P11070"/>
    <n v="20250921"/>
    <x v="0"/>
    <x v="6"/>
    <x v="2"/>
    <n v="29015"/>
    <n v="46260"/>
    <n v="2606"/>
    <n v="201"/>
    <n v="393"/>
    <n v="401"/>
    <n v="16472"/>
    <n v="433"/>
    <d v="1899-12-30T22:30:00"/>
    <s v="Madurai"/>
    <n v="1"/>
    <m/>
    <n v="3601"/>
    <n v="8.0574840322132744"/>
    <s v="Medium"/>
  </r>
  <r>
    <s v="P11660"/>
    <n v="20251020"/>
    <x v="4"/>
    <x v="5"/>
    <x v="2"/>
    <n v="54155"/>
    <n v="77201"/>
    <n v="4344"/>
    <n v="593"/>
    <n v="159"/>
    <n v="490"/>
    <n v="39866"/>
    <n v="748"/>
    <d v="1899-12-30T22:00:00"/>
    <s v="Bengaluru"/>
    <n v="1"/>
    <m/>
    <n v="5586"/>
    <n v="9.6947726459004659"/>
    <s v="Medium"/>
  </r>
  <r>
    <s v="P11548"/>
    <n v="20260707"/>
    <x v="2"/>
    <x v="1"/>
    <x v="4"/>
    <n v="13408"/>
    <n v="20522"/>
    <n v="731"/>
    <n v="76"/>
    <n v="54"/>
    <n v="77"/>
    <n v="6317"/>
    <n v="40"/>
    <d v="1899-12-30T20:30:00"/>
    <s v="Pune"/>
    <n v="1"/>
    <m/>
    <n v="938"/>
    <n v="14.294243070362473"/>
    <s v="High"/>
  </r>
  <r>
    <s v="P11275"/>
    <n v="20250908"/>
    <x v="4"/>
    <x v="2"/>
    <x v="4"/>
    <n v="56329"/>
    <n v="64106"/>
    <n v="2178"/>
    <n v="179"/>
    <n v="422"/>
    <n v="172"/>
    <n v="50204"/>
    <n v="873"/>
    <d v="1899-12-30T07:30:00"/>
    <m/>
    <n v="1"/>
    <m/>
    <n v="2951"/>
    <n v="19.088105726872246"/>
    <s v="High"/>
  </r>
  <r>
    <s v="P10741"/>
    <n v="20260917"/>
    <x v="4"/>
    <x v="0"/>
    <x v="4"/>
    <n v="136950"/>
    <n v="221085"/>
    <n v="13236"/>
    <n v="645"/>
    <n v="918"/>
    <n v="1205"/>
    <n v="61763"/>
    <n v="469"/>
    <d v="1899-12-30T22:15:00"/>
    <s v="Bengaluru"/>
    <n v="1"/>
    <m/>
    <n v="16004"/>
    <n v="8.5572356910772314"/>
    <s v="Medium"/>
  </r>
  <r>
    <s v="P11353"/>
    <n v="20251119"/>
    <x v="0"/>
    <x v="5"/>
    <x v="2"/>
    <n v="15793"/>
    <n v="23217"/>
    <n v="1225"/>
    <n v="90"/>
    <n v="226"/>
    <n v="189"/>
    <n v="10433"/>
    <n v="251"/>
    <d v="1899-12-30T20:30:00"/>
    <s v="Kolkata"/>
    <n v="1"/>
    <m/>
    <n v="1730"/>
    <n v="9.1289017341040459"/>
    <s v="Medium"/>
  </r>
  <r>
    <s v="P10119"/>
    <n v="20250726"/>
    <x v="4"/>
    <x v="1"/>
    <x v="4"/>
    <n v="17712"/>
    <n v="22852"/>
    <n v="473"/>
    <n v="49"/>
    <n v="62"/>
    <n v="35"/>
    <n v="11182"/>
    <n v="23"/>
    <d v="1899-12-30T11:00:00"/>
    <s v="Kochi"/>
    <n v="1"/>
    <m/>
    <n v="619"/>
    <n v="28.613893376413571"/>
    <s v="High"/>
  </r>
  <r>
    <s v="P10687"/>
    <n v="20250513"/>
    <x v="4"/>
    <x v="6"/>
    <x v="3"/>
    <n v="24867"/>
    <n v="39114"/>
    <n v="2087"/>
    <n v="54"/>
    <n v="264"/>
    <n v="254"/>
    <n v="9413"/>
    <n v="201"/>
    <d v="1899-12-30T10:45:00"/>
    <s v="Madurai"/>
    <n v="1"/>
    <m/>
    <n v="2659"/>
    <n v="9.3520120345994737"/>
    <s v="Medium"/>
  </r>
  <r>
    <s v="P11022"/>
    <n v="20250304"/>
    <x v="4"/>
    <x v="4"/>
    <x v="2"/>
    <n v="37476"/>
    <n v="59396"/>
    <n v="1584"/>
    <n v="106"/>
    <n v="190"/>
    <n v="123"/>
    <n v="19692"/>
    <n v="607"/>
    <d v="1899-12-30T20:45:00"/>
    <s v="Delhi"/>
    <n v="1"/>
    <m/>
    <n v="2003"/>
    <n v="18.70993509735397"/>
    <s v="High"/>
  </r>
  <r>
    <s v="P10417"/>
    <n v="20260531"/>
    <x v="0"/>
    <x v="1"/>
    <x v="4"/>
    <n v="28882"/>
    <n v="30427"/>
    <n v="1997"/>
    <n v="89"/>
    <n v="318"/>
    <n v="47"/>
    <n v="13093"/>
    <n v="172"/>
    <d v="1899-12-30T11:45:00"/>
    <s v="Delhi"/>
    <n v="1"/>
    <m/>
    <n v="2451"/>
    <n v="11.783761729906161"/>
    <s v="High"/>
  </r>
  <r>
    <s v="P10265"/>
    <n v="20260205"/>
    <x v="4"/>
    <x v="5"/>
    <x v="2"/>
    <n v="17877"/>
    <n v="28237"/>
    <n v="578"/>
    <n v="17"/>
    <n v="84"/>
    <n v="83"/>
    <n v="7561"/>
    <n v="277"/>
    <d v="1899-12-30T15:00:00"/>
    <s v="Chennai"/>
    <n v="1"/>
    <m/>
    <n v="762"/>
    <n v="23.460629921259841"/>
    <s v="High"/>
  </r>
  <r>
    <s v="P11445"/>
    <n v="20250830"/>
    <x v="0"/>
    <x v="5"/>
    <x v="4"/>
    <n v="20516"/>
    <n v="26829"/>
    <n v="1297"/>
    <n v="140"/>
    <n v="87"/>
    <n v="83"/>
    <n v="17142"/>
    <n v="64"/>
    <d v="1899-12-30T19:15:00"/>
    <s v="Chennai"/>
    <n v="1"/>
    <m/>
    <n v="1607"/>
    <n v="12.766645924082141"/>
    <s v="High"/>
  </r>
  <r>
    <s v="P10844"/>
    <n v="20251116"/>
    <x v="4"/>
    <x v="7"/>
    <x v="1"/>
    <n v="16566"/>
    <n v="18827"/>
    <n v="472"/>
    <n v="27"/>
    <n v="48"/>
    <n v="40"/>
    <n v="0"/>
    <n v="206"/>
    <d v="1899-12-30T22:15:00"/>
    <s v="Delhi"/>
    <n v="1"/>
    <m/>
    <n v="587"/>
    <n v="28.221465076660987"/>
    <s v="High"/>
  </r>
  <r>
    <s v="P11206"/>
    <n v="20260905"/>
    <x v="3"/>
    <x v="4"/>
    <x v="4"/>
    <n v="12394"/>
    <n v="18174"/>
    <n v="653"/>
    <n v="56"/>
    <n v="27"/>
    <n v="52"/>
    <n v="4418"/>
    <n v="59"/>
    <d v="1899-12-30T14:30:00"/>
    <s v="Kochi"/>
    <n v="1"/>
    <m/>
    <n v="788"/>
    <n v="15.728426395939087"/>
    <s v="High"/>
  </r>
  <r>
    <s v="P11423"/>
    <n v="20250423"/>
    <x v="4"/>
    <x v="1"/>
    <x v="5"/>
    <n v="69516"/>
    <n v="86381"/>
    <n v="6949"/>
    <n v="353"/>
    <n v="665"/>
    <n v="633"/>
    <n v="0"/>
    <n v="973"/>
    <d v="1899-12-30T17:30:00"/>
    <s v="Kolkata"/>
    <n v="1"/>
    <m/>
    <n v="8600"/>
    <n v="8.0832558139534889"/>
    <s v="Medium"/>
  </r>
  <r>
    <s v="P11095"/>
    <n v="20260121"/>
    <x v="3"/>
    <x v="3"/>
    <x v="4"/>
    <n v="9927"/>
    <n v="13526"/>
    <n v="596"/>
    <n v="63"/>
    <n v="32"/>
    <n v="50"/>
    <n v="3493"/>
    <n v="59"/>
    <d v="1899-12-30T22:00:00"/>
    <s v="Pune"/>
    <n v="1"/>
    <m/>
    <n v="741"/>
    <n v="13.396761133603238"/>
    <s v="High"/>
  </r>
  <r>
    <s v="P10798"/>
    <n v="20251111"/>
    <x v="0"/>
    <x v="0"/>
    <x v="1"/>
    <n v="18488"/>
    <n v="27659"/>
    <n v="1403"/>
    <n v="74"/>
    <n v="101"/>
    <n v="138"/>
    <n v="0"/>
    <n v="114"/>
    <d v="1899-12-30T11:15:00"/>
    <s v="Bengaluru"/>
    <n v="1"/>
    <m/>
    <n v="1716"/>
    <n v="10.773892773892774"/>
    <s v="High"/>
  </r>
  <r>
    <s v="P10543"/>
    <n v="20260615"/>
    <x v="3"/>
    <x v="1"/>
    <x v="5"/>
    <n v="24054"/>
    <n v="34882"/>
    <n v="1631"/>
    <n v="161"/>
    <n v="212"/>
    <n v="235"/>
    <n v="0"/>
    <n v="296"/>
    <d v="1899-12-30T10:15:00"/>
    <s v="Kolkata"/>
    <n v="1"/>
    <m/>
    <n v="2239"/>
    <n v="10.743188923626619"/>
    <s v="High"/>
  </r>
  <r>
    <s v="P11866"/>
    <n v="20251108"/>
    <x v="2"/>
    <x v="0"/>
    <x v="1"/>
    <n v="3377"/>
    <n v="4815"/>
    <n v="336"/>
    <n v="33"/>
    <n v="19"/>
    <n v="30"/>
    <n v="0"/>
    <n v="14"/>
    <d v="1899-12-30T15:30:00"/>
    <s v="Pune"/>
    <n v="1"/>
    <m/>
    <n v="418"/>
    <n v="8.0789473684210531"/>
    <s v="Medium"/>
  </r>
  <r>
    <s v="P10038"/>
    <n v="20260520"/>
    <x v="4"/>
    <x v="6"/>
    <x v="0"/>
    <n v="50178"/>
    <n v="69028"/>
    <n v="4511"/>
    <n v="154"/>
    <n v="142"/>
    <n v="661"/>
    <n v="0"/>
    <n v="604"/>
    <d v="1899-12-30T09:00:00"/>
    <s v="Kochi"/>
    <n v="1"/>
    <m/>
    <n v="5468"/>
    <n v="9.1766642282370157"/>
    <s v="Medium"/>
  </r>
  <r>
    <s v="P10200"/>
    <n v="20260526"/>
    <x v="3"/>
    <x v="0"/>
    <x v="4"/>
    <n v="31810"/>
    <n v="49041"/>
    <n v="1570"/>
    <n v="133"/>
    <n v="130"/>
    <n v="67"/>
    <n v="22693"/>
    <n v="253"/>
    <d v="1899-12-30T10:45:00"/>
    <s v="Bengaluru"/>
    <n v="1"/>
    <m/>
    <n v="1900"/>
    <n v="16.742105263157896"/>
    <s v="High"/>
  </r>
  <r>
    <s v="P10680"/>
    <n v="20250615"/>
    <x v="0"/>
    <x v="5"/>
    <x v="1"/>
    <n v="32570"/>
    <n v="39659"/>
    <n v="1836"/>
    <n v="136"/>
    <n v="238"/>
    <n v="99"/>
    <n v="0"/>
    <n v="409"/>
    <d v="1899-12-30T19:45:00"/>
    <s v="Kolkata"/>
    <n v="1"/>
    <m/>
    <n v="2309"/>
    <n v="14.105673451710697"/>
    <s v="High"/>
  </r>
  <r>
    <s v="P11188"/>
    <n v="20251023"/>
    <x v="0"/>
    <x v="6"/>
    <x v="0"/>
    <n v="11207"/>
    <n v="14152"/>
    <n v="393"/>
    <n v="41"/>
    <n v="12"/>
    <n v="53"/>
    <n v="0"/>
    <n v="193"/>
    <d v="1899-12-30T15:45:00"/>
    <s v="Bengaluru"/>
    <n v="1"/>
    <m/>
    <n v="499"/>
    <n v="22.458917835671343"/>
    <s v="High"/>
  </r>
  <r>
    <s v="P10297"/>
    <n v="20250409"/>
    <x v="4"/>
    <x v="3"/>
    <x v="3"/>
    <n v="24678"/>
    <n v="31464"/>
    <n v="2520"/>
    <n v="136"/>
    <n v="291"/>
    <n v="271"/>
    <n v="11952"/>
    <n v="312"/>
    <d v="1899-12-30T16:15:00"/>
    <s v="Kochi"/>
    <n v="1"/>
    <m/>
    <n v="3218"/>
    <n v="7.6687383467992545"/>
    <s v="Medium"/>
  </r>
  <r>
    <s v="P10294"/>
    <n v="20250215"/>
    <x v="1"/>
    <x v="6"/>
    <x v="0"/>
    <n v="6996"/>
    <n v="9145"/>
    <n v="835"/>
    <n v="24"/>
    <n v="134"/>
    <n v="76"/>
    <n v="0"/>
    <n v="83"/>
    <d v="1899-12-30T10:45:00"/>
    <s v="Bengaluru"/>
    <n v="1"/>
    <m/>
    <n v="1069"/>
    <n v="6.5444340505144991"/>
    <s v="Medium"/>
  </r>
  <r>
    <s v="P10100"/>
    <n v="20250819"/>
    <x v="0"/>
    <x v="0"/>
    <x v="2"/>
    <n v="6736"/>
    <n v="10268"/>
    <n v="517"/>
    <n v="65"/>
    <n v="34"/>
    <n v="55"/>
    <n v="4390"/>
    <n v="84"/>
    <d v="1899-12-30T09:45:00"/>
    <s v="Coimbatore"/>
    <n v="1"/>
    <m/>
    <n v="671"/>
    <n v="10.038748137108794"/>
    <s v="High"/>
  </r>
  <r>
    <s v="P11937"/>
    <n v="20250205"/>
    <x v="4"/>
    <x v="1"/>
    <x v="5"/>
    <n v="33304"/>
    <n v="39919"/>
    <n v="1071"/>
    <n v="64"/>
    <n v="191"/>
    <n v="71"/>
    <n v="0"/>
    <n v="430"/>
    <d v="1899-12-30T19:00:00"/>
    <s v="Hyderabad"/>
    <n v="1"/>
    <m/>
    <n v="1397"/>
    <n v="23.83965640658554"/>
    <s v="High"/>
  </r>
  <r>
    <s v="P11973"/>
    <n v="20260322"/>
    <x v="0"/>
    <x v="4"/>
    <x v="1"/>
    <n v="22147"/>
    <n v="36007"/>
    <n v="1395"/>
    <n v="166"/>
    <n v="112"/>
    <n v="75"/>
    <n v="0"/>
    <n v="341"/>
    <d v="1899-12-30T15:15:00"/>
    <s v="Hyderabad"/>
    <n v="1"/>
    <m/>
    <n v="1748"/>
    <n v="12.669908466819223"/>
    <s v="High"/>
  </r>
  <r>
    <s v="P10233"/>
    <n v="20250109"/>
    <x v="3"/>
    <x v="6"/>
    <x v="2"/>
    <n v="13878"/>
    <n v="19128"/>
    <n v="1630"/>
    <n v="160"/>
    <n v="311"/>
    <n v="178"/>
    <n v="10563"/>
    <n v="74"/>
    <d v="1899-12-30T09:30:00"/>
    <s v="Bengaluru"/>
    <n v="1"/>
    <m/>
    <n v="2279"/>
    <n v="6.0895129442738041"/>
    <s v="Medium"/>
  </r>
  <r>
    <s v="P11150"/>
    <n v="20260205"/>
    <x v="0"/>
    <x v="6"/>
    <x v="3"/>
    <n v="23317"/>
    <n v="34857"/>
    <n v="1051"/>
    <n v="137"/>
    <n v="122"/>
    <n v="113"/>
    <n v="16187"/>
    <n v="177"/>
    <d v="1899-12-30T15:45:00"/>
    <s v="Kochi"/>
    <n v="1"/>
    <m/>
    <n v="1423"/>
    <n v="16.385804638088544"/>
    <s v="High"/>
  </r>
  <r>
    <s v="P10817"/>
    <n v="20250811"/>
    <x v="4"/>
    <x v="1"/>
    <x v="4"/>
    <n v="64974"/>
    <n v="102283"/>
    <n v="6821"/>
    <n v="327"/>
    <n v="798"/>
    <n v="420"/>
    <n v="37324"/>
    <n v="963"/>
    <d v="1899-12-30T18:15:00"/>
    <s v="Madurai"/>
    <n v="1"/>
    <m/>
    <n v="8366"/>
    <n v="7.766435572555582"/>
    <s v="Medium"/>
  </r>
  <r>
    <s v="P11936"/>
    <n v="20260913"/>
    <x v="4"/>
    <x v="6"/>
    <x v="4"/>
    <n v="30891"/>
    <n v="49584"/>
    <n v="1045"/>
    <n v="115"/>
    <n v="147"/>
    <n v="82"/>
    <n v="24093"/>
    <n v="263"/>
    <d v="1899-12-30T20:45:00"/>
    <s v="Kolkata"/>
    <n v="1"/>
    <m/>
    <n v="1389"/>
    <n v="22.23974082073434"/>
    <s v="High"/>
  </r>
  <r>
    <s v="P10407"/>
    <n v="20250911"/>
    <x v="4"/>
    <x v="6"/>
    <x v="1"/>
    <n v="17124"/>
    <n v="18788"/>
    <n v="888"/>
    <n v="98"/>
    <n v="149"/>
    <n v="133"/>
    <n v="0"/>
    <n v="158"/>
    <d v="1899-12-30T11:45:00"/>
    <s v="Pune"/>
    <n v="1"/>
    <m/>
    <n v="1268"/>
    <n v="13.504731861198739"/>
    <s v="High"/>
  </r>
  <r>
    <s v="P10969"/>
    <n v="20260827"/>
    <x v="1"/>
    <x v="0"/>
    <x v="0"/>
    <n v="4452"/>
    <n v="5577"/>
    <n v="154"/>
    <n v="18"/>
    <n v="10"/>
    <n v="10"/>
    <n v="0"/>
    <n v="6"/>
    <d v="1899-12-30T17:15:00"/>
    <s v="Kolkata"/>
    <n v="1"/>
    <m/>
    <n v="192"/>
    <n v="23.1875"/>
    <s v="High"/>
  </r>
  <r>
    <s v="P10634"/>
    <n v="20260421"/>
    <x v="0"/>
    <x v="3"/>
    <x v="4"/>
    <n v="15337"/>
    <n v="22816"/>
    <n v="1397"/>
    <n v="143"/>
    <n v="262"/>
    <n v="60"/>
    <n v="13177"/>
    <n v="106"/>
    <d v="1899-12-30T16:00:00"/>
    <s v="Coimbatore"/>
    <n v="1"/>
    <m/>
    <n v="1862"/>
    <n v="8.2368421052631575"/>
    <s v="Medium"/>
  </r>
  <r>
    <s v="P10769"/>
    <n v="20250327"/>
    <x v="0"/>
    <x v="6"/>
    <x v="0"/>
    <n v="6516"/>
    <n v="9158"/>
    <n v="224"/>
    <n v="17"/>
    <n v="17"/>
    <n v="18"/>
    <n v="0"/>
    <n v="115"/>
    <d v="1899-12-30T17:15:00"/>
    <s v="Chennai"/>
    <n v="1"/>
    <m/>
    <n v="276"/>
    <n v="23.608695652173914"/>
    <s v="High"/>
  </r>
  <r>
    <s v="P10928"/>
    <n v="20260606"/>
    <x v="3"/>
    <x v="5"/>
    <x v="4"/>
    <n v="54179"/>
    <n v="61307"/>
    <n v="4444"/>
    <n v="286"/>
    <n v="356"/>
    <n v="254"/>
    <n v="30170"/>
    <n v="375"/>
    <d v="1899-12-30T13:45:00"/>
    <s v="Kolkata"/>
    <n v="1"/>
    <m/>
    <n v="5340"/>
    <n v="10.145880149812735"/>
    <s v="High"/>
  </r>
  <r>
    <s v="P10212"/>
    <n v="20250527"/>
    <x v="3"/>
    <x v="3"/>
    <x v="3"/>
    <n v="46875"/>
    <n v="56152"/>
    <n v="5202"/>
    <n v="650"/>
    <n v="373"/>
    <n v="778"/>
    <n v="16620"/>
    <n v="793"/>
    <d v="1899-12-30T11:45:00"/>
    <s v="Delhi"/>
    <n v="1"/>
    <m/>
    <n v="7003"/>
    <n v="6.693559902898758"/>
    <s v="Medium"/>
  </r>
  <r>
    <s v="P10656"/>
    <n v="20260314"/>
    <x v="4"/>
    <x v="5"/>
    <x v="4"/>
    <n v="51586"/>
    <n v="76879"/>
    <n v="5745"/>
    <n v="235"/>
    <n v="775"/>
    <n v="515"/>
    <n v="18847"/>
    <n v="478"/>
    <d v="1899-12-30T12:00:00"/>
    <s v="Pune"/>
    <n v="1"/>
    <m/>
    <n v="7270"/>
    <n v="7.0957359009628611"/>
    <s v="Medium"/>
  </r>
  <r>
    <s v="P10120"/>
    <n v="20250115"/>
    <x v="4"/>
    <x v="1"/>
    <x v="4"/>
    <n v="96761"/>
    <n v="102287"/>
    <n v="4723"/>
    <n v="649"/>
    <n v="748"/>
    <n v="401"/>
    <n v="48315"/>
    <n v="472"/>
    <d v="1899-12-30T13:45:00"/>
    <s v="Bengaluru"/>
    <n v="1"/>
    <m/>
    <n v="6521"/>
    <n v="14.838368348412819"/>
    <s v="High"/>
  </r>
  <r>
    <s v="P11953"/>
    <n v="20250227"/>
    <x v="0"/>
    <x v="2"/>
    <x v="4"/>
    <n v="52142"/>
    <n v="63348"/>
    <n v="3671"/>
    <n v="341"/>
    <n v="294"/>
    <n v="344"/>
    <n v="27084"/>
    <n v="912"/>
    <d v="1899-12-30T21:15:00"/>
    <s v="Kolkata"/>
    <n v="1"/>
    <m/>
    <n v="4650"/>
    <n v="11.213333333333333"/>
    <s v="High"/>
  </r>
  <r>
    <s v="P10317"/>
    <n v="20260918"/>
    <x v="0"/>
    <x v="5"/>
    <x v="0"/>
    <n v="29674"/>
    <n v="40087"/>
    <n v="1739"/>
    <n v="77"/>
    <n v="300"/>
    <n v="49"/>
    <n v="0"/>
    <n v="278"/>
    <d v="1899-12-30T10:00:00"/>
    <s v="Chennai"/>
    <n v="1"/>
    <m/>
    <n v="2165"/>
    <n v="13.706235565819862"/>
    <s v="High"/>
  </r>
  <r>
    <s v="P10472"/>
    <n v="20251208"/>
    <x v="3"/>
    <x v="4"/>
    <x v="5"/>
    <n v="12090"/>
    <n v="19233"/>
    <n v="506"/>
    <n v="54"/>
    <n v="43"/>
    <n v="29"/>
    <n v="0"/>
    <n v="187"/>
    <d v="1899-12-30T20:15:00"/>
    <s v="Kolkata"/>
    <n v="1"/>
    <m/>
    <n v="632"/>
    <n v="19.129746835443036"/>
    <s v="High"/>
  </r>
  <r>
    <s v="P11117"/>
    <n v="20260706"/>
    <x v="3"/>
    <x v="0"/>
    <x v="2"/>
    <n v="20085"/>
    <n v="28634"/>
    <n v="1552"/>
    <n v="85"/>
    <n v="289"/>
    <n v="236"/>
    <n v="12139"/>
    <n v="306"/>
    <d v="1899-12-30T12:30:00"/>
    <s v="Coimbatore"/>
    <n v="1"/>
    <m/>
    <n v="2162"/>
    <n v="9.2900092506938012"/>
    <s v="Medium"/>
  </r>
  <r>
    <s v="P11951"/>
    <n v="20250308"/>
    <x v="0"/>
    <x v="2"/>
    <x v="0"/>
    <n v="26171"/>
    <n v="39436"/>
    <n v="1029"/>
    <n v="40"/>
    <n v="38"/>
    <n v="157"/>
    <n v="0"/>
    <n v="373"/>
    <d v="1899-12-30T09:00:00"/>
    <s v="Kolkata"/>
    <n v="1"/>
    <m/>
    <n v="1264"/>
    <n v="20.70490506329114"/>
    <s v="High"/>
  </r>
  <r>
    <s v="P11705"/>
    <n v="20250605"/>
    <x v="0"/>
    <x v="0"/>
    <x v="5"/>
    <n v="29556"/>
    <n v="34231"/>
    <n v="1340"/>
    <n v="156"/>
    <n v="147"/>
    <n v="86"/>
    <n v="0"/>
    <n v="337"/>
    <d v="1899-12-30T09:45:00"/>
    <s v="Pune"/>
    <n v="1"/>
    <m/>
    <n v="1729"/>
    <n v="17.094274146905725"/>
    <s v="High"/>
  </r>
  <r>
    <s v="P11891"/>
    <n v="20250603"/>
    <x v="0"/>
    <x v="0"/>
    <x v="4"/>
    <n v="40084"/>
    <n v="45070"/>
    <n v="4326"/>
    <n v="384"/>
    <n v="806"/>
    <n v="335"/>
    <n v="32316"/>
    <n v="453"/>
    <d v="1899-12-30T09:30:00"/>
    <s v="Chennai"/>
    <n v="1"/>
    <m/>
    <n v="5851"/>
    <n v="6.850794735942574"/>
    <s v="Medium"/>
  </r>
  <r>
    <s v="P11473"/>
    <n v="20260201"/>
    <x v="0"/>
    <x v="1"/>
    <x v="4"/>
    <n v="17796"/>
    <n v="21157"/>
    <n v="1486"/>
    <n v="199"/>
    <n v="164"/>
    <n v="197"/>
    <n v="11503"/>
    <n v="267"/>
    <d v="1899-12-30T13:45:00"/>
    <s v="Hyderabad"/>
    <n v="1"/>
    <m/>
    <n v="2046"/>
    <n v="8.6979472140762457"/>
    <s v="Medium"/>
  </r>
  <r>
    <s v="P11500"/>
    <n v="20260507"/>
    <x v="4"/>
    <x v="0"/>
    <x v="4"/>
    <n v="23931"/>
    <n v="36687"/>
    <n v="854"/>
    <n v="108"/>
    <m/>
    <n v="113"/>
    <n v="16068"/>
    <n v="141"/>
    <d v="1899-12-30T21:45:00"/>
    <s v="Kochi"/>
    <n v="1"/>
    <m/>
    <n v="1075"/>
    <n v="22.261395348837208"/>
    <s v="High"/>
  </r>
  <r>
    <s v="P11634"/>
    <n v="20260224"/>
    <x v="2"/>
    <x v="1"/>
    <x v="2"/>
    <n v="4293"/>
    <n v="6790"/>
    <n v="136"/>
    <n v="15"/>
    <n v="11"/>
    <n v="16"/>
    <n v="2618"/>
    <n v="50"/>
    <d v="1899-12-30T18:45:00"/>
    <s v="Mumbai"/>
    <n v="1"/>
    <m/>
    <n v="178"/>
    <n v="24.117977528089888"/>
    <s v="High"/>
  </r>
  <r>
    <s v="P11060"/>
    <n v="20251109"/>
    <x v="0"/>
    <x v="4"/>
    <x v="3"/>
    <n v="64585"/>
    <n v="68367"/>
    <n v="4718"/>
    <n v="430"/>
    <n v="233"/>
    <n v="376"/>
    <n v="44117"/>
    <n v="352"/>
    <d v="1899-12-30T19:45:00"/>
    <s v="Coimbatore"/>
    <n v="1"/>
    <m/>
    <n v="5757"/>
    <n v="11.218516588500956"/>
    <s v="High"/>
  </r>
  <r>
    <s v="P11190"/>
    <n v="20250805"/>
    <x v="4"/>
    <x v="6"/>
    <x v="0"/>
    <n v="20438"/>
    <n v="28243"/>
    <n v="1614"/>
    <n v="84"/>
    <n v="316"/>
    <n v="169"/>
    <n v="0"/>
    <n v="188"/>
    <d v="1899-12-30T18:00:00"/>
    <s v="Chennai"/>
    <n v="1"/>
    <m/>
    <n v="2183"/>
    <n v="9.3623453962437022"/>
    <s v="Medium"/>
  </r>
  <r>
    <s v="P10082"/>
    <n v="20260508"/>
    <x v="3"/>
    <x v="5"/>
    <x v="2"/>
    <n v="7499"/>
    <n v="8507"/>
    <n v="332"/>
    <n v="45"/>
    <n v="25"/>
    <n v="24"/>
    <n v="3076"/>
    <n v="88"/>
    <d v="1899-12-30T21:30:00"/>
    <s v="Kochi"/>
    <n v="1"/>
    <m/>
    <n v="426"/>
    <n v="17.603286384976524"/>
    <s v="High"/>
  </r>
  <r>
    <s v="P10940"/>
    <n v="20251120"/>
    <x v="1"/>
    <x v="5"/>
    <x v="3"/>
    <n v="54277"/>
    <n v="71628"/>
    <n v="5671"/>
    <n v="615"/>
    <n v="247"/>
    <n v="618"/>
    <n v="28677"/>
    <n v="746"/>
    <d v="1899-12-30T20:15:00"/>
    <s v="Kolkata"/>
    <n v="1"/>
    <m/>
    <n v="7151"/>
    <n v="7.5901272549293806"/>
    <s v="Medium"/>
  </r>
  <r>
    <s v="P10557"/>
    <n v="20250709"/>
    <x v="0"/>
    <x v="6"/>
    <x v="3"/>
    <n v="66584"/>
    <n v="71198"/>
    <n v="7907"/>
    <n v="324"/>
    <n v="396"/>
    <n v="515"/>
    <n v="54358"/>
    <n v="496"/>
    <d v="1899-12-30T11:45:00"/>
    <s v="Kolkata"/>
    <n v="1"/>
    <m/>
    <n v="9142"/>
    <n v="7.283307810107198"/>
    <s v="Medium"/>
  </r>
  <r>
    <s v="P11956"/>
    <n v="20250510"/>
    <x v="0"/>
    <x v="0"/>
    <x v="3"/>
    <n v="67785"/>
    <n v="94284"/>
    <n v="4522"/>
    <n v="277"/>
    <n v="479"/>
    <n v="352"/>
    <n v="53855"/>
    <n v="700"/>
    <d v="1899-12-30T19:00:00"/>
    <s v="Kolkata"/>
    <n v="1"/>
    <m/>
    <n v="5630"/>
    <n v="12.039964476021314"/>
    <s v="High"/>
  </r>
  <r>
    <s v="P10575"/>
    <n v="20260317"/>
    <x v="0"/>
    <x v="1"/>
    <x v="3"/>
    <n v="13026"/>
    <n v="18822"/>
    <n v="1467"/>
    <n v="45"/>
    <n v="251"/>
    <n v="188"/>
    <n v="9208"/>
    <n v="99"/>
    <d v="1899-12-30T17:15:00"/>
    <s v="Kochi"/>
    <n v="1"/>
    <m/>
    <n v="1951"/>
    <n v="6.6765761148129164"/>
    <s v="Medium"/>
  </r>
  <r>
    <s v="P10608"/>
    <n v="20260125"/>
    <x v="4"/>
    <x v="2"/>
    <x v="5"/>
    <n v="32764"/>
    <n v="35806"/>
    <n v="1141"/>
    <n v="47"/>
    <n v="49"/>
    <n v="138"/>
    <n v="0"/>
    <n v="328"/>
    <d v="1899-12-30T21:15:00"/>
    <s v="Mumbai"/>
    <n v="1"/>
    <m/>
    <n v="1375"/>
    <n v="23.828363636363637"/>
    <s v="High"/>
  </r>
  <r>
    <s v="P11032"/>
    <n v="20251101"/>
    <x v="1"/>
    <x v="4"/>
    <x v="0"/>
    <n v="19918"/>
    <n v="23555"/>
    <n v="1921"/>
    <n v="93"/>
    <n v="261"/>
    <n v="261"/>
    <n v="0"/>
    <n v="149"/>
    <d v="1899-12-30T13:15:00"/>
    <s v="Kochi"/>
    <n v="1"/>
    <m/>
    <n v="2536"/>
    <n v="7.85410094637224"/>
    <s v="Medium"/>
  </r>
  <r>
    <s v="P11506"/>
    <n v="20260828"/>
    <x v="3"/>
    <x v="6"/>
    <x v="0"/>
    <n v="15811"/>
    <n v="21584"/>
    <n v="865"/>
    <n v="32"/>
    <n v="82"/>
    <n v="134"/>
    <n v="0"/>
    <n v="264"/>
    <d v="1899-12-30T13:15:00"/>
    <s v="Pune"/>
    <n v="1"/>
    <m/>
    <n v="1113"/>
    <n v="14.20575022461815"/>
    <s v="High"/>
  </r>
  <r>
    <s v="P11234"/>
    <n v="20260126"/>
    <x v="0"/>
    <x v="1"/>
    <x v="4"/>
    <n v="47714"/>
    <n v="62470"/>
    <n v="1872"/>
    <n v="217"/>
    <n v="144"/>
    <n v="188"/>
    <n v="39216"/>
    <n v="461"/>
    <d v="1899-12-30T08:00:00"/>
    <s v="Pune"/>
    <n v="1"/>
    <m/>
    <n v="2421"/>
    <n v="19.708384964890541"/>
    <s v="High"/>
  </r>
  <r>
    <s v="P11097"/>
    <n v="20250429"/>
    <x v="3"/>
    <x v="5"/>
    <x v="4"/>
    <n v="30901"/>
    <n v="45459"/>
    <n v="2211"/>
    <n v="77"/>
    <n v="368"/>
    <n v="182"/>
    <n v="14219"/>
    <n v="166"/>
    <d v="1899-12-30T22:00:00"/>
    <s v="Chennai"/>
    <n v="1"/>
    <m/>
    <n v="2838"/>
    <n v="10.88830162085976"/>
    <s v="High"/>
  </r>
  <r>
    <s v="P10399"/>
    <n v="20250723"/>
    <x v="3"/>
    <x v="6"/>
    <x v="2"/>
    <n v="22045"/>
    <n v="30314"/>
    <n v="1839"/>
    <n v="125"/>
    <n v="62"/>
    <n v="47"/>
    <n v="9573"/>
    <n v="153"/>
    <d v="1899-12-30T09:15:00"/>
    <s v="Kochi"/>
    <n v="1"/>
    <m/>
    <n v="2073"/>
    <n v="10.634346357935359"/>
    <s v="High"/>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s v="P11812"/>
    <n v="20260914"/>
    <s v="PL001"/>
    <s v="C007"/>
    <s v="CT002"/>
    <n v="20555"/>
    <n v="32660"/>
    <n v="1829"/>
    <n v="159"/>
    <n v="243"/>
    <n v="197"/>
    <n v="0"/>
    <n v="233"/>
    <d v="1899-12-30T17:30:00"/>
    <s v="Kolkata"/>
    <n v="1"/>
    <n v="1"/>
    <n v="2428"/>
    <n v="8.4658154859967052"/>
    <s v="Medium"/>
    <x v="0"/>
    <x v="0"/>
  </r>
  <r>
    <s v="P10374"/>
    <n v="20250227"/>
    <s v="PL001"/>
    <s v="C004"/>
    <s v="CT005"/>
    <n v="28426"/>
    <n v="35838"/>
    <n v="1159"/>
    <n v="55"/>
    <n v="211"/>
    <n v="138"/>
    <n v="0"/>
    <n v="120"/>
    <d v="1899-12-30T14:45:00"/>
    <s v="Bengaluru"/>
    <n v="1"/>
    <n v="1"/>
    <n v="1563"/>
    <n v="18.186820217530389"/>
    <s v="High"/>
    <x v="1"/>
    <x v="1"/>
  </r>
  <r>
    <s v="P10672"/>
    <n v="20260226"/>
    <s v="PL004"/>
    <s v="C004"/>
    <s v="CT006"/>
    <n v="21926"/>
    <n v="25549"/>
    <n v="1948"/>
    <n v="123"/>
    <n v="317"/>
    <n v="195"/>
    <n v="14118"/>
    <n v="234"/>
    <d v="1899-12-30T20:15:00"/>
    <s v="Mumbai"/>
    <n v="1"/>
    <n v="1"/>
    <n v="2583"/>
    <n v="8.4885791715060002"/>
    <s v="Medium"/>
    <x v="0"/>
    <x v="1"/>
  </r>
  <r>
    <s v="P10689"/>
    <n v="20250703"/>
    <s v="PL001"/>
    <s v="C006"/>
    <s v="CT002"/>
    <n v="10541"/>
    <n v="13625"/>
    <n v="457"/>
    <n v="53"/>
    <n v="40"/>
    <n v="36"/>
    <n v="0"/>
    <n v="32"/>
    <d v="1899-12-30T10:00:00"/>
    <s v="Delhi"/>
    <n v="1"/>
    <n v="1"/>
    <n v="586"/>
    <n v="17.988054607508534"/>
    <s v="High"/>
    <x v="1"/>
    <x v="2"/>
  </r>
  <r>
    <s v="P10189"/>
    <n v="20260220"/>
    <s v="PL005"/>
    <s v="C003"/>
    <s v="CT006"/>
    <n v="4889"/>
    <n v="5589"/>
    <n v="385"/>
    <m/>
    <n v="68"/>
    <n v="28"/>
    <n v="2288"/>
    <n v="28"/>
    <d v="1899-12-30T13:15:00"/>
    <s v="Madurai"/>
    <n v="1"/>
    <n v="1"/>
    <n v="481"/>
    <n v="10.164241164241163"/>
    <s v="High"/>
    <x v="0"/>
    <x v="1"/>
  </r>
  <r>
    <s v="P11531"/>
    <n v="20250305"/>
    <s v="PL001"/>
    <s v="C005"/>
    <s v="CT002"/>
    <n v="11965"/>
    <n v="12832"/>
    <n v="1168"/>
    <n v="56"/>
    <n v="112"/>
    <n v="132"/>
    <n v="0"/>
    <n v="44"/>
    <d v="1899-12-30T12:00:00"/>
    <s v="Kolkata"/>
    <n v="1"/>
    <n v="1"/>
    <n v="1468"/>
    <n v="8.1505449591280659"/>
    <s v="Medium"/>
    <x v="1"/>
    <x v="3"/>
  </r>
  <r>
    <s v="P11539"/>
    <n v="20250615"/>
    <s v="PL004"/>
    <s v="C004"/>
    <s v="CT006"/>
    <n v="12913"/>
    <n v="18106"/>
    <n v="894"/>
    <n v="25"/>
    <n v="117"/>
    <n v="25"/>
    <n v="10186"/>
    <n v="33"/>
    <d v="1899-12-30T15:30:00"/>
    <s v="Chennai"/>
    <n v="1"/>
    <n v="1"/>
    <n v="1061"/>
    <n v="12.170593779453347"/>
    <s v="High"/>
    <x v="1"/>
    <x v="4"/>
  </r>
  <r>
    <s v="P11030"/>
    <n v="20250201"/>
    <s v="PL003"/>
    <s v="C007"/>
    <s v="CT004"/>
    <n v="35079"/>
    <n v="38997"/>
    <n v="2034"/>
    <n v="180"/>
    <n v="161"/>
    <n v="229"/>
    <n v="16625"/>
    <n v="570"/>
    <d v="1899-12-30T19:30:00"/>
    <s v="Kochi"/>
    <n v="1"/>
    <n v="1"/>
    <n v="2604"/>
    <n v="13.471198156682028"/>
    <s v="High"/>
    <x v="1"/>
    <x v="1"/>
  </r>
  <r>
    <s v="P10467"/>
    <n v="20251006"/>
    <s v="PL002"/>
    <s v="C005"/>
    <s v="CT006"/>
    <n v="33431"/>
    <n v="43499"/>
    <n v="1576"/>
    <n v="106"/>
    <n v="270"/>
    <n v="109"/>
    <n v="22011"/>
    <n v="528"/>
    <d v="1899-12-30T19:30:00"/>
    <s v="Chennai"/>
    <n v="1"/>
    <n v="1"/>
    <n v="2061"/>
    <n v="16.220766618146531"/>
    <s v="High"/>
    <x v="1"/>
    <x v="5"/>
  </r>
  <r>
    <s v="P10623"/>
    <n v="20251009"/>
    <s v="PL002"/>
    <s v="C007"/>
    <s v="CT001"/>
    <m/>
    <n v="56415"/>
    <n v="2798"/>
    <n v="313"/>
    <n v="302"/>
    <n v="396"/>
    <n v="30771"/>
    <n v="634"/>
    <d v="1899-12-30T18:00:00"/>
    <s v="Hyderabad"/>
    <n v="1"/>
    <n v="6"/>
    <n v="3809"/>
    <n v="0"/>
    <s v="Low"/>
    <x v="1"/>
    <x v="5"/>
  </r>
  <r>
    <s v="P10538"/>
    <n v="20260219"/>
    <s v="PL004"/>
    <s v="C005"/>
    <s v="CT004"/>
    <n v="12705"/>
    <n v="19621"/>
    <n v="1510"/>
    <n v="141"/>
    <n v="150"/>
    <n v="220"/>
    <n v="8981"/>
    <n v="50"/>
    <d v="1899-12-30T08:15:00"/>
    <s v="Pune"/>
    <n v="1"/>
    <m/>
    <n v="2021"/>
    <n v="6.2864918357248882"/>
    <s v="Medium"/>
    <x v="0"/>
    <x v="1"/>
  </r>
  <r>
    <s v="P11874"/>
    <n v="20250621"/>
    <s v="PL001"/>
    <s v="C005"/>
    <s v="CT003"/>
    <n v="19932"/>
    <n v="21430"/>
    <n v="1542"/>
    <n v="105"/>
    <n v="196"/>
    <n v="113"/>
    <n v="0"/>
    <n v="38"/>
    <d v="1899-12-30T16:15:00"/>
    <s v="Mumbai"/>
    <n v="1"/>
    <m/>
    <n v="1956"/>
    <n v="10.190184049079754"/>
    <s v="High"/>
    <x v="1"/>
    <x v="4"/>
  </r>
  <r>
    <s v="P10536"/>
    <n v="20250311"/>
    <s v="PL005"/>
    <s v="C007"/>
    <s v="CT004"/>
    <n v="12799"/>
    <n v="19658"/>
    <n v="504"/>
    <n v="25"/>
    <n v="67"/>
    <n v="34"/>
    <n v="9598"/>
    <n v="144"/>
    <d v="1899-12-30T07:45:00"/>
    <s v="Coimbatore"/>
    <n v="1"/>
    <m/>
    <n v="630"/>
    <n v="20.315873015873017"/>
    <s v="High"/>
    <x v="1"/>
    <x v="3"/>
  </r>
  <r>
    <s v="P11614"/>
    <n v="20251218"/>
    <s v="PL001"/>
    <s v="C003"/>
    <s v="CT001"/>
    <n v="62099"/>
    <n v="70176"/>
    <n v="7155"/>
    <n v="760"/>
    <n v="755"/>
    <n v="357"/>
    <n v="32702"/>
    <n v="404"/>
    <d v="1899-12-30T18:45:00"/>
    <s v="Delhi"/>
    <n v="1"/>
    <m/>
    <n v="9027"/>
    <n v="6.8792511354824413"/>
    <s v="Medium"/>
    <x v="1"/>
    <x v="6"/>
  </r>
  <r>
    <s v="P11219"/>
    <n v="20260109"/>
    <s v="PL001"/>
    <s v="C003"/>
    <s v="CT004"/>
    <n v="42831"/>
    <m/>
    <n v="3755"/>
    <n v="496"/>
    <m/>
    <n v="221"/>
    <n v="25284"/>
    <n v="291"/>
    <d v="1899-12-30T09:00:00"/>
    <m/>
    <n v="1"/>
    <m/>
    <n v="4472"/>
    <n v="9.5775939177101961"/>
    <s v="Medium"/>
    <x v="0"/>
    <x v="7"/>
  </r>
  <r>
    <s v="P11970"/>
    <n v="20251107"/>
    <s v="PL001"/>
    <s v="C005"/>
    <s v="CT001"/>
    <n v="40666"/>
    <n v="58779"/>
    <n v="1418"/>
    <n v="109"/>
    <n v="44"/>
    <n v="167"/>
    <n v="18822"/>
    <n v="91"/>
    <d v="1899-12-30T19:15:00"/>
    <s v="Hyderabad"/>
    <n v="1"/>
    <m/>
    <n v="1738"/>
    <n v="23.398158803222096"/>
    <s v="High"/>
    <x v="1"/>
    <x v="8"/>
  </r>
  <r>
    <s v="P10994"/>
    <n v="20250901"/>
    <s v="PL003"/>
    <s v="C004"/>
    <s v="CT001"/>
    <n v="7941"/>
    <n v="12390"/>
    <n v="665"/>
    <n v="30"/>
    <n v="27"/>
    <n v="35"/>
    <m/>
    <n v="54"/>
    <d v="1899-12-30T18:00:00"/>
    <s v="Chennai"/>
    <n v="1"/>
    <m/>
    <n v="757"/>
    <n v="10.490092470277411"/>
    <s v="High"/>
    <x v="1"/>
    <x v="0"/>
  </r>
  <r>
    <s v="P10957"/>
    <n v="20250806"/>
    <s v="PL001"/>
    <s v="C006"/>
    <s v="CT006"/>
    <n v="10664"/>
    <n v="13601"/>
    <n v="974"/>
    <n v="87"/>
    <n v="87"/>
    <n v="113"/>
    <n v="6022"/>
    <n v="12"/>
    <d v="1899-12-30T20:15:00"/>
    <s v="Chennai"/>
    <n v="1"/>
    <m/>
    <n v="1261"/>
    <n v="8.456780333068993"/>
    <s v="Medium"/>
    <x v="1"/>
    <x v="9"/>
  </r>
  <r>
    <s v="P11669"/>
    <n v="20250325"/>
    <s v="PL004"/>
    <s v="C005"/>
    <s v="CT001"/>
    <n v="11035"/>
    <n v="12100"/>
    <n v="1159"/>
    <n v="158"/>
    <n v="149"/>
    <n v="101"/>
    <n v="4105"/>
    <n v="73"/>
    <d v="1899-12-30T21:45:00"/>
    <s v="Pune"/>
    <n v="1"/>
    <m/>
    <n v="1567"/>
    <n v="7.0421186981493298"/>
    <s v="Medium"/>
    <x v="1"/>
    <x v="3"/>
  </r>
  <r>
    <s v="P10847"/>
    <n v="20260526"/>
    <s v="PL003"/>
    <s v="C002"/>
    <s v="CT003"/>
    <n v="10952"/>
    <n v="15385"/>
    <n v="481"/>
    <n v="25"/>
    <n v="64"/>
    <n v="34"/>
    <n v="0"/>
    <n v="111"/>
    <d v="1899-12-30T19:45:00"/>
    <s v="Coimbatore"/>
    <n v="1"/>
    <m/>
    <n v="604"/>
    <n v="18.132450331125828"/>
    <s v="High"/>
    <x v="0"/>
    <x v="10"/>
  </r>
  <r>
    <s v="P11919"/>
    <n v="20251116"/>
    <s v="PL004"/>
    <s v="C004"/>
    <s v="CT005"/>
    <n v="7125"/>
    <n v="10467"/>
    <n v="721"/>
    <n v="34"/>
    <n v="76"/>
    <n v="93"/>
    <n v="0"/>
    <n v="29"/>
    <d v="1899-12-30T18:45:00"/>
    <s v="Kolkata"/>
    <n v="1"/>
    <m/>
    <n v="924"/>
    <n v="7.7110389610389607"/>
    <s v="Medium"/>
    <x v="1"/>
    <x v="8"/>
  </r>
  <r>
    <s v="P10816"/>
    <n v="20260702"/>
    <s v="PL001"/>
    <s v="C003"/>
    <s v="CT002"/>
    <n v="15396"/>
    <n v="21604"/>
    <n v="1101"/>
    <n v="144"/>
    <n v="87"/>
    <n v="124"/>
    <n v="0"/>
    <n v="140"/>
    <m/>
    <s v="Chennai"/>
    <n v="1"/>
    <m/>
    <n v="1456"/>
    <n v="10.574175824175825"/>
    <s v="High"/>
    <x v="0"/>
    <x v="2"/>
  </r>
  <r>
    <s v="P10225"/>
    <n v="20260916"/>
    <s v="PL004"/>
    <s v="C003"/>
    <s v="CT001"/>
    <n v="25348"/>
    <n v="33848"/>
    <n v="2264"/>
    <n v="135"/>
    <n v="241"/>
    <n v="356"/>
    <n v="19629"/>
    <n v="363"/>
    <d v="1899-12-30T08:45:00"/>
    <s v="Madurai"/>
    <n v="1"/>
    <m/>
    <n v="2996"/>
    <n v="8.4606141522029379"/>
    <s v="Medium"/>
    <x v="0"/>
    <x v="0"/>
  </r>
  <r>
    <s v="P10749"/>
    <n v="20250804"/>
    <s v="PL003"/>
    <s v="C007"/>
    <s v="CT001"/>
    <n v="10054"/>
    <n v="11411"/>
    <m/>
    <n v="79"/>
    <n v="73"/>
    <n v="37"/>
    <n v="4697"/>
    <n v="120"/>
    <d v="1899-12-30T07:30:00"/>
    <s v="Pune"/>
    <n v="1"/>
    <m/>
    <n v="189"/>
    <n v="53.195767195767196"/>
    <s v="High"/>
    <x v="1"/>
    <x v="9"/>
  </r>
  <r>
    <s v="P10685"/>
    <n v="20260717"/>
    <s v="PL001"/>
    <s v="C006"/>
    <s v="CT002"/>
    <n v="18706"/>
    <n v="27066"/>
    <n v="1103"/>
    <n v="45"/>
    <n v="138"/>
    <m/>
    <n v="0"/>
    <m/>
    <d v="1899-12-30T10:00:00"/>
    <s v="Hyderabad"/>
    <n v="1"/>
    <m/>
    <n v="1286"/>
    <n v="14.545878693623639"/>
    <s v="High"/>
    <x v="0"/>
    <x v="2"/>
  </r>
  <r>
    <s v="P10678"/>
    <n v="20251104"/>
    <s v="PL001"/>
    <s v="C001"/>
    <s v="CT006"/>
    <n v="8842"/>
    <n v="9874"/>
    <n v="227"/>
    <n v="31"/>
    <n v="14"/>
    <n v="34"/>
    <n v="7515"/>
    <n v="101"/>
    <d v="1899-12-30T20:15:00"/>
    <s v="Kolkata"/>
    <n v="1"/>
    <m/>
    <n v="306"/>
    <n v="28.895424836601308"/>
    <s v="High"/>
    <x v="1"/>
    <x v="8"/>
  </r>
  <r>
    <s v="P10266"/>
    <n v="20250202"/>
    <s v="PL004"/>
    <s v="C004"/>
    <s v="CT002"/>
    <n v="7585"/>
    <n v="12262"/>
    <n v="681"/>
    <n v="81"/>
    <n v="31"/>
    <n v="26"/>
    <n v="0"/>
    <n v="115"/>
    <d v="1899-12-30T19:30:00"/>
    <s v="Mumbai"/>
    <n v="1"/>
    <m/>
    <n v="819"/>
    <n v="9.2612942612942621"/>
    <s v="Medium"/>
    <x v="1"/>
    <x v="1"/>
  </r>
  <r>
    <s v="P10848"/>
    <n v="20250916"/>
    <s v="PL005"/>
    <s v="C002"/>
    <s v="CT001"/>
    <n v="14995"/>
    <n v="20663"/>
    <n v="661"/>
    <n v="60"/>
    <n v="61"/>
    <n v="95"/>
    <n v="8632"/>
    <n v="77"/>
    <d v="1899-12-30T18:45:00"/>
    <s v="Madurai"/>
    <n v="1"/>
    <m/>
    <n v="877"/>
    <n v="17.098061573546179"/>
    <s v="High"/>
    <x v="1"/>
    <x v="0"/>
  </r>
  <r>
    <s v="P11853"/>
    <n v="20250102"/>
    <s v="PL005"/>
    <s v="C005"/>
    <s v="CT001"/>
    <n v="7543"/>
    <n v="9925"/>
    <n v="210"/>
    <n v="18"/>
    <n v="41"/>
    <n v="10"/>
    <n v="4809"/>
    <n v="77"/>
    <d v="1899-12-30T09:15:00"/>
    <s v="Pune"/>
    <n v="1"/>
    <m/>
    <n v="279"/>
    <n v="27.035842293906811"/>
    <s v="High"/>
    <x v="1"/>
    <x v="7"/>
  </r>
  <r>
    <s v="P11064"/>
    <n v="20250827"/>
    <s v="PL002"/>
    <s v="C003"/>
    <s v="CT005"/>
    <n v="9052"/>
    <n v="12595"/>
    <n v="977"/>
    <n v="68"/>
    <n v="104"/>
    <n v="115"/>
    <n v="0"/>
    <n v="95"/>
    <d v="1899-12-30T12:00:00"/>
    <s v="Kochi"/>
    <n v="1"/>
    <m/>
    <n v="1264"/>
    <n v="7.1613924050632916"/>
    <s v="Medium"/>
    <x v="1"/>
    <x v="9"/>
  </r>
  <r>
    <s v="P10965"/>
    <n v="20251120"/>
    <s v="PL002"/>
    <s v="C005"/>
    <s v="CT002"/>
    <n v="67966"/>
    <n v="107812"/>
    <n v="2007"/>
    <n v="151"/>
    <n v="205"/>
    <n v="208"/>
    <n v="0"/>
    <n v="722"/>
    <d v="1899-12-30T09:00:00"/>
    <s v="Mumbai"/>
    <n v="1"/>
    <m/>
    <n v="2571"/>
    <n v="26.435628160248932"/>
    <s v="High"/>
    <x v="1"/>
    <x v="8"/>
  </r>
  <r>
    <s v="P11113"/>
    <n v="20250425"/>
    <s v="PL003"/>
    <s v="C002"/>
    <s v="CT005"/>
    <n v="9353"/>
    <n v="11016"/>
    <n v="784"/>
    <n v="29"/>
    <n v="46"/>
    <n v="108"/>
    <n v="0"/>
    <n v="83"/>
    <d v="1899-12-30T14:15:00"/>
    <s v="Kolkata"/>
    <n v="1"/>
    <m/>
    <n v="967"/>
    <n v="9.672182006204757"/>
    <s v="Medium"/>
    <x v="1"/>
    <x v="11"/>
  </r>
  <r>
    <s v="P10865"/>
    <n v="20250824"/>
    <s v="PL003"/>
    <s v="C002"/>
    <s v="CT003"/>
    <n v="22496"/>
    <n v="35769"/>
    <n v="1423"/>
    <n v="168"/>
    <n v="200"/>
    <n v="71"/>
    <n v="0"/>
    <n v="130"/>
    <d v="1899-12-30T14:30:00"/>
    <s v="Kolkata"/>
    <n v="1"/>
    <m/>
    <n v="1862"/>
    <n v="12.081632653061224"/>
    <s v="High"/>
    <x v="1"/>
    <x v="9"/>
  </r>
  <r>
    <s v="P10175"/>
    <n v="20250423"/>
    <s v="PL003"/>
    <s v="C001"/>
    <s v="CT001"/>
    <n v="30910"/>
    <n v="33665"/>
    <n v="2339"/>
    <n v="101"/>
    <n v="209"/>
    <n v="149"/>
    <n v="18182"/>
    <n v="283"/>
    <d v="1899-12-30T17:30:00"/>
    <s v="Madurai"/>
    <n v="1"/>
    <m/>
    <n v="2798"/>
    <n v="11.047176554681915"/>
    <s v="High"/>
    <x v="1"/>
    <x v="11"/>
  </r>
  <r>
    <s v="P10426"/>
    <n v="20260303"/>
    <s v="PL005"/>
    <s v="C007"/>
    <s v="CT004"/>
    <n v="18524"/>
    <n v="27524"/>
    <n v="1147"/>
    <n v="121"/>
    <n v="219"/>
    <n v="146"/>
    <n v="14182"/>
    <n v="261"/>
    <d v="1899-12-30T19:30:00"/>
    <s v="Bengaluru"/>
    <n v="1"/>
    <m/>
    <n v="1633"/>
    <n v="11.343539497856705"/>
    <s v="High"/>
    <x v="0"/>
    <x v="3"/>
  </r>
  <r>
    <s v="P10481"/>
    <n v="20250922"/>
    <s v="PL001"/>
    <s v="C004"/>
    <s v="CT002"/>
    <n v="11486"/>
    <n v="15952"/>
    <n v="811"/>
    <n v="66"/>
    <n v="148"/>
    <n v="116"/>
    <n v="0"/>
    <n v="112"/>
    <d v="1899-12-30T21:00:00"/>
    <s v="Pune"/>
    <n v="1"/>
    <m/>
    <n v="1141"/>
    <n v="10.06660823838738"/>
    <s v="High"/>
    <x v="1"/>
    <x v="0"/>
  </r>
  <r>
    <s v="P11885"/>
    <n v="20260113"/>
    <s v="PL001"/>
    <s v="C003"/>
    <s v="CT001"/>
    <n v="31373"/>
    <n v="40323"/>
    <n v="1160"/>
    <n v="29"/>
    <n v="180"/>
    <n v="148"/>
    <n v="27089"/>
    <n v="122"/>
    <d v="1899-12-30T22:45:00"/>
    <s v="Chennai"/>
    <n v="1"/>
    <m/>
    <n v="1517"/>
    <n v="20.68094924192485"/>
    <s v="High"/>
    <x v="0"/>
    <x v="7"/>
  </r>
  <r>
    <s v="P11667"/>
    <n v="20260519"/>
    <s v="PL002"/>
    <s v="C001"/>
    <s v="CT002"/>
    <n v="39335"/>
    <n v="53457"/>
    <n v="1613"/>
    <n v="181"/>
    <n v="280"/>
    <n v="252"/>
    <n v="0"/>
    <n v="485"/>
    <d v="1899-12-30T16:00:00"/>
    <s v="Delhi"/>
    <n v="1"/>
    <m/>
    <n v="2326"/>
    <n v="16.911006018916595"/>
    <s v="High"/>
    <x v="0"/>
    <x v="10"/>
  </r>
  <r>
    <s v="P10825"/>
    <n v="20260519"/>
    <s v="PL003"/>
    <s v="C005"/>
    <s v="CT004"/>
    <n v="16907"/>
    <n v="17975"/>
    <n v="603"/>
    <n v="57"/>
    <n v="120"/>
    <n v="47"/>
    <n v="14593"/>
    <n v="184"/>
    <d v="1899-12-30T22:45:00"/>
    <s v="Kochi"/>
    <n v="1"/>
    <m/>
    <n v="827"/>
    <n v="20.443772672309553"/>
    <s v="High"/>
    <x v="0"/>
    <x v="10"/>
  </r>
  <r>
    <s v="P10128"/>
    <n v="20260211"/>
    <s v="PL002"/>
    <s v="C001"/>
    <s v="CT004"/>
    <n v="36373"/>
    <n v="44431"/>
    <n v="3162"/>
    <n v="215"/>
    <n v="509"/>
    <n v="433"/>
    <n v="24324"/>
    <n v="549"/>
    <d v="1899-12-30T22:15:00"/>
    <s v="Kolkata"/>
    <n v="1"/>
    <m/>
    <n v="4319"/>
    <n v="8.421625376244501"/>
    <s v="Medium"/>
    <x v="0"/>
    <x v="1"/>
  </r>
  <r>
    <s v="P11338"/>
    <n v="20260505"/>
    <s v="PL003"/>
    <s v="C006"/>
    <s v="CT004"/>
    <n v="22637"/>
    <n v="30842"/>
    <n v="852"/>
    <n v="82"/>
    <n v="37"/>
    <n v="87"/>
    <n v="11635"/>
    <n v="382"/>
    <d v="1899-12-30T09:45:00"/>
    <s v="Coimbatore"/>
    <n v="1"/>
    <m/>
    <n v="1058"/>
    <n v="21.39603024574669"/>
    <s v="High"/>
    <x v="0"/>
    <x v="10"/>
  </r>
  <r>
    <s v="P10042"/>
    <n v="20250616"/>
    <s v="PL003"/>
    <s v="C007"/>
    <s v="CT003"/>
    <n v="15013"/>
    <n v="20606"/>
    <n v="1222"/>
    <n v="105"/>
    <n v="43"/>
    <n v="154"/>
    <n v="0"/>
    <n v="155"/>
    <d v="1899-12-30T11:45:00"/>
    <m/>
    <n v="1"/>
    <m/>
    <n v="1524"/>
    <n v="9.8510498687664043"/>
    <s v="Medium"/>
    <x v="1"/>
    <x v="4"/>
  </r>
  <r>
    <s v="P11576"/>
    <n v="20250811"/>
    <s v="PL005"/>
    <s v="C002"/>
    <s v="CT001"/>
    <n v="25104"/>
    <n v="29472"/>
    <n v="945"/>
    <n v="95"/>
    <n v="44"/>
    <n v="145"/>
    <n v="15005"/>
    <n v="62"/>
    <d v="1899-12-30T22:45:00"/>
    <s v="Chennai"/>
    <n v="1"/>
    <m/>
    <n v="1229"/>
    <n v="20.426362896663953"/>
    <s v="High"/>
    <x v="1"/>
    <x v="9"/>
  </r>
  <r>
    <s v="P11524"/>
    <n v="20260605"/>
    <s v="PL001"/>
    <s v="C003"/>
    <s v="CT001"/>
    <n v="53325"/>
    <n v="77205"/>
    <n v="2824"/>
    <n v="190"/>
    <n v="510"/>
    <n v="186"/>
    <n v="35914"/>
    <n v="381"/>
    <d v="1899-12-30T22:45:00"/>
    <s v="Coimbatore"/>
    <n v="1"/>
    <m/>
    <n v="3710"/>
    <n v="14.373315363881401"/>
    <s v="High"/>
    <x v="0"/>
    <x v="4"/>
  </r>
  <r>
    <s v="P11293"/>
    <n v="20260731"/>
    <s v="PL001"/>
    <s v="C004"/>
    <s v="CT006"/>
    <n v="23767"/>
    <n v="30745"/>
    <n v="1935"/>
    <n v="157"/>
    <n v="65"/>
    <n v="102"/>
    <n v="15636"/>
    <n v="70"/>
    <d v="1899-12-30T10:45:00"/>
    <s v="Coimbatore"/>
    <n v="1"/>
    <m/>
    <n v="2259"/>
    <n v="10.521027003098716"/>
    <s v="High"/>
    <x v="0"/>
    <x v="2"/>
  </r>
  <r>
    <s v="P10255"/>
    <n v="20251204"/>
    <s v="PL004"/>
    <s v="C007"/>
    <s v="CT006"/>
    <n v="6906"/>
    <n v="7889"/>
    <n v="411"/>
    <n v="30"/>
    <n v="58"/>
    <n v="64"/>
    <n v="3947"/>
    <n v="30"/>
    <d v="1899-12-30T15:45:00"/>
    <s v="Kolkata"/>
    <n v="1"/>
    <m/>
    <n v="563"/>
    <n v="12.266429840142095"/>
    <s v="High"/>
    <x v="1"/>
    <x v="6"/>
  </r>
  <r>
    <s v="P11321"/>
    <n v="20251106"/>
    <s v="PL002"/>
    <s v="C005"/>
    <s v="CT003"/>
    <n v="46659"/>
    <n v="55046"/>
    <n v="4348"/>
    <n v="414"/>
    <n v="585"/>
    <n v="352"/>
    <n v="0"/>
    <n v="776"/>
    <d v="1899-12-30T08:15:00"/>
    <s v="Hyderabad"/>
    <n v="1"/>
    <m/>
    <n v="5699"/>
    <n v="8.1872258290928226"/>
    <s v="Medium"/>
    <x v="1"/>
    <x v="8"/>
  </r>
  <r>
    <s v="P10711"/>
    <n v="20260926"/>
    <s v="PL001"/>
    <s v="C006"/>
    <s v="CT001"/>
    <n v="14720"/>
    <n v="23989"/>
    <n v="1507"/>
    <n v="48"/>
    <n v="93"/>
    <n v="228"/>
    <n v="13046"/>
    <n v="136"/>
    <d v="1899-12-30T15:30:00"/>
    <s v="Kolkata"/>
    <n v="1"/>
    <m/>
    <n v="1876"/>
    <n v="7.8464818763326223"/>
    <s v="Medium"/>
    <x v="0"/>
    <x v="0"/>
  </r>
  <r>
    <s v="P11796"/>
    <n v="20251231"/>
    <s v="PL003"/>
    <s v="C007"/>
    <s v="CT001"/>
    <n v="66908"/>
    <n v="70941"/>
    <n v="3153"/>
    <n v="333"/>
    <n v="589"/>
    <n v="497"/>
    <n v="37076"/>
    <n v="950"/>
    <d v="1899-12-30T19:15:00"/>
    <s v="Kolkata"/>
    <n v="1"/>
    <m/>
    <n v="4572"/>
    <n v="14.63429571303587"/>
    <s v="High"/>
    <x v="1"/>
    <x v="6"/>
  </r>
  <r>
    <s v="P10907"/>
    <n v="20260802"/>
    <s v="PL003"/>
    <s v="C007"/>
    <s v="CT004"/>
    <n v="50411"/>
    <n v="62353"/>
    <n v="4113"/>
    <n v="325"/>
    <n v="815"/>
    <n v="350"/>
    <n v="43516"/>
    <n v="418"/>
    <d v="1899-12-30T20:00:00"/>
    <s v="Mumbai"/>
    <n v="1"/>
    <m/>
    <n v="5603"/>
    <n v="8.9971443869355703"/>
    <s v="Medium"/>
    <x v="0"/>
    <x v="9"/>
  </r>
  <r>
    <s v="P10935"/>
    <n v="20250115"/>
    <s v="PL003"/>
    <s v="C007"/>
    <s v="CT004"/>
    <n v="23601"/>
    <n v="32562"/>
    <n v="1800"/>
    <n v="189"/>
    <n v="79"/>
    <n v="147"/>
    <n v="14469"/>
    <n v="42"/>
    <d v="1899-12-30T20:00:00"/>
    <s v="Delhi"/>
    <n v="1"/>
    <m/>
    <n v="2215"/>
    <n v="10.655079006772009"/>
    <s v="High"/>
    <x v="1"/>
    <x v="7"/>
  </r>
  <r>
    <s v="P11896"/>
    <n v="20260904"/>
    <s v="PL001"/>
    <s v="C002"/>
    <s v="CT001"/>
    <n v="27063"/>
    <n v="34417"/>
    <n v="1998"/>
    <n v="245"/>
    <n v="88"/>
    <n v="141"/>
    <n v="22581"/>
    <n v="195"/>
    <d v="1899-12-30T13:30:00"/>
    <s v="Mumbai"/>
    <n v="1"/>
    <m/>
    <n v="2472"/>
    <n v="10.947815533980583"/>
    <s v="High"/>
    <x v="0"/>
    <x v="0"/>
  </r>
  <r>
    <s v="P11174"/>
    <n v="20251016"/>
    <s v="PL001"/>
    <s v="C001"/>
    <s v="CT002"/>
    <n v="21905"/>
    <n v="28214"/>
    <n v="1282"/>
    <n v="43"/>
    <n v="154"/>
    <n v="192"/>
    <n v="0"/>
    <n v="111"/>
    <d v="1899-12-30T07:45:00"/>
    <s v="Bengaluru"/>
    <n v="1"/>
    <m/>
    <n v="1671"/>
    <n v="13.108916816277677"/>
    <s v="High"/>
    <x v="1"/>
    <x v="5"/>
  </r>
  <r>
    <s v="P10519"/>
    <n v="20260128"/>
    <s v="PL003"/>
    <s v="C004"/>
    <s v="CT002"/>
    <n v="33818"/>
    <n v="47103"/>
    <n v="909"/>
    <n v="121"/>
    <n v="70"/>
    <n v="122"/>
    <n v="0"/>
    <n v="116"/>
    <d v="1899-12-30T16:45:00"/>
    <s v="Madurai"/>
    <n v="1"/>
    <m/>
    <n v="1222"/>
    <n v="27.674304418985269"/>
    <s v="High"/>
    <x v="0"/>
    <x v="7"/>
  </r>
  <r>
    <s v="P10572"/>
    <n v="20250817"/>
    <s v="PL003"/>
    <s v="C003"/>
    <s v="CT004"/>
    <n v="14778"/>
    <n v="23855"/>
    <n v="675"/>
    <n v="42"/>
    <n v="37"/>
    <n v="28"/>
    <n v="8368"/>
    <n v="159"/>
    <d v="1899-12-30T20:30:00"/>
    <s v="Madurai"/>
    <n v="1"/>
    <m/>
    <n v="782"/>
    <n v="18.897698209718669"/>
    <s v="High"/>
    <x v="1"/>
    <x v="9"/>
  </r>
  <r>
    <s v="P10095"/>
    <n v="20260127"/>
    <s v="PL002"/>
    <s v="C004"/>
    <s v="CT001"/>
    <n v="36658"/>
    <n v="57421"/>
    <n v="2128"/>
    <n v="196"/>
    <n v="346"/>
    <n v="44"/>
    <n v="24270"/>
    <n v="159"/>
    <d v="1899-12-30T18:00:00"/>
    <s v="Chennai"/>
    <n v="1"/>
    <m/>
    <n v="2714"/>
    <n v="13.507000736919675"/>
    <s v="High"/>
    <x v="0"/>
    <x v="7"/>
  </r>
  <r>
    <s v="P10066"/>
    <n v="20260422"/>
    <s v="PL005"/>
    <s v="C002"/>
    <s v="CT002"/>
    <n v="9802"/>
    <n v="11299"/>
    <n v="351"/>
    <n v="41"/>
    <n v="56"/>
    <n v="28"/>
    <n v="0"/>
    <n v="69"/>
    <d v="1899-12-30T12:15:00"/>
    <s v="Bengaluru"/>
    <n v="1"/>
    <m/>
    <n v="476"/>
    <n v="20.592436974789916"/>
    <s v="High"/>
    <x v="0"/>
    <x v="11"/>
  </r>
  <r>
    <s v="P10383"/>
    <n v="20250825"/>
    <s v="PL002"/>
    <s v="C004"/>
    <s v="CT001"/>
    <n v="44943"/>
    <n v="58814"/>
    <n v="1319"/>
    <n v="104"/>
    <n v="157"/>
    <n v="168"/>
    <n v="24181"/>
    <n v="139"/>
    <d v="1899-12-30T18:30:00"/>
    <s v="Mumbai"/>
    <n v="1"/>
    <m/>
    <n v="1748"/>
    <n v="25.711098398169337"/>
    <s v="High"/>
    <x v="1"/>
    <x v="9"/>
  </r>
  <r>
    <s v="P10129"/>
    <n v="20250819"/>
    <s v="PL001"/>
    <s v="C007"/>
    <s v="CT004"/>
    <n v="69183"/>
    <n v="87864"/>
    <n v="7727"/>
    <n v="520"/>
    <n v="1413"/>
    <n v="1051"/>
    <n v="36264"/>
    <n v="988"/>
    <d v="1899-12-30T19:45:00"/>
    <s v="Chennai"/>
    <n v="1"/>
    <m/>
    <n v="10711"/>
    <n v="6.4590607786387828"/>
    <s v="Medium"/>
    <x v="1"/>
    <x v="9"/>
  </r>
  <r>
    <s v="P10534"/>
    <n v="20251028"/>
    <s v="PL002"/>
    <s v="C001"/>
    <s v="CT002"/>
    <n v="24792"/>
    <n v="31748"/>
    <n v="1413"/>
    <n v="135"/>
    <n v="44"/>
    <n v="185"/>
    <n v="0"/>
    <n v="293"/>
    <d v="1899-12-30T09:00:00"/>
    <s v="Kochi"/>
    <n v="1"/>
    <m/>
    <n v="1777"/>
    <n v="13.95160382667417"/>
    <s v="High"/>
    <x v="1"/>
    <x v="5"/>
  </r>
  <r>
    <s v="P10440"/>
    <n v="20260514"/>
    <s v="PL002"/>
    <s v="C001"/>
    <s v="CT001"/>
    <n v="99995"/>
    <n v="142952"/>
    <n v="10191"/>
    <n v="1073"/>
    <n v="1193"/>
    <n v="524"/>
    <n v="45808"/>
    <n v="208"/>
    <d v="1899-12-30T14:30:00"/>
    <s v="Hyderabad"/>
    <n v="1"/>
    <m/>
    <n v="12981"/>
    <n v="7.7031815730683304"/>
    <s v="Medium"/>
    <x v="0"/>
    <x v="10"/>
  </r>
  <r>
    <s v="P10043"/>
    <n v="20251001"/>
    <s v="PL002"/>
    <s v="C005"/>
    <s v="CT005"/>
    <n v="10811"/>
    <n v="14542"/>
    <n v="339"/>
    <n v="45"/>
    <n v="25"/>
    <n v="52"/>
    <n v="0"/>
    <n v="185"/>
    <d v="1899-12-30T17:00:00"/>
    <s v="Coimbatore"/>
    <n v="1"/>
    <m/>
    <n v="461"/>
    <n v="23.451193058568329"/>
    <s v="High"/>
    <x v="1"/>
    <x v="5"/>
  </r>
  <r>
    <s v="P10812"/>
    <n v="20250831"/>
    <s v="PL005"/>
    <s v="C003"/>
    <s v="CT003"/>
    <n v="13170"/>
    <n v="15823"/>
    <n v="865"/>
    <n v="82"/>
    <n v="58"/>
    <n v="24"/>
    <n v="0"/>
    <n v="57"/>
    <d v="1899-12-30T20:15:00"/>
    <s v="Chennai"/>
    <n v="1"/>
    <m/>
    <n v="1029"/>
    <n v="12.798833819241983"/>
    <s v="High"/>
    <x v="1"/>
    <x v="9"/>
  </r>
  <r>
    <s v="P10598"/>
    <n v="20250627"/>
    <s v="PL004"/>
    <s v="C002"/>
    <s v="CT001"/>
    <n v="27368"/>
    <n v="38022"/>
    <n v="1287"/>
    <n v="105"/>
    <n v="143"/>
    <n v="197"/>
    <n v="9607"/>
    <n v="216"/>
    <d v="1899-12-30T11:30:00"/>
    <s v="Madurai"/>
    <n v="1"/>
    <m/>
    <n v="1732"/>
    <n v="15.801385681293302"/>
    <s v="High"/>
    <x v="1"/>
    <x v="4"/>
  </r>
  <r>
    <s v="P11462"/>
    <n v="20250129"/>
    <s v="PL001"/>
    <s v="C006"/>
    <s v="CT006"/>
    <n v="26446"/>
    <n v="34988"/>
    <n v="2861"/>
    <n v="354"/>
    <n v="127"/>
    <n v="322"/>
    <n v="15116"/>
    <n v="382"/>
    <d v="1899-12-30T12:45:00"/>
    <s v="Hyderabad"/>
    <n v="1"/>
    <m/>
    <n v="3664"/>
    <n v="7.2177947598253276"/>
    <s v="Medium"/>
    <x v="1"/>
    <x v="7"/>
  </r>
  <r>
    <s v="P10799"/>
    <n v="20260112"/>
    <s v="PL001"/>
    <s v="C007"/>
    <s v="CT002"/>
    <n v="49151"/>
    <n v="77709"/>
    <n v="4526"/>
    <n v="497"/>
    <n v="653"/>
    <n v="676"/>
    <n v="0"/>
    <n v="840"/>
    <d v="1899-12-30T15:45:00"/>
    <s v="Bengaluru"/>
    <n v="1"/>
    <m/>
    <n v="6352"/>
    <n v="7.7378778337531484"/>
    <s v="Medium"/>
    <x v="0"/>
    <x v="7"/>
  </r>
  <r>
    <s v="P10104"/>
    <n v="20250720"/>
    <s v="PL001"/>
    <s v="C004"/>
    <s v="CT004"/>
    <n v="74057"/>
    <n v="103275"/>
    <n v="8484"/>
    <n v="243"/>
    <n v="1199"/>
    <n v="713"/>
    <n v="38259"/>
    <n v="809"/>
    <d v="1899-12-30T15:30:00"/>
    <s v="Coimbatore"/>
    <n v="1"/>
    <m/>
    <n v="10639"/>
    <n v="6.9608985806936738"/>
    <s v="Medium"/>
    <x v="1"/>
    <x v="2"/>
  </r>
  <r>
    <s v="P10506"/>
    <n v="20250612"/>
    <s v="PL001"/>
    <s v="C001"/>
    <s v="CT001"/>
    <n v="65081"/>
    <n v="72838"/>
    <n v="4949"/>
    <n v="494"/>
    <n v="970"/>
    <n v="436"/>
    <n v="30315"/>
    <n v="337"/>
    <d v="1899-12-30T15:45:00"/>
    <s v="Pune"/>
    <n v="1"/>
    <m/>
    <n v="6849"/>
    <n v="9.5022631041027878"/>
    <s v="Medium"/>
    <x v="1"/>
    <x v="4"/>
  </r>
  <r>
    <s v="P11520"/>
    <n v="20250725"/>
    <s v="PL002"/>
    <m/>
    <s v="CT005"/>
    <n v="15535"/>
    <n v="24195"/>
    <n v="1047"/>
    <n v="53"/>
    <n v="94"/>
    <n v="76"/>
    <n v="0"/>
    <n v="72"/>
    <d v="1899-12-30T16:00:00"/>
    <s v="Chennai"/>
    <n v="1"/>
    <m/>
    <n v="1270"/>
    <n v="12.23228346456693"/>
    <s v="High"/>
    <x v="1"/>
    <x v="2"/>
  </r>
  <r>
    <s v="P11016"/>
    <n v="20250325"/>
    <s v="PL001"/>
    <s v="C005"/>
    <s v="CT004"/>
    <n v="28418"/>
    <n v="45917"/>
    <n v="3036"/>
    <n v="268"/>
    <n v="552"/>
    <n v="394"/>
    <n v="12829"/>
    <n v="30"/>
    <d v="1899-12-30T07:45:00"/>
    <s v="Kolkata"/>
    <n v="1"/>
    <m/>
    <n v="4250"/>
    <n v="6.6865882352941179"/>
    <s v="Medium"/>
    <x v="1"/>
    <x v="3"/>
  </r>
  <r>
    <s v="P11916"/>
    <n v="20260524"/>
    <s v="PL004"/>
    <s v="C001"/>
    <s v="CT001"/>
    <n v="19241"/>
    <n v="24499"/>
    <n v="1626"/>
    <n v="180"/>
    <n v="223"/>
    <n v="65"/>
    <n v="17023"/>
    <n v="149"/>
    <d v="1899-12-30T07:30:00"/>
    <s v="Madurai"/>
    <n v="1"/>
    <m/>
    <n v="2094"/>
    <n v="9.188634192932188"/>
    <s v="Medium"/>
    <x v="0"/>
    <x v="10"/>
  </r>
  <r>
    <s v="P11040"/>
    <n v="20260813"/>
    <s v="PL002"/>
    <s v="C005"/>
    <s v="CT006"/>
    <n v="15849"/>
    <n v="17830"/>
    <n v="445"/>
    <n v="42"/>
    <n v="46"/>
    <n v="26"/>
    <n v="7243"/>
    <n v="252"/>
    <d v="1899-12-30T10:45:00"/>
    <s v="Hyderabad"/>
    <n v="1"/>
    <m/>
    <n v="559"/>
    <n v="28.352415026833633"/>
    <s v="High"/>
    <x v="0"/>
    <x v="9"/>
  </r>
  <r>
    <s v="P10013"/>
    <n v="20250329"/>
    <s v="PL005"/>
    <s v="C004"/>
    <s v="CT001"/>
    <n v="18085"/>
    <n v="23482"/>
    <n v="1308"/>
    <n v="94"/>
    <n v="70"/>
    <n v="77"/>
    <n v="11940"/>
    <n v="224"/>
    <d v="1899-12-30T09:00:00"/>
    <s v="Coimbatore"/>
    <n v="1"/>
    <m/>
    <n v="1549"/>
    <n v="11.675274370561652"/>
    <s v="High"/>
    <x v="1"/>
    <x v="3"/>
  </r>
  <r>
    <s v="P11313"/>
    <n v="20250111"/>
    <s v="PL002"/>
    <s v="C007"/>
    <s v="CT002"/>
    <n v="41648"/>
    <n v="47256"/>
    <n v="4851"/>
    <n v="165"/>
    <n v="557"/>
    <n v="494"/>
    <n v="0"/>
    <n v="617"/>
    <d v="1899-12-30T18:00:00"/>
    <s v="Delhi"/>
    <n v="1"/>
    <m/>
    <n v="6067"/>
    <n v="6.8646777649579693"/>
    <s v="Medium"/>
    <x v="1"/>
    <x v="7"/>
  </r>
  <r>
    <s v="P11613"/>
    <n v="20260703"/>
    <s v="PL002"/>
    <s v="C001"/>
    <s v="CT003"/>
    <n v="36860"/>
    <n v="51020"/>
    <n v="3541"/>
    <n v="399"/>
    <n v="366"/>
    <n v="285"/>
    <n v="0"/>
    <n v="187"/>
    <d v="1899-12-30T19:30:00"/>
    <s v="Bengaluru"/>
    <n v="1"/>
    <m/>
    <n v="4591"/>
    <n v="8.0287519059028529"/>
    <s v="Medium"/>
    <x v="0"/>
    <x v="2"/>
  </r>
  <r>
    <s v="P10993"/>
    <n v="20260729"/>
    <s v="PL004"/>
    <s v="C003"/>
    <s v="CT006"/>
    <n v="9842"/>
    <n v="13846"/>
    <n v="852"/>
    <n v="75"/>
    <n v="57"/>
    <n v="47"/>
    <n v="8847"/>
    <n v="64"/>
    <d v="1899-12-30T19:00:00"/>
    <s v="Mumbai"/>
    <n v="1"/>
    <m/>
    <n v="1031"/>
    <n v="9.5460717749757524"/>
    <s v="Medium"/>
    <x v="0"/>
    <x v="2"/>
  </r>
  <r>
    <s v="P10076"/>
    <n v="20251023"/>
    <s v="PL001"/>
    <s v="C002"/>
    <s v="CT006"/>
    <n v="35055"/>
    <n v="53523"/>
    <n v="1121"/>
    <n v="101"/>
    <n v="100"/>
    <n v="159"/>
    <n v="15208"/>
    <n v="128"/>
    <d v="1899-12-30T10:30:00"/>
    <s v="Chennai"/>
    <n v="1"/>
    <m/>
    <n v="1481"/>
    <n v="23.669817690749493"/>
    <s v="High"/>
    <x v="1"/>
    <x v="5"/>
  </r>
  <r>
    <s v="P10357"/>
    <n v="20250105"/>
    <s v="PL002"/>
    <s v="C004"/>
    <s v="CT002"/>
    <n v="25792"/>
    <n v="35503"/>
    <n v="952"/>
    <n v="92"/>
    <n v="77"/>
    <n v="96"/>
    <n v="0"/>
    <n v="426"/>
    <d v="1899-12-30T19:15:00"/>
    <s v="Kolkata"/>
    <n v="1"/>
    <m/>
    <n v="1217"/>
    <n v="21.193097781429746"/>
    <s v="High"/>
    <x v="1"/>
    <x v="7"/>
  </r>
  <r>
    <s v="P11697"/>
    <n v="20250501"/>
    <s v="PL001"/>
    <s v="C004"/>
    <s v="CT001"/>
    <n v="63778"/>
    <n v="77760"/>
    <n v="1975"/>
    <n v="244"/>
    <n v="386"/>
    <n v="244"/>
    <n v="56333"/>
    <n v="478"/>
    <d v="1899-12-30T13:15:00"/>
    <s v="Kolkata"/>
    <n v="1"/>
    <m/>
    <n v="2849"/>
    <n v="22.386100386100384"/>
    <s v="High"/>
    <x v="1"/>
    <x v="10"/>
  </r>
  <r>
    <s v="P10202"/>
    <n v="20260901"/>
    <s v="PL004"/>
    <s v="C002"/>
    <s v="CT001"/>
    <n v="22760"/>
    <n v="37481"/>
    <n v="2640"/>
    <n v="157"/>
    <n v="112"/>
    <n v="276"/>
    <m/>
    <n v="123"/>
    <d v="1899-12-30T17:45:00"/>
    <s v="Mumbai"/>
    <n v="1"/>
    <m/>
    <n v="3185"/>
    <n v="7.1459968602825743"/>
    <s v="Medium"/>
    <x v="0"/>
    <x v="0"/>
  </r>
  <r>
    <s v="P11265"/>
    <n v="20250610"/>
    <s v="PL001"/>
    <s v="C002"/>
    <s v="CT001"/>
    <n v="54329"/>
    <n v="85225"/>
    <n v="1796"/>
    <n v="130"/>
    <n v="323"/>
    <n v="181"/>
    <n v="30966"/>
    <n v="425"/>
    <d v="1899-12-30T16:00:00"/>
    <s v="Coimbatore"/>
    <n v="1"/>
    <m/>
    <n v="2430"/>
    <n v="22.357613168724281"/>
    <s v="High"/>
    <x v="1"/>
    <x v="4"/>
  </r>
  <r>
    <s v="P11164"/>
    <n v="20250423"/>
    <s v="PL001"/>
    <s v="C007"/>
    <s v="CT003"/>
    <n v="16531"/>
    <n v="26275"/>
    <n v="1330"/>
    <n v="38"/>
    <n v="109"/>
    <n v="157"/>
    <n v="0"/>
    <n v="273"/>
    <d v="1899-12-30T22:30:00"/>
    <s v="Kochi"/>
    <n v="1"/>
    <m/>
    <n v="1634"/>
    <n v="10.116891064871481"/>
    <s v="High"/>
    <x v="1"/>
    <x v="11"/>
  </r>
  <r>
    <s v="P11797"/>
    <n v="20251127"/>
    <s v="PL004"/>
    <s v="C005"/>
    <s v="CT002"/>
    <n v="6960"/>
    <n v="8530"/>
    <n v="448"/>
    <n v="31"/>
    <n v="64"/>
    <n v="13"/>
    <n v="0"/>
    <n v="46"/>
    <d v="1899-12-30T14:45:00"/>
    <s v="Kochi"/>
    <n v="1"/>
    <m/>
    <n v="556"/>
    <n v="12.517985611510792"/>
    <s v="High"/>
    <x v="1"/>
    <x v="8"/>
  </r>
  <r>
    <s v="P10659"/>
    <n v="20250925"/>
    <s v="PL001"/>
    <s v="C001"/>
    <s v="CT005"/>
    <n v="28609"/>
    <n v="33616"/>
    <n v="3354"/>
    <n v="229"/>
    <n v="504"/>
    <n v="149"/>
    <n v="0"/>
    <n v="324"/>
    <d v="1899-12-30T20:15:00"/>
    <s v="Kolkata"/>
    <n v="1"/>
    <m/>
    <n v="4236"/>
    <n v="6.7537771482530689"/>
    <s v="Medium"/>
    <x v="1"/>
    <x v="0"/>
  </r>
  <r>
    <s v="P10833"/>
    <n v="20251027"/>
    <s v="PL005"/>
    <s v="C006"/>
    <s v="CT003"/>
    <n v="9363"/>
    <n v="13617"/>
    <n v="1034"/>
    <n v="50"/>
    <n v="86"/>
    <n v="51"/>
    <n v="0"/>
    <n v="58"/>
    <d v="1899-12-30T16:30:00"/>
    <s v="Kolkata"/>
    <n v="1"/>
    <m/>
    <n v="1221"/>
    <n v="7.6683046683046685"/>
    <s v="Medium"/>
    <x v="1"/>
    <x v="5"/>
  </r>
  <r>
    <s v="P10238"/>
    <n v="20260208"/>
    <s v="PL001"/>
    <s v="C007"/>
    <s v="CT004"/>
    <n v="78955"/>
    <n v="126097"/>
    <n v="7143"/>
    <n v="749"/>
    <n v="952"/>
    <n v="482"/>
    <n v="30726"/>
    <n v="417"/>
    <d v="1899-12-30T17:45:00"/>
    <s v="Bengaluru"/>
    <n v="1"/>
    <m/>
    <n v="9326"/>
    <n v="8.4661162341840015"/>
    <s v="Medium"/>
    <x v="0"/>
    <x v="1"/>
  </r>
  <r>
    <s v="P11034"/>
    <n v="20260422"/>
    <s v="PL002"/>
    <s v="C005"/>
    <s v="CT002"/>
    <n v="86055"/>
    <n v="140938"/>
    <n v="3926"/>
    <n v="274"/>
    <n v="351"/>
    <n v="185"/>
    <n v="0"/>
    <n v="1333"/>
    <d v="1899-12-30T10:00:00"/>
    <s v="Madurai"/>
    <n v="1"/>
    <m/>
    <n v="4736"/>
    <n v="18.17039695945946"/>
    <s v="High"/>
    <x v="0"/>
    <x v="11"/>
  </r>
  <r>
    <s v="P11663"/>
    <n v="20260517"/>
    <s v="PL004"/>
    <s v="C003"/>
    <s v="CT006"/>
    <n v="10700"/>
    <n v="16157"/>
    <n v="1029"/>
    <n v="115"/>
    <n v="34"/>
    <n v="105"/>
    <n v="7080"/>
    <n v="59"/>
    <d v="1899-12-30T13:45:00"/>
    <s v="Bengaluru"/>
    <n v="1"/>
    <m/>
    <n v="1283"/>
    <n v="8.339828526890102"/>
    <s v="Medium"/>
    <x v="0"/>
    <x v="10"/>
  </r>
  <r>
    <s v="P11723"/>
    <n v="20260505"/>
    <s v="PL001"/>
    <s v="C003"/>
    <s v="CT003"/>
    <n v="33212"/>
    <n v="49192"/>
    <n v="3619"/>
    <n v="107"/>
    <n v="186"/>
    <n v="373"/>
    <n v="0"/>
    <n v="222"/>
    <d v="1899-12-30T15:30:00"/>
    <s v="Coimbatore"/>
    <n v="1"/>
    <m/>
    <n v="4285"/>
    <n v="7.7507584597432908"/>
    <s v="Medium"/>
    <x v="0"/>
    <x v="10"/>
  </r>
  <r>
    <s v="P11440"/>
    <n v="20250810"/>
    <s v="PL001"/>
    <s v="C002"/>
    <s v="CT001"/>
    <n v="59584"/>
    <n v="86744"/>
    <n v="2451"/>
    <n v="155"/>
    <n v="294"/>
    <n v="215"/>
    <n v="31894"/>
    <n v="256"/>
    <d v="1899-12-30T08:15:00"/>
    <s v="Bengaluru"/>
    <n v="1"/>
    <m/>
    <n v="3115"/>
    <n v="19.128089887640449"/>
    <s v="High"/>
    <x v="1"/>
    <x v="9"/>
  </r>
  <r>
    <s v="P10551"/>
    <n v="20260421"/>
    <s v="PL005"/>
    <s v="C003"/>
    <s v="CT006"/>
    <n v="5186"/>
    <n v="7906"/>
    <n v="437"/>
    <n v="42"/>
    <n v="80"/>
    <n v="25"/>
    <n v="2396"/>
    <n v="71"/>
    <d v="1899-12-30T18:45:00"/>
    <s v="Hyderabad"/>
    <n v="1"/>
    <m/>
    <n v="584"/>
    <n v="8.8801369863013697"/>
    <s v="Medium"/>
    <x v="0"/>
    <x v="11"/>
  </r>
  <r>
    <s v="P11336"/>
    <n v="20250120"/>
    <s v="PL005"/>
    <s v="C004"/>
    <s v="CT001"/>
    <n v="13756"/>
    <n v="16296"/>
    <n v="924"/>
    <n v="111"/>
    <n v="130"/>
    <n v="34"/>
    <n v="11262"/>
    <n v="185"/>
    <d v="1899-12-30T21:00:00"/>
    <s v="Bengaluru"/>
    <n v="1"/>
    <m/>
    <n v="1199"/>
    <n v="11.472894078398665"/>
    <s v="High"/>
    <x v="1"/>
    <x v="7"/>
  </r>
  <r>
    <s v="P10556"/>
    <n v="20251214"/>
    <s v="PL005"/>
    <s v="C005"/>
    <s v="CT003"/>
    <n v="10552"/>
    <n v="16607"/>
    <n v="837"/>
    <n v="51"/>
    <n v="149"/>
    <n v="77"/>
    <n v="0"/>
    <n v="104"/>
    <d v="1899-12-30T19:45:00"/>
    <s v="Madurai"/>
    <n v="1"/>
    <m/>
    <n v="1114"/>
    <n v="9.4721723518850993"/>
    <s v="Medium"/>
    <x v="1"/>
    <x v="6"/>
  </r>
  <r>
    <s v="P10892"/>
    <n v="20251022"/>
    <s v="PL004"/>
    <s v="C004"/>
    <s v="CT003"/>
    <n v="12305"/>
    <n v="15793"/>
    <n v="321"/>
    <n v="25"/>
    <n v="24"/>
    <n v="7"/>
    <n v="0"/>
    <n v="214"/>
    <d v="1899-12-30T13:15:00"/>
    <s v="Madurai"/>
    <n v="1"/>
    <m/>
    <n v="377"/>
    <n v="32.639257294429711"/>
    <s v="High"/>
    <x v="1"/>
    <x v="5"/>
  </r>
  <r>
    <s v="P10624"/>
    <n v="20250304"/>
    <s v="PL003"/>
    <s v="C002"/>
    <s v="CT003"/>
    <n v="24824"/>
    <n v="29101"/>
    <n v="717"/>
    <n v="63"/>
    <n v="142"/>
    <n v="74"/>
    <n v="0"/>
    <n v="339"/>
    <d v="1899-12-30T18:15:00"/>
    <s v="Delhi"/>
    <n v="1"/>
    <m/>
    <n v="996"/>
    <n v="24.923694779116467"/>
    <s v="High"/>
    <x v="1"/>
    <x v="3"/>
  </r>
  <r>
    <s v="P10902"/>
    <n v="20260518"/>
    <s v="PL001"/>
    <s v="C002"/>
    <s v="CT001"/>
    <n v="20379"/>
    <n v="27441"/>
    <n v="1402"/>
    <n v="66"/>
    <n v="185"/>
    <n v="116"/>
    <n v="7805"/>
    <n v="364"/>
    <d v="1899-12-30T13:30:00"/>
    <s v="Bengaluru"/>
    <n v="1"/>
    <m/>
    <n v="1769"/>
    <n v="11.520067834934991"/>
    <s v="High"/>
    <x v="0"/>
    <x v="10"/>
  </r>
  <r>
    <s v="P11014"/>
    <n v="20260414"/>
    <s v="PL003"/>
    <s v="C003"/>
    <s v="CT005"/>
    <n v="12231"/>
    <n v="15689"/>
    <n v="728"/>
    <n v="61"/>
    <n v="21"/>
    <n v="81"/>
    <n v="0"/>
    <n v="17"/>
    <d v="1899-12-30T12:15:00"/>
    <s v="Chennai"/>
    <n v="1"/>
    <m/>
    <n v="891"/>
    <n v="13.727272727272727"/>
    <s v="High"/>
    <x v="0"/>
    <x v="11"/>
  </r>
  <r>
    <s v="P11964"/>
    <n v="20260318"/>
    <s v="PL004"/>
    <s v="C005"/>
    <s v="CT002"/>
    <n v="7749"/>
    <n v="10634"/>
    <n v="344"/>
    <n v="40"/>
    <n v="29"/>
    <n v="47"/>
    <n v="0"/>
    <n v="133"/>
    <d v="1899-12-30T15:45:00"/>
    <s v="Pune"/>
    <n v="1"/>
    <m/>
    <n v="460"/>
    <n v="16.845652173913045"/>
    <s v="High"/>
    <x v="0"/>
    <x v="3"/>
  </r>
  <r>
    <s v="P10466"/>
    <n v="20260609"/>
    <s v="PL001"/>
    <s v="C005"/>
    <s v="CT002"/>
    <n v="15751"/>
    <n v="17839"/>
    <n v="1765"/>
    <n v="163"/>
    <n v="122"/>
    <n v="57"/>
    <n v="0"/>
    <n v="92"/>
    <d v="1899-12-30T13:00:00"/>
    <s v="Delhi"/>
    <n v="1"/>
    <m/>
    <n v="2107"/>
    <n v="7.4755576649264359"/>
    <s v="Medium"/>
    <x v="0"/>
    <x v="4"/>
  </r>
  <r>
    <s v="P11764"/>
    <n v="20251030"/>
    <s v="PL002"/>
    <s v="C007"/>
    <s v="CT001"/>
    <n v="93606"/>
    <n v="141284"/>
    <n v="8855"/>
    <n v="1104"/>
    <n v="350"/>
    <n v="925"/>
    <n v="60111"/>
    <n v="298"/>
    <d v="1899-12-30T17:00:00"/>
    <s v="Kolkata"/>
    <n v="1"/>
    <m/>
    <n v="11234"/>
    <n v="8.3323838347872528"/>
    <s v="Medium"/>
    <x v="1"/>
    <x v="5"/>
  </r>
  <r>
    <s v="P10351"/>
    <n v="20260320"/>
    <s v="PL001"/>
    <s v="C005"/>
    <s v="CT004"/>
    <n v="26922"/>
    <n v="32532"/>
    <n v="1775"/>
    <n v="193"/>
    <n v="68"/>
    <n v="79"/>
    <n v="20784"/>
    <n v="64"/>
    <d v="1899-12-30T11:00:00"/>
    <s v="Delhi"/>
    <n v="1"/>
    <m/>
    <n v="2115"/>
    <n v="12.729078014184397"/>
    <s v="High"/>
    <x v="0"/>
    <x v="3"/>
  </r>
  <r>
    <s v="P10285"/>
    <n v="20260701"/>
    <s v="PL003"/>
    <s v="C005"/>
    <s v="CT002"/>
    <n v="13492"/>
    <n v="22064"/>
    <n v="435"/>
    <n v="32"/>
    <n v="79"/>
    <n v="17"/>
    <n v="0"/>
    <n v="76"/>
    <d v="1899-12-30T11:15:00"/>
    <s v="Bengaluru"/>
    <n v="1"/>
    <m/>
    <n v="563"/>
    <n v="23.964476021314386"/>
    <s v="High"/>
    <x v="0"/>
    <x v="2"/>
  </r>
  <r>
    <s v="P10267"/>
    <n v="20260405"/>
    <s v="PL005"/>
    <s v="C006"/>
    <s v="CT004"/>
    <n v="10539"/>
    <n v="11701"/>
    <n v="615"/>
    <n v="74"/>
    <n v="113"/>
    <n v="69"/>
    <n v="7752"/>
    <n v="12"/>
    <d v="1899-12-30T07:45:00"/>
    <s v="Mumbai"/>
    <n v="1"/>
    <m/>
    <n v="871"/>
    <n v="12.099885189437428"/>
    <s v="High"/>
    <x v="0"/>
    <x v="11"/>
  </r>
  <r>
    <s v="P10858"/>
    <n v="20251125"/>
    <s v="PL002"/>
    <s v="C002"/>
    <s v="CT001"/>
    <n v="77350"/>
    <n v="105282"/>
    <n v="8353"/>
    <n v="1036"/>
    <n v="1507"/>
    <n v="1320"/>
    <n v="32239"/>
    <n v="1316"/>
    <d v="1899-12-30T08:30:00"/>
    <s v="Mumbai"/>
    <n v="1"/>
    <m/>
    <n v="12216"/>
    <n v="6.3318598559266537"/>
    <s v="Medium"/>
    <x v="1"/>
    <x v="8"/>
  </r>
  <r>
    <s v="P10871"/>
    <n v="20260701"/>
    <s v="PL004"/>
    <s v="C005"/>
    <s v="CT006"/>
    <n v="10693"/>
    <n v="11586"/>
    <n v="549"/>
    <n v="27"/>
    <n v="45"/>
    <n v="31"/>
    <n v="4656"/>
    <n v="165"/>
    <d v="1899-12-30T15:00:00"/>
    <s v="Kochi"/>
    <n v="1"/>
    <m/>
    <n v="652"/>
    <n v="16.400306748466257"/>
    <s v="High"/>
    <x v="0"/>
    <x v="2"/>
  </r>
  <r>
    <s v="P10939"/>
    <n v="20250216"/>
    <s v="PL001"/>
    <s v="C004"/>
    <s v="CT004"/>
    <n v="55308"/>
    <n v="70157"/>
    <n v="2151"/>
    <n v="287"/>
    <n v="105"/>
    <n v="49"/>
    <n v="47245"/>
    <n v="161"/>
    <d v="1899-12-30T16:00:00"/>
    <s v="Chennai"/>
    <n v="1"/>
    <m/>
    <n v="2592"/>
    <n v="21.337962962962962"/>
    <s v="High"/>
    <x v="1"/>
    <x v="1"/>
  </r>
  <r>
    <s v="P11701"/>
    <n v="20251101"/>
    <s v="PL001"/>
    <s v="C003"/>
    <s v="CT004"/>
    <n v="77089"/>
    <n v="82139"/>
    <n v="6118"/>
    <n v="264"/>
    <n v="1098"/>
    <n v="973"/>
    <n v="33013"/>
    <n v="927"/>
    <d v="1899-12-30T08:30:00"/>
    <s v="Madurai"/>
    <n v="1"/>
    <m/>
    <n v="8453"/>
    <n v="9.1197208091801727"/>
    <s v="Medium"/>
    <x v="1"/>
    <x v="8"/>
  </r>
  <r>
    <s v="P11002"/>
    <n v="20251213"/>
    <s v="PL002"/>
    <s v="C003"/>
    <s v="CT004"/>
    <n v="49633"/>
    <n v="67835"/>
    <n v="2708"/>
    <n v="276"/>
    <n v="94"/>
    <n v="362"/>
    <n v="19252"/>
    <n v="636"/>
    <d v="1899-12-30T19:45:00"/>
    <s v="Chennai"/>
    <n v="1"/>
    <m/>
    <n v="3440"/>
    <n v="14.428197674418605"/>
    <s v="High"/>
    <x v="1"/>
    <x v="6"/>
  </r>
  <r>
    <s v="P10274"/>
    <n v="20260717"/>
    <s v="PL002"/>
    <s v="C005"/>
    <s v="CT002"/>
    <n v="31528"/>
    <n v="36722"/>
    <n v="2502"/>
    <n v="81"/>
    <n v="145"/>
    <n v="329"/>
    <n v="0"/>
    <n v="149"/>
    <d v="1899-12-30T17:15:00"/>
    <s v="Kochi"/>
    <n v="1"/>
    <m/>
    <n v="3057"/>
    <n v="10.313379129865881"/>
    <s v="High"/>
    <x v="0"/>
    <x v="2"/>
  </r>
  <r>
    <s v="P11954"/>
    <n v="20250916"/>
    <s v="PL001"/>
    <s v="C004"/>
    <s v="CT004"/>
    <n v="50277"/>
    <n v="73231"/>
    <n v="4832"/>
    <n v="531"/>
    <n v="856"/>
    <n v="147"/>
    <n v="32635"/>
    <n v="71"/>
    <d v="1899-12-30T07:30:00"/>
    <s v="Hyderabad"/>
    <n v="1"/>
    <m/>
    <n v="6366"/>
    <n v="7.8977379830348724"/>
    <s v="Medium"/>
    <x v="1"/>
    <x v="0"/>
  </r>
  <r>
    <s v="P10055"/>
    <n v="20260304"/>
    <s v="PL002"/>
    <s v="C005"/>
    <s v="CT006"/>
    <n v="49394"/>
    <n v="80687"/>
    <n v="2727"/>
    <n v="344"/>
    <n v="268"/>
    <n v="417"/>
    <n v="22346"/>
    <n v="727"/>
    <d v="1899-12-30T17:30:00"/>
    <s v="Delhi"/>
    <n v="1"/>
    <m/>
    <n v="3756"/>
    <n v="13.150692225772097"/>
    <s v="High"/>
    <x v="0"/>
    <x v="3"/>
  </r>
  <r>
    <s v="P11746"/>
    <n v="20250108"/>
    <s v="PL005"/>
    <s v="C006"/>
    <s v="CT002"/>
    <n v="3427"/>
    <n v="4947"/>
    <n v="311"/>
    <n v="10"/>
    <n v="59"/>
    <n v="29"/>
    <n v="0"/>
    <n v="60"/>
    <d v="1899-12-30T09:15:00"/>
    <s v="Delhi"/>
    <n v="1"/>
    <m/>
    <n v="409"/>
    <n v="8.3789731051344738"/>
    <s v="Medium"/>
    <x v="1"/>
    <x v="7"/>
  </r>
  <r>
    <s v="P10173"/>
    <n v="20260121"/>
    <s v="PL003"/>
    <s v="C001"/>
    <s v="CT005"/>
    <n v="12662"/>
    <n v="20293"/>
    <n v="716"/>
    <m/>
    <n v="55"/>
    <n v="56"/>
    <n v="0"/>
    <n v="172"/>
    <d v="1899-12-30T08:45:00"/>
    <s v="Kolkata"/>
    <n v="1"/>
    <m/>
    <n v="827"/>
    <n v="15.310761789600967"/>
    <s v="High"/>
    <x v="0"/>
    <x v="7"/>
  </r>
  <r>
    <s v="P10718"/>
    <n v="20260209"/>
    <s v="PL003"/>
    <s v="C003"/>
    <s v="CT003"/>
    <n v="10204"/>
    <n v="15007"/>
    <n v="1020"/>
    <n v="118"/>
    <n v="39"/>
    <n v="109"/>
    <n v="0"/>
    <n v="128"/>
    <d v="1899-12-30T13:45:00"/>
    <s v="Kolkata"/>
    <n v="1"/>
    <m/>
    <n v="1286"/>
    <n v="7.9346811819595642"/>
    <s v="Medium"/>
    <x v="0"/>
    <x v="1"/>
  </r>
  <r>
    <s v="P11893"/>
    <n v="20260803"/>
    <s v="PL001"/>
    <s v="C007"/>
    <s v="CT006"/>
    <n v="12004"/>
    <n v="13849"/>
    <n v="631"/>
    <n v="69"/>
    <n v="35"/>
    <n v="25"/>
    <n v="10516"/>
    <n v="165"/>
    <d v="1899-12-30T15:00:00"/>
    <s v="Bengaluru"/>
    <n v="1"/>
    <m/>
    <n v="760"/>
    <n v="15.794736842105262"/>
    <s v="High"/>
    <x v="0"/>
    <x v="9"/>
  </r>
  <r>
    <s v="P11024"/>
    <n v="20260715"/>
    <s v="PL001"/>
    <s v="C007"/>
    <s v="CT001"/>
    <n v="10772"/>
    <n v="16589"/>
    <n v="1152"/>
    <n v="127"/>
    <n v="201"/>
    <n v="164"/>
    <n v="5633"/>
    <n v="46"/>
    <d v="1899-12-30T10:15:00"/>
    <s v="Chennai"/>
    <n v="1"/>
    <m/>
    <n v="1644"/>
    <n v="6.552311435523114"/>
    <s v="Medium"/>
    <x v="0"/>
    <x v="2"/>
  </r>
  <r>
    <s v="P10541"/>
    <n v="20250616"/>
    <s v="PL001"/>
    <s v="C001"/>
    <s v="CT005"/>
    <n v="22876"/>
    <n v="26733"/>
    <n v="2688"/>
    <n v="242"/>
    <n v="211"/>
    <n v="68"/>
    <n v="0"/>
    <n v="86"/>
    <d v="1899-12-30T18:15:00"/>
    <s v="Chennai"/>
    <n v="1"/>
    <m/>
    <n v="3209"/>
    <n v="7.1287005297600494"/>
    <s v="Medium"/>
    <x v="1"/>
    <x v="4"/>
  </r>
  <r>
    <s v="P10549"/>
    <n v="20260930"/>
    <s v="PL003"/>
    <s v="C004"/>
    <s v="CT003"/>
    <n v="20102"/>
    <n v="29263"/>
    <n v="1518"/>
    <n v="191"/>
    <n v="120"/>
    <n v="62"/>
    <n v="0"/>
    <n v="80"/>
    <d v="1899-12-30T09:00:00"/>
    <s v="Coimbatore"/>
    <n v="1"/>
    <m/>
    <n v="1891"/>
    <n v="10.630354309888947"/>
    <s v="High"/>
    <x v="0"/>
    <x v="0"/>
  </r>
  <r>
    <s v="P10026"/>
    <n v="20251110"/>
    <s v="PL002"/>
    <s v="C002"/>
    <s v="CT002"/>
    <n v="42633"/>
    <n v="60761"/>
    <n v="2154"/>
    <n v="245"/>
    <n v="329"/>
    <n v="146"/>
    <n v="0"/>
    <n v="290"/>
    <d v="1899-12-30T07:15:00"/>
    <s v="Kochi"/>
    <n v="1"/>
    <m/>
    <n v="2874"/>
    <n v="14.834029227557412"/>
    <s v="High"/>
    <x v="1"/>
    <x v="8"/>
  </r>
  <r>
    <s v="P11442"/>
    <n v="20251005"/>
    <s v="PL005"/>
    <s v="C004"/>
    <s v="CT001"/>
    <n v="15250"/>
    <n v="20708"/>
    <n v="841"/>
    <n v="40"/>
    <n v="25"/>
    <n v="89"/>
    <n v="7006"/>
    <n v="26"/>
    <d v="1899-12-30T10:00:00"/>
    <s v="Kolkata"/>
    <n v="1"/>
    <m/>
    <n v="995"/>
    <n v="15.326633165829145"/>
    <s v="High"/>
    <x v="1"/>
    <x v="5"/>
  </r>
  <r>
    <s v="P10047"/>
    <n v="20250114"/>
    <s v="PL001"/>
    <s v="C004"/>
    <s v="CT006"/>
    <n v="42594"/>
    <n v="53577"/>
    <n v="4677"/>
    <n v="564"/>
    <n v="613"/>
    <n v="243"/>
    <n v="33799"/>
    <n v="687"/>
    <d v="1899-12-30T12:45:00"/>
    <s v="Mumbai"/>
    <n v="1"/>
    <m/>
    <n v="6097"/>
    <n v="6.9860587174020008"/>
    <s v="Medium"/>
    <x v="1"/>
    <x v="7"/>
  </r>
  <r>
    <s v="P10985"/>
    <n v="20260106"/>
    <s v="PL004"/>
    <s v="C003"/>
    <s v="CT001"/>
    <n v="27290"/>
    <n v="44014"/>
    <n v="1421"/>
    <n v="67"/>
    <n v="80"/>
    <n v="180"/>
    <n v="14200"/>
    <n v="443"/>
    <d v="1899-12-30T16:00:00"/>
    <s v="Kolkata"/>
    <n v="1"/>
    <m/>
    <n v="1748"/>
    <n v="15.61212814645309"/>
    <s v="High"/>
    <x v="0"/>
    <x v="7"/>
  </r>
  <r>
    <s v="P11753"/>
    <n v="20250327"/>
    <s v="PL005"/>
    <s v="C003"/>
    <s v="CT006"/>
    <n v="8128"/>
    <n v="10769"/>
    <n v="352"/>
    <n v="45"/>
    <n v="53"/>
    <n v="29"/>
    <n v="4988"/>
    <n v="91"/>
    <d v="1899-12-30T11:45:00"/>
    <s v="Delhi"/>
    <n v="1"/>
    <m/>
    <n v="479"/>
    <n v="16.968684759916492"/>
    <s v="High"/>
    <x v="1"/>
    <x v="3"/>
  </r>
  <r>
    <s v="P11686"/>
    <n v="20250927"/>
    <s v="PL004"/>
    <m/>
    <s v="CT006"/>
    <n v="12055"/>
    <n v="14425"/>
    <n v="657"/>
    <n v="36"/>
    <n v="27"/>
    <n v="36"/>
    <n v="5421"/>
    <n v="110"/>
    <d v="1899-12-30T19:30:00"/>
    <s v="Pune"/>
    <n v="1"/>
    <m/>
    <n v="756"/>
    <n v="15.945767195767196"/>
    <s v="High"/>
    <x v="1"/>
    <x v="0"/>
  </r>
  <r>
    <s v="P11816"/>
    <n v="20260326"/>
    <s v="PL004"/>
    <s v="C007"/>
    <s v="CT003"/>
    <n v="13724"/>
    <n v="15569"/>
    <n v="539"/>
    <n v="43"/>
    <n v="34"/>
    <n v="17"/>
    <n v="0"/>
    <n v="176"/>
    <d v="1899-12-30T21:15:00"/>
    <s v="Hyderabad"/>
    <n v="1"/>
    <m/>
    <n v="633"/>
    <n v="21.68088467614534"/>
    <s v="High"/>
    <x v="0"/>
    <x v="3"/>
  </r>
  <r>
    <s v="P10408"/>
    <n v="20251223"/>
    <s v="PL002"/>
    <s v="C007"/>
    <s v="CT001"/>
    <n v="34995"/>
    <n v="46956"/>
    <n v="3554"/>
    <n v="186"/>
    <n v="429"/>
    <n v="246"/>
    <n v="16642"/>
    <n v="432"/>
    <d v="1899-12-30T10:00:00"/>
    <s v="Pune"/>
    <n v="1"/>
    <m/>
    <n v="4415"/>
    <n v="7.9263873159682898"/>
    <s v="Medium"/>
    <x v="1"/>
    <x v="6"/>
  </r>
  <r>
    <s v="P11572"/>
    <n v="20260927"/>
    <s v="PL001"/>
    <s v="C004"/>
    <s v="CT003"/>
    <n v="27326"/>
    <n v="36765"/>
    <n v="1300"/>
    <n v="109"/>
    <n v="142"/>
    <n v="61"/>
    <n v="0"/>
    <n v="165"/>
    <d v="1899-12-30T13:45:00"/>
    <s v="Kolkata"/>
    <n v="1"/>
    <m/>
    <n v="1612"/>
    <n v="16.951612903225808"/>
    <s v="High"/>
    <x v="0"/>
    <x v="0"/>
  </r>
  <r>
    <s v="P10444"/>
    <n v="20260825"/>
    <s v="PL003"/>
    <s v="C003"/>
    <s v="CT006"/>
    <n v="24524"/>
    <n v="30393"/>
    <n v="1373"/>
    <n v="105"/>
    <n v="209"/>
    <n v="92"/>
    <n v="10500"/>
    <n v="262"/>
    <d v="1899-12-30T22:15:00"/>
    <s v="Mumbai"/>
    <n v="1"/>
    <m/>
    <n v="1779"/>
    <n v="13.785272625070265"/>
    <s v="High"/>
    <x v="0"/>
    <x v="9"/>
  </r>
  <r>
    <s v="P11408"/>
    <n v="20260619"/>
    <s v="PL001"/>
    <s v="C003"/>
    <s v="CT002"/>
    <n v="21024"/>
    <n v="28691"/>
    <n v="604"/>
    <n v="26"/>
    <n v="98"/>
    <n v="52"/>
    <n v="0"/>
    <n v="47"/>
    <d v="1899-12-30T09:15:00"/>
    <s v="Bengaluru"/>
    <n v="1"/>
    <m/>
    <n v="780"/>
    <n v="26.953846153846154"/>
    <s v="High"/>
    <x v="0"/>
    <x v="4"/>
  </r>
  <r>
    <s v="P10157"/>
    <n v="20251225"/>
    <s v="PL003"/>
    <m/>
    <s v="CT003"/>
    <n v="57075"/>
    <n v="82102"/>
    <n v="4719"/>
    <n v="239"/>
    <n v="393"/>
    <n v="689"/>
    <n v="0"/>
    <n v="622"/>
    <d v="1899-12-30T10:00:00"/>
    <s v="Kolkata"/>
    <n v="1"/>
    <m/>
    <n v="6040"/>
    <n v="9.4495033112582778"/>
    <s v="Medium"/>
    <x v="1"/>
    <x v="6"/>
  </r>
  <r>
    <s v="P10756"/>
    <n v="20260915"/>
    <s v="PL003"/>
    <s v="C007"/>
    <s v="CT004"/>
    <n v="10322"/>
    <n v="12796"/>
    <n v="440"/>
    <n v="58"/>
    <n v="75"/>
    <n v="25"/>
    <n v="8195"/>
    <n v="183"/>
    <d v="1899-12-30T17:45:00"/>
    <s v="Coimbatore"/>
    <n v="1"/>
    <m/>
    <n v="598"/>
    <n v="17.260869565217391"/>
    <s v="High"/>
    <x v="0"/>
    <x v="0"/>
  </r>
  <r>
    <s v="P11713"/>
    <n v="20251009"/>
    <s v="PL004"/>
    <s v="C002"/>
    <s v="CT003"/>
    <n v="10412"/>
    <n v="11010"/>
    <n v="381"/>
    <n v="42"/>
    <n v="51"/>
    <n v="17"/>
    <n v="0"/>
    <n v="122"/>
    <d v="1899-12-30T09:45:00"/>
    <s v="Coimbatore"/>
    <n v="1"/>
    <m/>
    <n v="491"/>
    <n v="21.205702647657841"/>
    <s v="High"/>
    <x v="1"/>
    <x v="5"/>
  </r>
  <r>
    <s v="P11376"/>
    <n v="20250424"/>
    <s v="PL002"/>
    <s v="C007"/>
    <s v="CT003"/>
    <n v="74435"/>
    <n v="94461"/>
    <n v="7459"/>
    <n v="531"/>
    <n v="1349"/>
    <n v="1031"/>
    <n v="0"/>
    <n v="1227"/>
    <d v="1899-12-30T20:45:00"/>
    <s v="Chennai"/>
    <n v="1"/>
    <m/>
    <n v="10370"/>
    <n v="7.1779170684667308"/>
    <s v="Medium"/>
    <x v="1"/>
    <x v="11"/>
  </r>
  <r>
    <s v="P10061"/>
    <n v="20260123"/>
    <s v="PL001"/>
    <s v="C003"/>
    <s v="CT001"/>
    <n v="74093"/>
    <n v="101415"/>
    <n v="4077"/>
    <n v="123"/>
    <n v="138"/>
    <n v="219"/>
    <n v="40646"/>
    <n v="180"/>
    <d v="1899-12-30T12:15:00"/>
    <s v="Mumbai"/>
    <n v="1"/>
    <m/>
    <n v="4557"/>
    <n v="16.259161729207811"/>
    <s v="High"/>
    <x v="0"/>
    <x v="7"/>
  </r>
  <r>
    <s v="P10916"/>
    <n v="20260423"/>
    <s v="PL001"/>
    <s v="C004"/>
    <s v="CT006"/>
    <n v="47191"/>
    <n v="60846"/>
    <n v="5128"/>
    <n v="385"/>
    <n v="511"/>
    <n v="590"/>
    <n v="24505"/>
    <n v="237"/>
    <d v="1899-12-30T16:30:00"/>
    <s v="Coimbatore"/>
    <n v="1"/>
    <m/>
    <n v="6614"/>
    <n v="7.1350166313879653"/>
    <s v="Medium"/>
    <x v="0"/>
    <x v="11"/>
  </r>
  <r>
    <s v="P10746"/>
    <n v="20260419"/>
    <s v="PL002"/>
    <s v="C001"/>
    <s v="CT006"/>
    <n v="36007"/>
    <n v="53543"/>
    <n v="4111"/>
    <n v="283"/>
    <n v="720"/>
    <n v="525"/>
    <n v="13511"/>
    <n v="238"/>
    <d v="1899-12-30T19:00:00"/>
    <s v="Kochi"/>
    <n v="1"/>
    <m/>
    <n v="5639"/>
    <n v="6.3853520127682213"/>
    <s v="Medium"/>
    <x v="0"/>
    <x v="11"/>
  </r>
  <r>
    <s v="P11922"/>
    <n v="20260708"/>
    <s v="PL003"/>
    <s v="C005"/>
    <s v="CT001"/>
    <n v="18086"/>
    <n v="24794"/>
    <n v="1320"/>
    <n v="70"/>
    <n v="79"/>
    <n v="33"/>
    <n v="10724"/>
    <n v="191"/>
    <d v="1899-12-30T13:30:00"/>
    <s v="Bengaluru"/>
    <n v="1"/>
    <m/>
    <n v="1502"/>
    <n v="12.041278295605858"/>
    <s v="High"/>
    <x v="0"/>
    <x v="2"/>
  </r>
  <r>
    <s v="P10253"/>
    <n v="20250409"/>
    <s v="PL004"/>
    <s v="C003"/>
    <s v="CT006"/>
    <n v="7809"/>
    <n v="10157"/>
    <n v="204"/>
    <n v="5"/>
    <n v="8"/>
    <n v="11"/>
    <n v="5466"/>
    <n v="45"/>
    <d v="1899-12-30T14:45:00"/>
    <s v="Kolkata"/>
    <n v="1"/>
    <m/>
    <n v="228"/>
    <n v="34.25"/>
    <s v="High"/>
    <x v="1"/>
    <x v="11"/>
  </r>
  <r>
    <s v="P11645"/>
    <n v="20260929"/>
    <s v="PL005"/>
    <m/>
    <s v="CT005"/>
    <n v="2041"/>
    <n v="2925"/>
    <n v="169"/>
    <n v="15"/>
    <n v="6"/>
    <n v="24"/>
    <n v="0"/>
    <n v="14"/>
    <d v="1899-12-30T07:45:00"/>
    <s v="Hyderabad"/>
    <n v="1"/>
    <m/>
    <n v="214"/>
    <n v="9.5373831775700939"/>
    <s v="Medium"/>
    <x v="0"/>
    <x v="0"/>
  </r>
  <r>
    <s v="P10143"/>
    <n v="20251206"/>
    <s v="PL003"/>
    <s v="C003"/>
    <s v="CT004"/>
    <n v="37556"/>
    <n v="53029"/>
    <n v="2431"/>
    <n v="236"/>
    <n v="171"/>
    <n v="333"/>
    <n v="17213"/>
    <n v="318"/>
    <d v="1899-12-30T11:00:00"/>
    <s v="Madurai"/>
    <n v="1"/>
    <m/>
    <n v="3171"/>
    <n v="11.843582466099022"/>
    <s v="High"/>
    <x v="1"/>
    <x v="6"/>
  </r>
  <r>
    <s v="P11941"/>
    <n v="20250311"/>
    <s v="PL005"/>
    <s v="C006"/>
    <s v="CT002"/>
    <n v="18656"/>
    <n v="30245"/>
    <n v="2016"/>
    <n v="208"/>
    <n v="64"/>
    <n v="112"/>
    <n v="0"/>
    <n v="249"/>
    <d v="1899-12-30T19:45:00"/>
    <s v="Pune"/>
    <n v="1"/>
    <m/>
    <n v="2400"/>
    <n v="7.7733333333333334"/>
    <s v="Medium"/>
    <x v="1"/>
    <x v="3"/>
  </r>
  <r>
    <s v="P10045"/>
    <n v="20260824"/>
    <s v="PL002"/>
    <s v="C001"/>
    <s v="CT002"/>
    <n v="49728"/>
    <n v="72217"/>
    <n v="4564"/>
    <n v="352"/>
    <n v="660"/>
    <n v="354"/>
    <n v="0"/>
    <n v="749"/>
    <d v="1899-12-30T07:30:00"/>
    <s v="Chennai"/>
    <n v="1"/>
    <m/>
    <n v="5930"/>
    <n v="8.3858347386172003"/>
    <s v="Medium"/>
    <x v="0"/>
    <x v="9"/>
  </r>
  <r>
    <s v="P10320"/>
    <n v="20260505"/>
    <s v="PL001"/>
    <s v="C007"/>
    <s v="CT002"/>
    <n v="19489"/>
    <n v="30599"/>
    <n v="2247"/>
    <n v="139"/>
    <n v="124"/>
    <n v="170"/>
    <n v="0"/>
    <n v="46"/>
    <d v="1899-12-30T10:45:00"/>
    <s v="Kochi"/>
    <n v="1"/>
    <m/>
    <n v="2680"/>
    <n v="7.2720149253731341"/>
    <s v="Medium"/>
    <x v="0"/>
    <x v="10"/>
  </r>
  <r>
    <s v="P11987"/>
    <n v="20250905"/>
    <s v="PL005"/>
    <s v="C004"/>
    <s v="CT004"/>
    <n v="6034"/>
    <n v="7016"/>
    <n v="205"/>
    <n v="7"/>
    <n v="12"/>
    <n v="11"/>
    <n v="3650"/>
    <n v="71"/>
    <d v="1899-12-30T16:00:00"/>
    <s v="Mumbai"/>
    <n v="1"/>
    <m/>
    <n v="235"/>
    <n v="25.676595744680853"/>
    <s v="High"/>
    <x v="1"/>
    <x v="0"/>
  </r>
  <r>
    <s v="P11166"/>
    <n v="20250815"/>
    <s v="PL004"/>
    <s v="C002"/>
    <s v="CT006"/>
    <n v="7372"/>
    <n v="11032"/>
    <n v="208"/>
    <n v="21"/>
    <n v="27"/>
    <n v="7"/>
    <n v="6150"/>
    <n v="55"/>
    <d v="1899-12-30T09:30:00"/>
    <s v="Chennai"/>
    <n v="1"/>
    <m/>
    <n v="263"/>
    <n v="28.030418250950571"/>
    <s v="High"/>
    <x v="1"/>
    <x v="9"/>
  </r>
  <r>
    <s v="P10562"/>
    <n v="20260213"/>
    <s v="PL004"/>
    <s v="C006"/>
    <s v="CT004"/>
    <n v="20269"/>
    <n v="28922"/>
    <n v="2013"/>
    <n v="219"/>
    <n v="338"/>
    <n v="65"/>
    <n v="12223"/>
    <n v="151"/>
    <d v="1899-12-30T15:45:00"/>
    <s v="Hyderabad"/>
    <n v="1"/>
    <m/>
    <n v="2635"/>
    <n v="7.6922201138519926"/>
    <s v="Medium"/>
    <x v="0"/>
    <x v="1"/>
  </r>
  <r>
    <s v="P11497"/>
    <n v="20250612"/>
    <s v="PL005"/>
    <s v="C003"/>
    <s v="CT004"/>
    <n v="5078"/>
    <n v="6654"/>
    <n v="205"/>
    <n v="10"/>
    <n v="37"/>
    <n v="6"/>
    <n v="2213"/>
    <n v="31"/>
    <d v="1899-12-30T12:15:00"/>
    <s v="Bengaluru"/>
    <n v="1"/>
    <m/>
    <n v="258"/>
    <n v="19.68217054263566"/>
    <s v="High"/>
    <x v="1"/>
    <x v="4"/>
  </r>
  <r>
    <s v="P11093"/>
    <n v="20260529"/>
    <s v="PL001"/>
    <s v="C003"/>
    <s v="CT001"/>
    <n v="8895"/>
    <n v="10194"/>
    <n v="338"/>
    <n v="31"/>
    <n v="44"/>
    <n v="46"/>
    <n v="6494"/>
    <n v="157"/>
    <d v="1899-12-30T10:45:00"/>
    <s v="Hyderabad"/>
    <n v="1"/>
    <m/>
    <n v="459"/>
    <n v="19.37908496732026"/>
    <s v="High"/>
    <x v="0"/>
    <x v="10"/>
  </r>
  <r>
    <s v="P10843"/>
    <n v="20250331"/>
    <s v="PL004"/>
    <s v="C006"/>
    <s v="CT004"/>
    <n v="21024"/>
    <n v="34288"/>
    <n v="1327"/>
    <n v="156"/>
    <n v="197"/>
    <n v="108"/>
    <n v="11067"/>
    <n v="289"/>
    <d v="1899-12-30T20:15:00"/>
    <s v="Pune"/>
    <n v="1"/>
    <m/>
    <n v="1788"/>
    <n v="11.758389261744966"/>
    <s v="High"/>
    <x v="1"/>
    <x v="3"/>
  </r>
  <r>
    <s v="P11363"/>
    <n v="20250918"/>
    <s v="PL002"/>
    <s v="C002"/>
    <s v="CT003"/>
    <n v="20526"/>
    <n v="23111"/>
    <n v="1563"/>
    <n v="64"/>
    <n v="208"/>
    <n v="145"/>
    <n v="0"/>
    <n v="26"/>
    <d v="1899-12-30T14:00:00"/>
    <s v="Pune"/>
    <n v="1"/>
    <m/>
    <n v="1980"/>
    <n v="10.366666666666667"/>
    <s v="High"/>
    <x v="1"/>
    <x v="0"/>
  </r>
  <r>
    <s v="P11096"/>
    <n v="20260416"/>
    <s v="PL004"/>
    <s v="C004"/>
    <s v="CT001"/>
    <n v="22833"/>
    <n v="33843"/>
    <n v="1928"/>
    <n v="243"/>
    <n v="300"/>
    <n v="102"/>
    <n v="13951"/>
    <n v="188"/>
    <d v="1899-12-30T14:15:00"/>
    <s v="Coimbatore"/>
    <n v="1"/>
    <m/>
    <n v="2573"/>
    <n v="8.8740769529731836"/>
    <s v="Medium"/>
    <x v="0"/>
    <x v="11"/>
  </r>
  <r>
    <s v="P11513"/>
    <n v="20260122"/>
    <s v="PL002"/>
    <s v="C006"/>
    <s v="CT002"/>
    <n v="40086"/>
    <n v="51179"/>
    <n v="4622"/>
    <n v="539"/>
    <n v="623"/>
    <n v="306"/>
    <n v="0"/>
    <n v="551"/>
    <d v="1899-12-30T14:45:00"/>
    <s v="Madurai"/>
    <n v="1"/>
    <m/>
    <n v="6090"/>
    <n v="6.5822660098522165"/>
    <s v="Medium"/>
    <x v="0"/>
    <x v="7"/>
  </r>
  <r>
    <s v="P11666"/>
    <n v="20250114"/>
    <s v="PL003"/>
    <s v="C004"/>
    <s v="CT003"/>
    <n v="23042"/>
    <n v="31714"/>
    <n v="2258"/>
    <n v="221"/>
    <n v="159"/>
    <n v="262"/>
    <n v="0"/>
    <n v="129"/>
    <d v="1899-12-30T08:00:00"/>
    <s v="Mumbai"/>
    <n v="1"/>
    <m/>
    <n v="2900"/>
    <n v="7.94551724137931"/>
    <s v="Medium"/>
    <x v="1"/>
    <x v="7"/>
  </r>
  <r>
    <s v="P11829"/>
    <n v="20260513"/>
    <s v="PL002"/>
    <s v="C006"/>
    <s v="CT005"/>
    <n v="24362"/>
    <n v="29179"/>
    <n v="2434"/>
    <n v="270"/>
    <n v="182"/>
    <n v="351"/>
    <n v="0"/>
    <n v="288"/>
    <d v="1899-12-30T20:00:00"/>
    <s v="Coimbatore"/>
    <n v="1"/>
    <m/>
    <n v="3237"/>
    <n v="7.5261044176706831"/>
    <s v="Medium"/>
    <x v="0"/>
    <x v="10"/>
  </r>
  <r>
    <s v="P11622"/>
    <n v="20251128"/>
    <s v="PL001"/>
    <s v="C003"/>
    <s v="CT001"/>
    <n v="14125"/>
    <n v="16394"/>
    <n v="1488"/>
    <n v="161"/>
    <n v="162"/>
    <n v="167"/>
    <n v="5718"/>
    <n v="121"/>
    <d v="1899-12-30T21:45:00"/>
    <s v="Bengaluru"/>
    <n v="1"/>
    <m/>
    <n v="1978"/>
    <n v="7.1410515672396357"/>
    <s v="Medium"/>
    <x v="1"/>
    <x v="8"/>
  </r>
  <r>
    <s v="P10259"/>
    <n v="20260202"/>
    <s v="PL002"/>
    <s v="C001"/>
    <s v="CT004"/>
    <n v="274700"/>
    <n v="415865"/>
    <n v="26525"/>
    <n v="2425"/>
    <n v="3754"/>
    <n v="2031"/>
    <n v="228011"/>
    <n v="3129"/>
    <d v="1899-12-30T10:00:00"/>
    <s v="Madurai"/>
    <n v="1"/>
    <m/>
    <n v="34735"/>
    <n v="7.9084496905138906"/>
    <s v="Medium"/>
    <x v="0"/>
    <x v="1"/>
  </r>
  <r>
    <s v="P11828"/>
    <n v="20251122"/>
    <s v="PL003"/>
    <s v="C005"/>
    <s v="CT004"/>
    <n v="94986"/>
    <n v="128969"/>
    <n v="6127"/>
    <n v="371"/>
    <n v="484"/>
    <n v="175"/>
    <n v="36045"/>
    <n v="380"/>
    <d v="1899-12-30T10:45:00"/>
    <s v="Mumbai"/>
    <n v="1"/>
    <m/>
    <n v="7157"/>
    <n v="13.271761911415398"/>
    <s v="High"/>
    <x v="1"/>
    <x v="8"/>
  </r>
  <r>
    <s v="P10279"/>
    <n v="20251004"/>
    <s v="PL003"/>
    <s v="C004"/>
    <s v="CT004"/>
    <n v="28832"/>
    <n v="36470"/>
    <n v="2240"/>
    <n v="228"/>
    <n v="268"/>
    <n v="95"/>
    <n v="13554"/>
    <n v="315"/>
    <d v="1899-12-30T11:15:00"/>
    <s v="Kolkata"/>
    <n v="1"/>
    <m/>
    <n v="2831"/>
    <n v="10.184387142352525"/>
    <s v="High"/>
    <x v="1"/>
    <x v="5"/>
  </r>
  <r>
    <s v="P10336"/>
    <n v="20260204"/>
    <s v="PL001"/>
    <s v="C002"/>
    <s v="CT006"/>
    <n v="15595"/>
    <n v="25307"/>
    <n v="1756"/>
    <n v="132"/>
    <n v="152"/>
    <n v="74"/>
    <n v="9578"/>
    <n v="60"/>
    <d v="1899-12-30T08:30:00"/>
    <s v="Hyderabad"/>
    <n v="1"/>
    <m/>
    <n v="2114"/>
    <n v="7.3770104068117313"/>
    <s v="Medium"/>
    <x v="0"/>
    <x v="1"/>
  </r>
  <r>
    <s v="P10992"/>
    <n v="20250427"/>
    <s v="PL001"/>
    <s v="C002"/>
    <s v="CT002"/>
    <n v="11844"/>
    <n v="19383"/>
    <n v="571"/>
    <n v="31"/>
    <n v="35"/>
    <n v="61"/>
    <n v="0"/>
    <n v="154"/>
    <d v="1899-12-30T12:15:00"/>
    <s v="Madurai"/>
    <n v="1"/>
    <m/>
    <n v="698"/>
    <n v="16.968481375358166"/>
    <s v="High"/>
    <x v="1"/>
    <x v="11"/>
  </r>
  <r>
    <s v="P11134"/>
    <n v="20251222"/>
    <s v="PL004"/>
    <s v="C003"/>
    <s v="CT002"/>
    <n v="13758"/>
    <n v="16454"/>
    <n v="1243"/>
    <n v="130"/>
    <n v="96"/>
    <n v="85"/>
    <n v="0"/>
    <n v="242"/>
    <d v="1899-12-30T17:45:00"/>
    <s v="Kolkata"/>
    <n v="1"/>
    <m/>
    <n v="1554"/>
    <n v="8.8532818532818531"/>
    <s v="Medium"/>
    <x v="1"/>
    <x v="6"/>
  </r>
  <r>
    <s v="P11401"/>
    <n v="20251222"/>
    <s v="PL001"/>
    <s v="C003"/>
    <s v="CT001"/>
    <n v="33651"/>
    <n v="43494"/>
    <n v="1579"/>
    <n v="74"/>
    <n v="283"/>
    <n v="242"/>
    <n v="23240"/>
    <n v="77"/>
    <d v="1899-12-30T20:15:00"/>
    <s v="Madurai"/>
    <n v="1"/>
    <m/>
    <n v="2178"/>
    <n v="15.450413223140496"/>
    <s v="High"/>
    <x v="1"/>
    <x v="6"/>
  </r>
  <r>
    <s v="P10372"/>
    <n v="20250507"/>
    <s v="PL003"/>
    <s v="C003"/>
    <s v="CT002"/>
    <n v="14129"/>
    <n v="22983"/>
    <n v="1108"/>
    <n v="75"/>
    <n v="96"/>
    <n v="159"/>
    <n v="0"/>
    <n v="105"/>
    <d v="1899-12-30T08:45:00"/>
    <s v="Chennai"/>
    <n v="1"/>
    <m/>
    <n v="1438"/>
    <n v="9.8254520166898462"/>
    <s v="Medium"/>
    <x v="1"/>
    <x v="10"/>
  </r>
  <r>
    <s v="P11593"/>
    <n v="20250122"/>
    <s v="PL003"/>
    <s v="C005"/>
    <s v="CT003"/>
    <n v="22058"/>
    <n v="31708"/>
    <n v="1360"/>
    <n v="92"/>
    <n v="153"/>
    <n v="65"/>
    <n v="0"/>
    <n v="374"/>
    <d v="1899-12-30T16:15:00"/>
    <s v="Madurai"/>
    <n v="1"/>
    <m/>
    <n v="1670"/>
    <n v="13.208383233532935"/>
    <s v="High"/>
    <x v="1"/>
    <x v="7"/>
  </r>
  <r>
    <s v="P11273"/>
    <n v="20260630"/>
    <s v="PL004"/>
    <s v="C002"/>
    <s v="CT004"/>
    <n v="21240"/>
    <n v="27935"/>
    <n v="1262"/>
    <n v="85"/>
    <n v="99"/>
    <n v="194"/>
    <n v="8203"/>
    <n v="226"/>
    <d v="1899-12-30T22:00:00"/>
    <s v="Bengaluru"/>
    <n v="1"/>
    <m/>
    <n v="1640"/>
    <n v="12.951219512195122"/>
    <s v="High"/>
    <x v="0"/>
    <x v="4"/>
  </r>
  <r>
    <s v="P10716"/>
    <n v="20260827"/>
    <s v="PL001"/>
    <s v="C005"/>
    <s v="CT004"/>
    <n v="17601"/>
    <n v="28433"/>
    <n v="542"/>
    <n v="34"/>
    <n v="80"/>
    <n v="68"/>
    <n v="11238"/>
    <n v="23"/>
    <d v="1899-12-30T17:00:00"/>
    <s v="Chennai"/>
    <n v="1"/>
    <m/>
    <n v="724"/>
    <n v="24.310773480662984"/>
    <s v="High"/>
    <x v="0"/>
    <x v="9"/>
  </r>
  <r>
    <s v="P11698"/>
    <n v="20250417"/>
    <s v="PL001"/>
    <s v="C003"/>
    <s v="CT002"/>
    <n v="23919"/>
    <n v="35010"/>
    <n v="2655"/>
    <n v="131"/>
    <n v="115"/>
    <n v="147"/>
    <n v="0"/>
    <n v="158"/>
    <d v="1899-12-30T18:00:00"/>
    <s v="Hyderabad"/>
    <n v="1"/>
    <m/>
    <n v="3048"/>
    <n v="7.8474409448818898"/>
    <s v="Medium"/>
    <x v="1"/>
    <x v="11"/>
  </r>
  <r>
    <s v="P10709"/>
    <n v="20250403"/>
    <s v="PL003"/>
    <s v="C007"/>
    <s v="CT004"/>
    <n v="7806"/>
    <n v="8777"/>
    <n v="586"/>
    <n v="42"/>
    <n v="80"/>
    <n v="20"/>
    <n v="4452"/>
    <n v="130"/>
    <d v="1899-12-30T21:15:00"/>
    <s v="Kochi"/>
    <n v="1"/>
    <m/>
    <n v="728"/>
    <n v="10.722527472527473"/>
    <s v="High"/>
    <x v="1"/>
    <x v="11"/>
  </r>
  <r>
    <s v="P11854"/>
    <n v="20260812"/>
    <s v="PL001"/>
    <s v="C005"/>
    <s v="CT003"/>
    <n v="22918"/>
    <n v="28221"/>
    <n v="2237"/>
    <n v="272"/>
    <n v="139"/>
    <n v="122"/>
    <n v="0"/>
    <n v="248"/>
    <d v="1899-12-30T07:30:00"/>
    <s v="Coimbatore"/>
    <n v="1"/>
    <m/>
    <n v="2770"/>
    <n v="8.2736462093862819"/>
    <s v="Medium"/>
    <x v="0"/>
    <x v="9"/>
  </r>
  <r>
    <s v="P10989"/>
    <n v="20250721"/>
    <s v="PL005"/>
    <s v="C002"/>
    <s v="CT005"/>
    <n v="5811"/>
    <n v="6796"/>
    <n v="484"/>
    <n v="21"/>
    <n v="75"/>
    <n v="10"/>
    <n v="0"/>
    <n v="55"/>
    <d v="1899-12-30T19:00:00"/>
    <s v="Coimbatore"/>
    <n v="1"/>
    <m/>
    <n v="590"/>
    <n v="9.849152542372881"/>
    <s v="Medium"/>
    <x v="1"/>
    <x v="2"/>
  </r>
  <r>
    <s v="P11247"/>
    <n v="20260907"/>
    <s v="PL003"/>
    <s v="C007"/>
    <s v="CT001"/>
    <n v="22004"/>
    <n v="25739"/>
    <n v="657"/>
    <n v="79"/>
    <n v="109"/>
    <n v="30"/>
    <n v="11003"/>
    <n v="322"/>
    <d v="1899-12-30T17:00:00"/>
    <s v="Bengaluru"/>
    <n v="1"/>
    <m/>
    <n v="875"/>
    <n v="25.14742857142857"/>
    <s v="High"/>
    <x v="0"/>
    <x v="0"/>
  </r>
  <r>
    <s v="P11142"/>
    <n v="20260921"/>
    <s v="PL005"/>
    <s v="C004"/>
    <s v="CT006"/>
    <n v="13169"/>
    <n v="15326"/>
    <n v="1481"/>
    <n v="59"/>
    <n v="238"/>
    <n v="221"/>
    <n v="4665"/>
    <n v="43"/>
    <d v="1899-12-30T16:00:00"/>
    <s v="Kochi"/>
    <n v="1"/>
    <m/>
    <n v="1999"/>
    <n v="6.5877938969484742"/>
    <s v="Medium"/>
    <x v="0"/>
    <x v="0"/>
  </r>
  <r>
    <s v="P10548"/>
    <n v="20250808"/>
    <s v="PL005"/>
    <s v="C002"/>
    <s v="CT002"/>
    <n v="14402"/>
    <n v="16258"/>
    <n v="1699"/>
    <n v="134"/>
    <n v="117"/>
    <n v="168"/>
    <n v="0"/>
    <n v="107"/>
    <d v="1899-12-30T10:45:00"/>
    <s v="Chennai"/>
    <n v="1"/>
    <m/>
    <n v="2118"/>
    <n v="6.7998111425873464"/>
    <s v="Medium"/>
    <x v="1"/>
    <x v="9"/>
  </r>
  <r>
    <s v="P10286"/>
    <n v="20250711"/>
    <s v="PL004"/>
    <s v="C006"/>
    <s v="CT003"/>
    <n v="12592"/>
    <n v="19737"/>
    <n v="1098"/>
    <n v="64"/>
    <n v="70"/>
    <n v="26"/>
    <n v="0"/>
    <n v="224"/>
    <d v="1899-12-30T07:00:00"/>
    <s v="Pune"/>
    <n v="1"/>
    <m/>
    <n v="1258"/>
    <n v="10.009538950715422"/>
    <s v="High"/>
    <x v="1"/>
    <x v="2"/>
  </r>
  <r>
    <s v="P11864"/>
    <n v="20250608"/>
    <s v="PL004"/>
    <s v="C007"/>
    <s v="CT004"/>
    <n v="14554"/>
    <n v="22928"/>
    <n v="1223"/>
    <n v="155"/>
    <n v="206"/>
    <n v="150"/>
    <n v="12588"/>
    <n v="110"/>
    <d v="1899-12-30T08:30:00"/>
    <s v="Coimbatore"/>
    <n v="1"/>
    <m/>
    <n v="1734"/>
    <n v="8.3933102652825831"/>
    <s v="Medium"/>
    <x v="1"/>
    <x v="4"/>
  </r>
  <r>
    <s v="P11879"/>
    <n v="20250428"/>
    <s v="PL005"/>
    <s v="C002"/>
    <s v="CT003"/>
    <n v="22309"/>
    <n v="27518"/>
    <n v="1654"/>
    <n v="229"/>
    <n v="213"/>
    <n v="133"/>
    <n v="0"/>
    <n v="173"/>
    <d v="1899-12-30T13:45:00"/>
    <s v="Hyderabad"/>
    <n v="1"/>
    <m/>
    <n v="2229"/>
    <n v="10.008524001794527"/>
    <s v="High"/>
    <x v="1"/>
    <x v="11"/>
  </r>
  <r>
    <s v="P10313"/>
    <n v="20250118"/>
    <s v="PL004"/>
    <s v="C003"/>
    <s v="CT001"/>
    <n v="19564"/>
    <n v="31487"/>
    <n v="816"/>
    <n v="31"/>
    <n v="35"/>
    <n v="20"/>
    <n v="12720"/>
    <n v="311"/>
    <d v="1899-12-30T14:00:00"/>
    <s v="Mumbai"/>
    <n v="1"/>
    <m/>
    <n v="902"/>
    <n v="21.68957871396896"/>
    <s v="High"/>
    <x v="1"/>
    <x v="7"/>
  </r>
  <r>
    <s v="P11153"/>
    <n v="20260712"/>
    <s v="PL005"/>
    <s v="C001"/>
    <s v="CT006"/>
    <n v="16026"/>
    <n v="21697"/>
    <n v="1798"/>
    <n v="51"/>
    <n v="109"/>
    <n v="173"/>
    <n v="11334"/>
    <n v="29"/>
    <d v="1899-12-30T09:15:00"/>
    <s v="Delhi"/>
    <n v="1"/>
    <m/>
    <n v="2131"/>
    <n v="7.5204129516658842"/>
    <s v="Medium"/>
    <x v="0"/>
    <x v="2"/>
  </r>
  <r>
    <s v="P11599"/>
    <n v="20250328"/>
    <s v="PL005"/>
    <s v="C007"/>
    <s v="CT003"/>
    <n v="6521"/>
    <n v="8539"/>
    <n v="490"/>
    <n v="48"/>
    <n v="61"/>
    <n v="25"/>
    <n v="0"/>
    <n v="43"/>
    <d v="1899-12-30T10:15:00"/>
    <s v="Coimbatore"/>
    <n v="1"/>
    <m/>
    <n v="624"/>
    <n v="10.450320512820513"/>
    <s v="High"/>
    <x v="1"/>
    <x v="3"/>
  </r>
  <r>
    <s v="P11652"/>
    <n v="20250410"/>
    <s v="PL005"/>
    <s v="C007"/>
    <s v="CT001"/>
    <n v="8930"/>
    <n v="9605"/>
    <n v="327"/>
    <n v="20"/>
    <n v="58"/>
    <n v="12"/>
    <n v="7363"/>
    <n v="85"/>
    <d v="1899-12-30T21:00:00"/>
    <s v="Delhi"/>
    <n v="1"/>
    <m/>
    <n v="417"/>
    <n v="21.414868105515588"/>
    <s v="High"/>
    <x v="1"/>
    <x v="11"/>
  </r>
  <r>
    <s v="P11785"/>
    <n v="20260902"/>
    <s v="PL004"/>
    <s v="C004"/>
    <s v="CT004"/>
    <n v="11869"/>
    <n v="19094"/>
    <n v="1404"/>
    <n v="83"/>
    <n v="226"/>
    <n v="136"/>
    <n v="10000"/>
    <n v="146"/>
    <d v="1899-12-30T22:45:00"/>
    <s v="Delhi"/>
    <n v="1"/>
    <m/>
    <n v="1849"/>
    <n v="6.4191454840454298"/>
    <s v="Medium"/>
    <x v="0"/>
    <x v="0"/>
  </r>
  <r>
    <s v="P11911"/>
    <n v="20260331"/>
    <s v="PL002"/>
    <s v="C005"/>
    <s v="CT002"/>
    <n v="25698"/>
    <n v="41738"/>
    <n v="1639"/>
    <n v="107"/>
    <n v="192"/>
    <n v="82"/>
    <n v="0"/>
    <n v="295"/>
    <d v="1899-12-30T15:15:00"/>
    <s v="Hyderabad"/>
    <n v="1"/>
    <m/>
    <n v="2020"/>
    <n v="12.721782178217822"/>
    <s v="High"/>
    <x v="0"/>
    <x v="3"/>
  </r>
  <r>
    <s v="P11630"/>
    <n v="20250601"/>
    <s v="PL004"/>
    <s v="C005"/>
    <s v="CT002"/>
    <n v="22379"/>
    <n v="29308"/>
    <n v="2101"/>
    <n v="73"/>
    <n v="199"/>
    <n v="101"/>
    <n v="0"/>
    <n v="46"/>
    <d v="1899-12-30T07:30:00"/>
    <s v="Delhi"/>
    <n v="1"/>
    <m/>
    <n v="2474"/>
    <n v="9.0456750202101865"/>
    <s v="Medium"/>
    <x v="1"/>
    <x v="4"/>
  </r>
  <r>
    <s v="P11924"/>
    <n v="20260929"/>
    <s v="PL005"/>
    <s v="C004"/>
    <s v="CT004"/>
    <n v="8159"/>
    <n v="9089"/>
    <n v="744"/>
    <n v="96"/>
    <n v="92"/>
    <n v="70"/>
    <n v="4629"/>
    <n v="13"/>
    <d v="1899-12-30T16:00:00"/>
    <s v="Bengaluru"/>
    <n v="1"/>
    <m/>
    <n v="1002"/>
    <n v="8.1427145708582831"/>
    <s v="Medium"/>
    <x v="0"/>
    <x v="0"/>
  </r>
  <r>
    <s v="P10632"/>
    <n v="20260209"/>
    <s v="PL002"/>
    <s v="C001"/>
    <s v="CT004"/>
    <n v="27926"/>
    <n v="42208"/>
    <n v="3082"/>
    <n v="416"/>
    <n v="207"/>
    <n v="456"/>
    <n v="21104"/>
    <n v="453"/>
    <d v="1899-12-30T08:15:00"/>
    <s v="Hyderabad"/>
    <n v="1"/>
    <m/>
    <n v="4161"/>
    <n v="6.7113674597452535"/>
    <s v="Medium"/>
    <x v="0"/>
    <x v="1"/>
  </r>
  <r>
    <s v="P11217"/>
    <n v="20250322"/>
    <s v="PL003"/>
    <s v="C002"/>
    <s v="CT002"/>
    <n v="10648"/>
    <n v="14631"/>
    <n v="273"/>
    <n v="37"/>
    <n v="23"/>
    <n v="32"/>
    <n v="0"/>
    <n v="66"/>
    <d v="1899-12-30T08:00:00"/>
    <s v="Pune"/>
    <n v="1"/>
    <m/>
    <n v="365"/>
    <n v="29.172602739726027"/>
    <s v="High"/>
    <x v="1"/>
    <x v="3"/>
  </r>
  <r>
    <s v="P11582"/>
    <n v="20250325"/>
    <s v="PL003"/>
    <s v="C006"/>
    <s v="CT002"/>
    <n v="25369"/>
    <n v="37834"/>
    <n v="2173"/>
    <n v="179"/>
    <n v="180"/>
    <n v="268"/>
    <n v="0"/>
    <n v="58"/>
    <d v="1899-12-30T20:15:00"/>
    <s v="Chennai"/>
    <n v="1"/>
    <m/>
    <n v="2800"/>
    <n v="9.0603571428571428"/>
    <s v="Medium"/>
    <x v="1"/>
    <x v="3"/>
  </r>
  <r>
    <s v="P10535"/>
    <n v="20250512"/>
    <s v="PL003"/>
    <s v="C003"/>
    <s v="CT001"/>
    <n v="31580"/>
    <n v="34207"/>
    <n v="883"/>
    <n v="92"/>
    <n v="78"/>
    <n v="58"/>
    <n v="20927"/>
    <n v="320"/>
    <d v="1899-12-30T19:15:00"/>
    <s v="Kochi"/>
    <n v="1"/>
    <m/>
    <n v="1111"/>
    <n v="28.424842484248426"/>
    <s v="High"/>
    <x v="1"/>
    <x v="10"/>
  </r>
  <r>
    <s v="P11571"/>
    <n v="20251113"/>
    <s v="PL003"/>
    <s v="C007"/>
    <s v="CT002"/>
    <n v="20771"/>
    <n v="27474"/>
    <n v="2325"/>
    <n v="254"/>
    <n v="94"/>
    <n v="311"/>
    <n v="0"/>
    <n v="199"/>
    <d v="1899-12-30T17:45:00"/>
    <s v="Pune"/>
    <n v="1"/>
    <m/>
    <n v="2984"/>
    <n v="6.9607908847184987"/>
    <s v="Medium"/>
    <x v="1"/>
    <x v="8"/>
  </r>
  <r>
    <s v="P11581"/>
    <n v="20251114"/>
    <s v="PL003"/>
    <s v="C002"/>
    <s v="CT004"/>
    <n v="23035"/>
    <n v="28165"/>
    <n v="1350"/>
    <n v="76"/>
    <n v="234"/>
    <n v="141"/>
    <n v="9932"/>
    <n v="99"/>
    <d v="1899-12-30T09:00:00"/>
    <s v="Mumbai"/>
    <n v="1"/>
    <m/>
    <n v="1801"/>
    <n v="12.79011660188784"/>
    <s v="High"/>
    <x v="1"/>
    <x v="8"/>
  </r>
  <r>
    <s v="P11928"/>
    <n v="20251029"/>
    <s v="PL002"/>
    <s v="C002"/>
    <s v="CT006"/>
    <n v="32396"/>
    <n v="40069"/>
    <n v="1515"/>
    <n v="95"/>
    <n v="232"/>
    <n v="152"/>
    <n v="28743"/>
    <n v="100"/>
    <d v="1899-12-30T13:45:00"/>
    <s v="Kochi"/>
    <n v="1"/>
    <m/>
    <n v="1994"/>
    <n v="16.246740220661987"/>
    <s v="High"/>
    <x v="1"/>
    <x v="5"/>
  </r>
  <r>
    <s v="P10665"/>
    <n v="20251030"/>
    <s v="PL005"/>
    <s v="C001"/>
    <s v="CT006"/>
    <n v="7131"/>
    <n v="11764"/>
    <n v="229"/>
    <n v="13"/>
    <n v="21"/>
    <n v="33"/>
    <n v="4311"/>
    <n v="51"/>
    <d v="1899-12-30T10:30:00"/>
    <s v="Chennai"/>
    <n v="1"/>
    <m/>
    <n v="296"/>
    <n v="24.091216216216218"/>
    <s v="High"/>
    <x v="1"/>
    <x v="5"/>
  </r>
  <r>
    <s v="P11690"/>
    <n v="20250914"/>
    <s v="PL003"/>
    <s v="C001"/>
    <s v="CT001"/>
    <n v="10853"/>
    <n v="17568"/>
    <n v="965"/>
    <n v="68"/>
    <n v="137"/>
    <n v="114"/>
    <n v="8625"/>
    <n v="101"/>
    <d v="1899-12-30T12:30:00"/>
    <s v="Mumbai"/>
    <n v="1"/>
    <m/>
    <n v="1284"/>
    <n v="8.4524922118380061"/>
    <s v="Medium"/>
    <x v="1"/>
    <x v="0"/>
  </r>
  <r>
    <s v="P10141"/>
    <n v="20260912"/>
    <s v="PL001"/>
    <s v="C004"/>
    <s v="CT001"/>
    <n v="24952"/>
    <n v="34808"/>
    <n v="2114"/>
    <n v="198"/>
    <m/>
    <n v="336"/>
    <m/>
    <n v="113"/>
    <d v="1899-12-30T20:45:00"/>
    <s v="Madurai"/>
    <n v="1"/>
    <m/>
    <n v="2648"/>
    <n v="9.4229607250755283"/>
    <s v="Medium"/>
    <x v="0"/>
    <x v="0"/>
  </r>
  <r>
    <s v="P11498"/>
    <n v="20260608"/>
    <s v="PL003"/>
    <s v="C006"/>
    <s v="CT006"/>
    <n v="10772"/>
    <n v="14530"/>
    <n v="1172"/>
    <n v="40"/>
    <n v="158"/>
    <n v="125"/>
    <n v="9589"/>
    <n v="179"/>
    <d v="1899-12-30T15:15:00"/>
    <s v="Kolkata"/>
    <n v="1"/>
    <m/>
    <n v="1495"/>
    <n v="7.2053511705685622"/>
    <s v="Medium"/>
    <x v="0"/>
    <x v="4"/>
  </r>
  <r>
    <s v="P10872"/>
    <n v="20260528"/>
    <s v="PL001"/>
    <s v="C004"/>
    <s v="CT004"/>
    <n v="27708"/>
    <n v="43811"/>
    <n v="2968"/>
    <n v="239"/>
    <n v="201"/>
    <n v="281"/>
    <n v="19293"/>
    <n v="225"/>
    <d v="1899-12-30T13:15:00"/>
    <s v="Chennai"/>
    <n v="1"/>
    <m/>
    <n v="3689"/>
    <n v="7.5109785849823805"/>
    <s v="Medium"/>
    <x v="0"/>
    <x v="10"/>
  </r>
  <r>
    <s v="P10617"/>
    <n v="20260109"/>
    <s v="PL003"/>
    <s v="C002"/>
    <s v="CT004"/>
    <n v="19186"/>
    <n v="28372"/>
    <n v="647"/>
    <n v="70"/>
    <n v="104"/>
    <n v="32"/>
    <n v="8685"/>
    <n v="241"/>
    <d v="1899-12-30T22:15:00"/>
    <s v="Coimbatore"/>
    <n v="1"/>
    <m/>
    <n v="853"/>
    <n v="22.49237983587339"/>
    <s v="High"/>
    <x v="0"/>
    <x v="7"/>
  </r>
  <r>
    <s v="P10371"/>
    <n v="20250427"/>
    <s v="PL005"/>
    <s v="C006"/>
    <s v="CT002"/>
    <n v="9762"/>
    <n v="13491"/>
    <n v="956"/>
    <n v="100"/>
    <n v="100"/>
    <n v="86"/>
    <n v="0"/>
    <n v="60"/>
    <d v="1899-12-30T11:45:00"/>
    <s v="Chennai"/>
    <n v="1"/>
    <m/>
    <n v="1242"/>
    <n v="7.8599033816425123"/>
    <s v="Medium"/>
    <x v="1"/>
    <x v="11"/>
  </r>
  <r>
    <s v="P10078"/>
    <n v="20250222"/>
    <s v="PL005"/>
    <s v="C002"/>
    <s v="CT001"/>
    <n v="15609"/>
    <n v="17062"/>
    <n v="1122"/>
    <n v="63"/>
    <n v="180"/>
    <n v="80"/>
    <n v="13548"/>
    <n v="242"/>
    <d v="1899-12-30T19:30:00"/>
    <s v="Delhi"/>
    <n v="1"/>
    <m/>
    <n v="1445"/>
    <n v="10.802076124567474"/>
    <s v="High"/>
    <x v="1"/>
    <x v="1"/>
  </r>
  <r>
    <s v="P10852"/>
    <n v="20250113"/>
    <s v="PL004"/>
    <s v="C006"/>
    <s v="CT003"/>
    <n v="14244"/>
    <n v="17683"/>
    <n v="844"/>
    <n v="25"/>
    <n v="78"/>
    <n v="109"/>
    <n v="0"/>
    <n v="89"/>
    <d v="1899-12-30T08:30:00"/>
    <s v="Coimbatore"/>
    <n v="1"/>
    <m/>
    <n v="1056"/>
    <n v="13.488636363636363"/>
    <s v="High"/>
    <x v="1"/>
    <x v="7"/>
  </r>
  <r>
    <s v="P11065"/>
    <n v="20250817"/>
    <s v="PL001"/>
    <s v="C002"/>
    <s v="CT003"/>
    <n v="34780"/>
    <n v="47325"/>
    <n v="2384"/>
    <n v="190"/>
    <n v="415"/>
    <n v="300"/>
    <n v="0"/>
    <n v="38"/>
    <d v="1899-12-30T20:00:00"/>
    <s v="Delhi"/>
    <n v="1"/>
    <m/>
    <n v="3289"/>
    <n v="10.574642748555792"/>
    <s v="High"/>
    <x v="1"/>
    <x v="9"/>
  </r>
  <r>
    <s v="P10785"/>
    <n v="20250421"/>
    <s v="PL005"/>
    <s v="C007"/>
    <s v="CT001"/>
    <n v="12469"/>
    <n v="20368"/>
    <n v="762"/>
    <n v="94"/>
    <n v="139"/>
    <n v="25"/>
    <n v="5376"/>
    <n v="164"/>
    <d v="1899-12-30T14:45:00"/>
    <s v="Chennai"/>
    <n v="1"/>
    <m/>
    <n v="1020"/>
    <n v="12.224509803921569"/>
    <s v="High"/>
    <x v="1"/>
    <x v="11"/>
  </r>
  <r>
    <s v="P10457"/>
    <n v="20260129"/>
    <s v="PL005"/>
    <s v="C005"/>
    <s v="CT006"/>
    <n v="2069"/>
    <n v="2529"/>
    <n v="235"/>
    <n v="23"/>
    <n v="34"/>
    <n v="25"/>
    <n v="1249"/>
    <n v="7"/>
    <d v="1899-12-30T15:00:00"/>
    <s v="Chennai"/>
    <n v="1"/>
    <m/>
    <n v="317"/>
    <n v="6.5268138801261832"/>
    <s v="Medium"/>
    <x v="0"/>
    <x v="7"/>
  </r>
  <r>
    <s v="P10565"/>
    <n v="20250227"/>
    <s v="PL004"/>
    <s v="C002"/>
    <s v="CT004"/>
    <n v="20095"/>
    <n v="30574"/>
    <n v="2011"/>
    <n v="240"/>
    <n v="109"/>
    <n v="157"/>
    <n v="8376"/>
    <n v="132"/>
    <d v="1899-12-30T16:30:00"/>
    <s v="Bengaluru"/>
    <n v="1"/>
    <m/>
    <n v="2517"/>
    <n v="7.9837107667858564"/>
    <s v="Medium"/>
    <x v="1"/>
    <x v="1"/>
  </r>
  <r>
    <s v="P11535"/>
    <n v="20251204"/>
    <s v="PL003"/>
    <s v="C001"/>
    <s v="CT005"/>
    <n v="6302"/>
    <n v="10332"/>
    <n v="529"/>
    <n v="62"/>
    <n v="98"/>
    <n v="31"/>
    <n v="0"/>
    <n v="92"/>
    <d v="1899-12-30T21:45:00"/>
    <s v="Coimbatore"/>
    <n v="1"/>
    <m/>
    <n v="720"/>
    <n v="8.7527777777777782"/>
    <s v="Medium"/>
    <x v="1"/>
    <x v="6"/>
  </r>
  <r>
    <s v="P11596"/>
    <n v="20250507"/>
    <s v="PL001"/>
    <s v="C007"/>
    <s v="CT004"/>
    <n v="52179"/>
    <n v="73369"/>
    <n v="2980"/>
    <n v="96"/>
    <n v="572"/>
    <n v="441"/>
    <n v="28538"/>
    <n v="86"/>
    <d v="1899-12-30T12:00:00"/>
    <s v="Chennai"/>
    <n v="1"/>
    <m/>
    <n v="4089"/>
    <n v="12.760821716801173"/>
    <s v="High"/>
    <x v="1"/>
    <x v="10"/>
  </r>
  <r>
    <s v="P11887"/>
    <n v="20260929"/>
    <s v="PL001"/>
    <s v="C007"/>
    <s v="CT001"/>
    <n v="42448"/>
    <n v="65120"/>
    <n v="2436"/>
    <n v="299"/>
    <n v="332"/>
    <n v="239"/>
    <n v="36595"/>
    <n v="103"/>
    <d v="1899-12-30T20:15:00"/>
    <s v="Coimbatore"/>
    <n v="1"/>
    <m/>
    <n v="3306"/>
    <n v="12.839685420447671"/>
    <s v="High"/>
    <x v="0"/>
    <x v="0"/>
  </r>
  <r>
    <s v="P10024"/>
    <n v="20250610"/>
    <s v="PL004"/>
    <s v="C005"/>
    <s v="CT001"/>
    <n v="21470"/>
    <n v="34739"/>
    <n v="1456"/>
    <n v="83"/>
    <n v="121"/>
    <n v="36"/>
    <n v="15000"/>
    <n v="321"/>
    <d v="1899-12-30T21:15:00"/>
    <s v="Madurai"/>
    <n v="1"/>
    <m/>
    <n v="1696"/>
    <n v="12.659198113207546"/>
    <s v="High"/>
    <x v="1"/>
    <x v="4"/>
  </r>
  <r>
    <s v="P11872"/>
    <n v="20260328"/>
    <s v="PL002"/>
    <s v="C007"/>
    <s v="CT004"/>
    <n v="69982"/>
    <n v="78386"/>
    <n v="2887"/>
    <n v="356"/>
    <m/>
    <n v="200"/>
    <n v="62323"/>
    <n v="568"/>
    <d v="1899-12-30T09:45:00"/>
    <s v="Mumbai"/>
    <n v="1"/>
    <m/>
    <n v="3443"/>
    <n v="20.3258785942492"/>
    <s v="High"/>
    <x v="0"/>
    <x v="3"/>
  </r>
  <r>
    <s v="P10586"/>
    <n v="20250916"/>
    <s v="PL003"/>
    <s v="C003"/>
    <s v="CT002"/>
    <n v="23974"/>
    <n v="33137"/>
    <n v="928"/>
    <n v="76"/>
    <n v="155"/>
    <n v="142"/>
    <n v="0"/>
    <n v="262"/>
    <d v="1899-12-30T19:30:00"/>
    <s v="Bengaluru"/>
    <n v="1"/>
    <m/>
    <n v="1301"/>
    <n v="18.427363566487319"/>
    <s v="High"/>
    <x v="1"/>
    <x v="0"/>
  </r>
  <r>
    <s v="P10669"/>
    <n v="20250316"/>
    <s v="PL002"/>
    <s v="C004"/>
    <s v="CT002"/>
    <n v="94212"/>
    <n v="109679"/>
    <n v="10251"/>
    <n v="494"/>
    <n v="1703"/>
    <n v="1613"/>
    <n v="0"/>
    <n v="1518"/>
    <d v="1899-12-30T19:15:00"/>
    <s v="Delhi"/>
    <n v="1"/>
    <m/>
    <n v="14061"/>
    <n v="6.7002346917004481"/>
    <s v="Medium"/>
    <x v="1"/>
    <x v="3"/>
  </r>
  <r>
    <s v="P11472"/>
    <n v="20250409"/>
    <s v="PL001"/>
    <s v="C004"/>
    <s v="CT006"/>
    <n v="34923"/>
    <n v="41851"/>
    <n v="2703"/>
    <n v="297"/>
    <n v="360"/>
    <n v="431"/>
    <n v="28258"/>
    <n v="129"/>
    <d v="1899-12-30T15:45:00"/>
    <s v="Coimbatore"/>
    <n v="1"/>
    <m/>
    <n v="3791"/>
    <n v="9.2120812450540761"/>
    <s v="Medium"/>
    <x v="1"/>
    <x v="11"/>
  </r>
  <r>
    <s v="P10771"/>
    <n v="20250506"/>
    <s v="PL001"/>
    <s v="C004"/>
    <s v="CT001"/>
    <n v="96118"/>
    <n v="158316"/>
    <n v="2855"/>
    <n v="310"/>
    <n v="136"/>
    <n v="368"/>
    <n v="80435"/>
    <n v="1631"/>
    <d v="1899-12-30T17:30:00"/>
    <s v="Chennai"/>
    <n v="1"/>
    <m/>
    <n v="3669"/>
    <n v="26.197328972472064"/>
    <s v="High"/>
    <x v="1"/>
    <x v="10"/>
  </r>
  <r>
    <s v="P10876"/>
    <n v="20251215"/>
    <s v="PL001"/>
    <s v="C004"/>
    <s v="CT003"/>
    <n v="15823"/>
    <n v="21686"/>
    <n v="639"/>
    <n v="41"/>
    <n v="93"/>
    <n v="55"/>
    <n v="0"/>
    <n v="212"/>
    <d v="1899-12-30T09:00:00"/>
    <s v="Chennai"/>
    <n v="1"/>
    <m/>
    <n v="828"/>
    <n v="19.109903381642511"/>
    <s v="High"/>
    <x v="1"/>
    <x v="6"/>
  </r>
  <r>
    <s v="P11793"/>
    <n v="20260817"/>
    <s v="PL001"/>
    <s v="C001"/>
    <s v="CT001"/>
    <n v="18545"/>
    <n v="20611"/>
    <n v="565"/>
    <n v="23"/>
    <n v="100"/>
    <n v="28"/>
    <n v="7160"/>
    <n v="73"/>
    <d v="1899-12-30T08:30:00"/>
    <s v="Coimbatore"/>
    <n v="1"/>
    <m/>
    <n v="716"/>
    <n v="25.900837988826815"/>
    <s v="High"/>
    <x v="0"/>
    <x v="9"/>
  </r>
  <r>
    <s v="P10603"/>
    <n v="20250720"/>
    <s v="PL003"/>
    <s v="C005"/>
    <s v="CT002"/>
    <n v="11347"/>
    <n v="18392"/>
    <n v="667"/>
    <n v="63"/>
    <n v="49"/>
    <n v="42"/>
    <n v="0"/>
    <n v="43"/>
    <d v="1899-12-30T17:15:00"/>
    <s v="Chennai"/>
    <n v="1"/>
    <m/>
    <n v="821"/>
    <n v="13.820950060901341"/>
    <s v="High"/>
    <x v="1"/>
    <x v="2"/>
  </r>
  <r>
    <s v="P10137"/>
    <n v="20260801"/>
    <s v="PL003"/>
    <s v="C007"/>
    <s v="CT004"/>
    <n v="14124"/>
    <n v="16580"/>
    <n v="1325"/>
    <n v="53"/>
    <n v="153"/>
    <n v="122"/>
    <n v="8030"/>
    <n v="55"/>
    <d v="1899-12-30T16:00:00"/>
    <s v="Kolkata"/>
    <n v="1"/>
    <m/>
    <n v="1653"/>
    <n v="8.5444646098003627"/>
    <s v="Medium"/>
    <x v="0"/>
    <x v="9"/>
  </r>
  <r>
    <s v="P11917"/>
    <n v="20260317"/>
    <s v="PL003"/>
    <s v="C002"/>
    <s v="CT004"/>
    <n v="36217"/>
    <n v="51277"/>
    <n v="4074"/>
    <n v="372"/>
    <n v="125"/>
    <n v="250"/>
    <n v="24844"/>
    <n v="151"/>
    <d v="1899-12-30T14:30:00"/>
    <s v="Chennai"/>
    <n v="1"/>
    <m/>
    <n v="4821"/>
    <n v="7.5123418377929889"/>
    <s v="Medium"/>
    <x v="0"/>
    <x v="3"/>
  </r>
  <r>
    <s v="P10860"/>
    <n v="20260223"/>
    <s v="PL005"/>
    <s v="C005"/>
    <s v="CT006"/>
    <n v="7065"/>
    <n v="8496"/>
    <n v="273"/>
    <n v="34"/>
    <n v="19"/>
    <n v="40"/>
    <n v="6008"/>
    <n v="38"/>
    <d v="1899-12-30T21:30:00"/>
    <s v="Hyderabad"/>
    <n v="1"/>
    <m/>
    <n v="366"/>
    <n v="19.303278688524589"/>
    <s v="High"/>
    <x v="0"/>
    <x v="1"/>
  </r>
  <r>
    <s v="P11131"/>
    <n v="20250526"/>
    <s v="PL001"/>
    <s v="C007"/>
    <s v="CT001"/>
    <n v="30331"/>
    <n v="37051"/>
    <n v="2389"/>
    <n v="254"/>
    <n v="114"/>
    <n v="213"/>
    <n v="14872"/>
    <n v="459"/>
    <d v="1899-12-30T12:15:00"/>
    <s v="Chennai"/>
    <n v="1"/>
    <m/>
    <n v="2970"/>
    <n v="10.212457912457912"/>
    <s v="High"/>
    <x v="1"/>
    <x v="10"/>
  </r>
  <r>
    <s v="P10677"/>
    <n v="20260323"/>
    <s v="PL004"/>
    <s v="C006"/>
    <s v="CT001"/>
    <n v="35665"/>
    <n v="49851"/>
    <n v="1537"/>
    <n v="96"/>
    <n v="82"/>
    <n v="173"/>
    <n v="28966"/>
    <n v="104"/>
    <d v="1899-12-30T12:00:00"/>
    <s v="Kochi"/>
    <n v="1"/>
    <m/>
    <n v="1888"/>
    <n v="18.890360169491526"/>
    <s v="High"/>
    <x v="0"/>
    <x v="3"/>
  </r>
  <r>
    <s v="P10316"/>
    <n v="20251119"/>
    <s v="PL003"/>
    <s v="C004"/>
    <s v="CT005"/>
    <n v="5843"/>
    <n v="9330"/>
    <n v="390"/>
    <n v="54"/>
    <n v="56"/>
    <n v="24"/>
    <n v="0"/>
    <n v="23"/>
    <d v="1899-12-30T08:00:00"/>
    <s v="Bengaluru"/>
    <n v="1"/>
    <m/>
    <n v="524"/>
    <n v="11.150763358778626"/>
    <s v="High"/>
    <x v="1"/>
    <x v="8"/>
  </r>
  <r>
    <s v="P11197"/>
    <n v="20260513"/>
    <s v="PL004"/>
    <s v="C003"/>
    <s v="CT006"/>
    <n v="16883"/>
    <n v="19770"/>
    <n v="1272"/>
    <n v="168"/>
    <n v="60"/>
    <n v="174"/>
    <n v="11205"/>
    <n v="236"/>
    <d v="1899-12-30T15:15:00"/>
    <s v="Hyderabad"/>
    <n v="1"/>
    <m/>
    <n v="1674"/>
    <n v="10.08542413381123"/>
    <s v="High"/>
    <x v="0"/>
    <x v="10"/>
  </r>
  <r>
    <s v="P11308"/>
    <n v="20260115"/>
    <s v="PL005"/>
    <s v="C002"/>
    <s v="CT004"/>
    <n v="9717"/>
    <n v="10461"/>
    <n v="676"/>
    <n v="52"/>
    <n v="33"/>
    <n v="100"/>
    <n v="4779"/>
    <n v="15"/>
    <d v="1899-12-30T12:15:00"/>
    <s v="Chennai"/>
    <n v="1"/>
    <m/>
    <n v="861"/>
    <n v="11.285714285714286"/>
    <s v="High"/>
    <x v="0"/>
    <x v="7"/>
  </r>
  <r>
    <s v="P10767"/>
    <n v="20250930"/>
    <s v="PL002"/>
    <s v="C001"/>
    <s v="CT002"/>
    <n v="27540"/>
    <n v="39716"/>
    <n v="2414"/>
    <n v="94"/>
    <n v="352"/>
    <n v="366"/>
    <n v="0"/>
    <n v="69"/>
    <d v="1899-12-30T13:00:00"/>
    <s v="Kolkata"/>
    <n v="1"/>
    <m/>
    <n v="3226"/>
    <n v="8.5368877867327964"/>
    <s v="Medium"/>
    <x v="1"/>
    <x v="0"/>
  </r>
  <r>
    <s v="P10329"/>
    <n v="20260212"/>
    <s v="PL005"/>
    <s v="C001"/>
    <s v="CT001"/>
    <n v="8683"/>
    <n v="12648"/>
    <n v="763"/>
    <n v="80"/>
    <n v="90"/>
    <n v="105"/>
    <n v="4268"/>
    <n v="44"/>
    <d v="1899-12-30T10:15:00"/>
    <s v="Mumbai"/>
    <n v="1"/>
    <m/>
    <n v="1038"/>
    <n v="8.3651252408477834"/>
    <s v="Medium"/>
    <x v="0"/>
    <x v="1"/>
  </r>
  <r>
    <s v="P11674"/>
    <n v="20250612"/>
    <s v="PL003"/>
    <s v="C006"/>
    <s v="CT006"/>
    <n v="24916"/>
    <n v="34541"/>
    <n v="1460"/>
    <n v="154"/>
    <n v="239"/>
    <n v="125"/>
    <n v="19546"/>
    <n v="97"/>
    <d v="1899-12-30T11:45:00"/>
    <s v="Kolkata"/>
    <n v="1"/>
    <m/>
    <n v="1978"/>
    <n v="12.596562184024267"/>
    <s v="High"/>
    <x v="1"/>
    <x v="4"/>
  </r>
  <r>
    <s v="P11392"/>
    <n v="20250617"/>
    <s v="PL005"/>
    <s v="C007"/>
    <s v="CT004"/>
    <n v="7803"/>
    <n v="10732"/>
    <n v="453"/>
    <n v="61"/>
    <n v="89"/>
    <n v="37"/>
    <n v="4892"/>
    <n v="94"/>
    <d v="1899-12-30T22:45:00"/>
    <s v="Mumbai"/>
    <n v="1"/>
    <m/>
    <n v="640"/>
    <n v="12.192187499999999"/>
    <s v="High"/>
    <x v="1"/>
    <x v="4"/>
  </r>
  <r>
    <s v="P11085"/>
    <n v="20250531"/>
    <s v="PL005"/>
    <s v="C003"/>
    <s v="CT003"/>
    <n v="22750"/>
    <n v="33215"/>
    <n v="1849"/>
    <n v="100"/>
    <n v="69"/>
    <n v="170"/>
    <n v="0"/>
    <n v="187"/>
    <d v="1899-12-30T09:00:00"/>
    <s v="Mumbai"/>
    <n v="1"/>
    <m/>
    <n v="2188"/>
    <n v="10.397623400365632"/>
    <s v="High"/>
    <x v="1"/>
    <x v="10"/>
  </r>
  <r>
    <s v="P11207"/>
    <n v="20250213"/>
    <s v="PL001"/>
    <s v="C004"/>
    <s v="CT001"/>
    <n v="35751"/>
    <n v="44764"/>
    <n v="2446"/>
    <n v="67"/>
    <n v="157"/>
    <n v="273"/>
    <n v="26036"/>
    <n v="299"/>
    <d v="1899-12-30T17:30:00"/>
    <s v="Hyderabad"/>
    <n v="1"/>
    <m/>
    <n v="2943"/>
    <n v="12.147808358817533"/>
    <s v="High"/>
    <x v="1"/>
    <x v="1"/>
  </r>
  <r>
    <s v="P11684"/>
    <n v="20250110"/>
    <s v="PL001"/>
    <s v="C007"/>
    <s v="CT002"/>
    <n v="21042"/>
    <n v="26581"/>
    <n v="1760"/>
    <n v="245"/>
    <n v="308"/>
    <n v="221"/>
    <n v="0"/>
    <n v="323"/>
    <d v="1899-12-30T14:45:00"/>
    <s v="Kochi"/>
    <n v="1"/>
    <m/>
    <n v="2534"/>
    <n v="8.3038674033149178"/>
    <s v="Medium"/>
    <x v="1"/>
    <x v="7"/>
  </r>
  <r>
    <s v="P10792"/>
    <n v="20260301"/>
    <s v="PL003"/>
    <s v="C004"/>
    <s v="CT005"/>
    <n v="15999"/>
    <n v="17350"/>
    <n v="1398"/>
    <n v="165"/>
    <n v="90"/>
    <n v="110"/>
    <n v="0"/>
    <n v="30"/>
    <d v="1899-12-30T09:30:00"/>
    <s v="Chennai"/>
    <n v="1"/>
    <m/>
    <n v="1763"/>
    <n v="9.0748723766307435"/>
    <s v="Medium"/>
    <x v="0"/>
    <x v="3"/>
  </r>
  <r>
    <s v="P11012"/>
    <n v="20250304"/>
    <s v="PL005"/>
    <s v="C004"/>
    <s v="CT004"/>
    <n v="8423"/>
    <n v="13649"/>
    <n v="432"/>
    <n v="51"/>
    <n v="39"/>
    <n v="9"/>
    <n v="3122"/>
    <n v="140"/>
    <d v="1899-12-30T17:15:00"/>
    <s v="Coimbatore"/>
    <n v="1"/>
    <m/>
    <n v="531"/>
    <n v="15.862523540489642"/>
    <s v="High"/>
    <x v="1"/>
    <x v="3"/>
  </r>
  <r>
    <s v="P10154"/>
    <n v="20260925"/>
    <s v="PL001"/>
    <s v="C001"/>
    <s v="CT006"/>
    <n v="4901"/>
    <n v="8017"/>
    <n v="372"/>
    <n v="39"/>
    <n v="65"/>
    <n v="12"/>
    <n v="3795"/>
    <n v="67"/>
    <d v="1899-12-30T08:30:00"/>
    <s v="Hyderabad"/>
    <n v="1"/>
    <m/>
    <n v="488"/>
    <n v="10.043032786885245"/>
    <s v="High"/>
    <x v="0"/>
    <x v="0"/>
  </r>
  <r>
    <s v="P11846"/>
    <n v="20260509"/>
    <s v="PL001"/>
    <s v="C005"/>
    <s v="CT002"/>
    <n v="21407"/>
    <n v="26926"/>
    <n v="1554"/>
    <n v="169"/>
    <n v="249"/>
    <n v="86"/>
    <n v="0"/>
    <n v="37"/>
    <d v="1899-12-30T18:45:00"/>
    <m/>
    <n v="1"/>
    <m/>
    <n v="2058"/>
    <n v="10.401846452866861"/>
    <s v="High"/>
    <x v="0"/>
    <x v="10"/>
  </r>
  <r>
    <s v="P10521"/>
    <n v="20250713"/>
    <s v="PL004"/>
    <s v="C003"/>
    <s v="CT001"/>
    <n v="5655"/>
    <n v="8148"/>
    <n v="324"/>
    <n v="26"/>
    <n v="29"/>
    <n v="7"/>
    <n v="4641"/>
    <n v="8"/>
    <d v="1899-12-30T09:00:00"/>
    <s v="Hyderabad"/>
    <n v="1"/>
    <m/>
    <n v="386"/>
    <n v="14.650259067357513"/>
    <s v="High"/>
    <x v="1"/>
    <x v="2"/>
  </r>
  <r>
    <s v="P11895"/>
    <n v="20260615"/>
    <s v="PL005"/>
    <s v="C004"/>
    <s v="CT004"/>
    <n v="10250"/>
    <n v="14356"/>
    <n v="719"/>
    <n v="74"/>
    <n v="118"/>
    <n v="82"/>
    <n v="8978"/>
    <n v="10"/>
    <d v="1899-12-30T12:30:00"/>
    <s v="Kochi"/>
    <n v="1"/>
    <m/>
    <n v="993"/>
    <n v="10.322255790533736"/>
    <s v="High"/>
    <x v="0"/>
    <x v="4"/>
  </r>
  <r>
    <s v="P10293"/>
    <n v="20260422"/>
    <s v="PL004"/>
    <s v="C007"/>
    <s v="CT001"/>
    <n v="16045"/>
    <n v="20237"/>
    <n v="551"/>
    <n v="22"/>
    <n v="54"/>
    <n v="42"/>
    <n v="7104"/>
    <n v="23"/>
    <d v="1899-12-30T22:45:00"/>
    <s v="Pune"/>
    <n v="1"/>
    <m/>
    <n v="669"/>
    <n v="23.98355754857997"/>
    <s v="High"/>
    <x v="0"/>
    <x v="11"/>
  </r>
  <r>
    <s v="P10069"/>
    <n v="20250611"/>
    <s v="PL005"/>
    <s v="C005"/>
    <s v="CT003"/>
    <n v="4328"/>
    <n v="5981"/>
    <n v="446"/>
    <n v="52"/>
    <n v="25"/>
    <n v="55"/>
    <n v="0"/>
    <n v="42"/>
    <d v="1899-12-30T21:45:00"/>
    <s v="Madurai"/>
    <n v="1"/>
    <m/>
    <n v="578"/>
    <n v="7.4878892733564015"/>
    <s v="Medium"/>
    <x v="1"/>
    <x v="4"/>
  </r>
  <r>
    <s v="P11848"/>
    <n v="20250605"/>
    <s v="PL005"/>
    <s v="C003"/>
    <s v="CT006"/>
    <n v="7567"/>
    <n v="11228"/>
    <n v="632"/>
    <n v="47"/>
    <n v="68"/>
    <n v="33"/>
    <n v="3459"/>
    <n v="120"/>
    <d v="1899-12-30T09:30:00"/>
    <s v="Hyderabad"/>
    <n v="1"/>
    <m/>
    <n v="780"/>
    <n v="9.7012820512820515"/>
    <s v="Medium"/>
    <x v="1"/>
    <x v="4"/>
  </r>
  <r>
    <s v="P11010"/>
    <n v="20250626"/>
    <s v="PL003"/>
    <s v="C006"/>
    <s v="CT004"/>
    <n v="56781"/>
    <n v="63785"/>
    <n v="3479"/>
    <n v="266"/>
    <n v="611"/>
    <n v="423"/>
    <n v="29293"/>
    <n v="59"/>
    <d v="1899-12-30T22:30:00"/>
    <s v="Chennai"/>
    <n v="1"/>
    <m/>
    <n v="4779"/>
    <n v="11.881355932203389"/>
    <s v="High"/>
    <x v="1"/>
    <x v="4"/>
  </r>
  <r>
    <s v="P11318"/>
    <n v="20260725"/>
    <s v="PL003"/>
    <s v="C002"/>
    <s v="CT004"/>
    <n v="44272"/>
    <n v="72501"/>
    <n v="4075"/>
    <n v="292"/>
    <n v="393"/>
    <n v="400"/>
    <n v="22123"/>
    <n v="479"/>
    <d v="1899-12-30T19:30:00"/>
    <s v="Delhi"/>
    <n v="1"/>
    <m/>
    <n v="5160"/>
    <n v="8.57984496124031"/>
    <s v="Medium"/>
    <x v="0"/>
    <x v="2"/>
  </r>
  <r>
    <s v="P11512"/>
    <n v="20250718"/>
    <s v="PL001"/>
    <s v="C001"/>
    <s v="CT001"/>
    <n v="28298"/>
    <n v="30337"/>
    <n v="741"/>
    <n v="46"/>
    <n v="68"/>
    <n v="46"/>
    <n v="24463"/>
    <n v="240"/>
    <d v="1899-12-30T21:00:00"/>
    <s v="Pune"/>
    <n v="1"/>
    <m/>
    <n v="901"/>
    <n v="31.407325194228633"/>
    <s v="High"/>
    <x v="1"/>
    <x v="2"/>
  </r>
  <r>
    <s v="P10997"/>
    <n v="20250316"/>
    <s v="PL005"/>
    <s v="C005"/>
    <s v="CT004"/>
    <n v="21472"/>
    <n v="30233"/>
    <n v="1963"/>
    <n v="159"/>
    <n v="138"/>
    <n v="131"/>
    <n v="13822"/>
    <n v="103"/>
    <d v="1899-12-30T10:30:00"/>
    <s v="Mumbai"/>
    <n v="1"/>
    <m/>
    <n v="2391"/>
    <n v="8.9803429527394396"/>
    <s v="Medium"/>
    <x v="1"/>
    <x v="3"/>
  </r>
  <r>
    <s v="P11454"/>
    <n v="20250729"/>
    <s v="PL002"/>
    <s v="C004"/>
    <s v="CT002"/>
    <n v="43747"/>
    <n v="48854"/>
    <n v="3725"/>
    <n v="518"/>
    <n v="555"/>
    <n v="583"/>
    <n v="0"/>
    <n v="546"/>
    <d v="1899-12-30T09:30:00"/>
    <s v="Madurai"/>
    <n v="1"/>
    <m/>
    <n v="5381"/>
    <n v="8.129901505296413"/>
    <s v="Medium"/>
    <x v="1"/>
    <x v="2"/>
  </r>
  <r>
    <s v="P11985"/>
    <n v="20260922"/>
    <s v="PL001"/>
    <s v="C003"/>
    <s v="CT001"/>
    <n v="39026"/>
    <n v="57706"/>
    <n v="1254"/>
    <n v="44"/>
    <n v="73"/>
    <n v="147"/>
    <n v="31163"/>
    <n v="53"/>
    <d v="1899-12-30T08:15:00"/>
    <s v="Coimbatore"/>
    <n v="1"/>
    <m/>
    <n v="1518"/>
    <n v="25.708827404479578"/>
    <s v="High"/>
    <x v="0"/>
    <x v="0"/>
  </r>
  <r>
    <s v="P11411"/>
    <n v="20251229"/>
    <s v="PL001"/>
    <s v="C001"/>
    <s v="CT006"/>
    <n v="7433"/>
    <n v="10608"/>
    <n v="542"/>
    <m/>
    <n v="69"/>
    <n v="25"/>
    <n v="4446"/>
    <n v="109"/>
    <d v="1899-12-30T17:15:00"/>
    <s v="Delhi"/>
    <n v="1"/>
    <m/>
    <n v="636"/>
    <n v="11.687106918238994"/>
    <s v="High"/>
    <x v="1"/>
    <x v="6"/>
  </r>
  <r>
    <s v="P11934"/>
    <n v="20251015"/>
    <s v="PL005"/>
    <s v="C004"/>
    <s v="CT004"/>
    <n v="15875"/>
    <n v="19882"/>
    <n v="1897"/>
    <n v="212"/>
    <n v="292"/>
    <n v="295"/>
    <n v="6984"/>
    <n v="277"/>
    <d v="1899-12-30T15:00:00"/>
    <s v="Bengaluru"/>
    <n v="1"/>
    <m/>
    <n v="2696"/>
    <n v="5.8883531157270026"/>
    <s v="Medium"/>
    <x v="1"/>
    <x v="5"/>
  </r>
  <r>
    <s v="P11468"/>
    <n v="20260427"/>
    <s v="PL001"/>
    <s v="C006"/>
    <s v="CT003"/>
    <n v="11407"/>
    <n v="16714"/>
    <n v="1089"/>
    <n v="34"/>
    <n v="58"/>
    <n v="142"/>
    <n v="0"/>
    <n v="23"/>
    <d v="1899-12-30T20:15:00"/>
    <s v="Delhi"/>
    <n v="1"/>
    <m/>
    <n v="1323"/>
    <n v="8.6220710506424787"/>
    <s v="Medium"/>
    <x v="0"/>
    <x v="11"/>
  </r>
  <r>
    <s v="P10559"/>
    <n v="20250710"/>
    <s v="PL001"/>
    <s v="C005"/>
    <s v="CT001"/>
    <n v="17993"/>
    <n v="25932"/>
    <n v="902"/>
    <n v="27"/>
    <n v="68"/>
    <n v="102"/>
    <n v="8932"/>
    <n v="249"/>
    <d v="1899-12-30T10:45:00"/>
    <s v="Kolkata"/>
    <n v="1"/>
    <m/>
    <n v="1099"/>
    <n v="16.372156505914468"/>
    <s v="High"/>
    <x v="1"/>
    <x v="2"/>
  </r>
  <r>
    <s v="P11023"/>
    <n v="20251226"/>
    <s v="PL004"/>
    <s v="C003"/>
    <s v="CT004"/>
    <n v="12531"/>
    <n v="13213"/>
    <n v="515"/>
    <n v="35"/>
    <n v="36"/>
    <n v="59"/>
    <n v="6963"/>
    <n v="56"/>
    <d v="1899-12-30T08:15:00"/>
    <s v="Bengaluru"/>
    <n v="1"/>
    <m/>
    <n v="645"/>
    <n v="19.427906976744186"/>
    <s v="High"/>
    <x v="1"/>
    <x v="6"/>
  </r>
  <r>
    <s v="P10612"/>
    <n v="20250110"/>
    <s v="PL003"/>
    <s v="C002"/>
    <s v="CT006"/>
    <n v="11685"/>
    <n v="15612"/>
    <n v="436"/>
    <n v="28"/>
    <n v="84"/>
    <n v="53"/>
    <n v="10476"/>
    <n v="183"/>
    <d v="1899-12-30T13:45:00"/>
    <s v="Chennai"/>
    <n v="1"/>
    <m/>
    <n v="601"/>
    <n v="19.442595673876873"/>
    <s v="High"/>
    <x v="1"/>
    <x v="7"/>
  </r>
  <r>
    <s v="P10986"/>
    <n v="20260307"/>
    <s v="PL003"/>
    <s v="C001"/>
    <s v="CT006"/>
    <n v="24935"/>
    <n v="41048"/>
    <n v="2838"/>
    <n v="387"/>
    <n v="338"/>
    <n v="210"/>
    <n v="11569"/>
    <n v="391"/>
    <d v="1899-12-30T19:00:00"/>
    <s v="Pune"/>
    <n v="1"/>
    <m/>
    <n v="3773"/>
    <n v="6.6087993639014044"/>
    <s v="Medium"/>
    <x v="0"/>
    <x v="3"/>
  </r>
  <r>
    <s v="P10796"/>
    <n v="20251116"/>
    <s v="PL002"/>
    <s v="C003"/>
    <s v="CT006"/>
    <n v="17588"/>
    <n v="28058"/>
    <n v="580"/>
    <n v="24"/>
    <n v="82"/>
    <n v="40"/>
    <n v="6929"/>
    <n v="288"/>
    <d v="1899-12-30T11:30:00"/>
    <s v="Chennai"/>
    <n v="1"/>
    <m/>
    <n v="726"/>
    <n v="24.225895316804408"/>
    <s v="High"/>
    <x v="1"/>
    <x v="8"/>
  </r>
  <r>
    <s v="P11862"/>
    <n v="20260809"/>
    <s v="PL001"/>
    <s v="C006"/>
    <s v="CT006"/>
    <n v="23442"/>
    <n v="36685"/>
    <n v="1628"/>
    <n v="186"/>
    <n v="235"/>
    <n v="208"/>
    <n v="18436"/>
    <n v="194"/>
    <d v="1899-12-30T16:15:00"/>
    <s v="Hyderabad"/>
    <n v="1"/>
    <m/>
    <n v="2257"/>
    <n v="10.386353566681436"/>
    <s v="High"/>
    <x v="0"/>
    <x v="9"/>
  </r>
  <r>
    <s v="P11831"/>
    <n v="20260303"/>
    <s v="PL001"/>
    <s v="C001"/>
    <s v="CT005"/>
    <n v="22483"/>
    <n v="27840"/>
    <n v="2297"/>
    <n v="194"/>
    <n v="285"/>
    <n v="51"/>
    <n v="0"/>
    <n v="310"/>
    <d v="1899-12-30T22:15:00"/>
    <s v="Bengaluru"/>
    <n v="1"/>
    <m/>
    <n v="2827"/>
    <n v="7.9529536611248677"/>
    <s v="Medium"/>
    <x v="0"/>
    <x v="3"/>
  </r>
  <r>
    <s v="P10011"/>
    <n v="20251127"/>
    <s v="PL003"/>
    <s v="C004"/>
    <s v="CT003"/>
    <n v="23927"/>
    <n v="30523"/>
    <n v="2310"/>
    <n v="192"/>
    <n v="170"/>
    <n v="285"/>
    <n v="0"/>
    <n v="278"/>
    <d v="1899-12-30T10:30:00"/>
    <s v="Kolkata"/>
    <n v="1"/>
    <m/>
    <n v="2957"/>
    <n v="8.091646939465674"/>
    <s v="Medium"/>
    <x v="1"/>
    <x v="8"/>
  </r>
  <r>
    <s v="P11155"/>
    <n v="20250510"/>
    <s v="PL003"/>
    <s v="C001"/>
    <s v="CT005"/>
    <n v="15413"/>
    <n v="23429"/>
    <n v="1009"/>
    <n v="50"/>
    <n v="44"/>
    <n v="156"/>
    <n v="0"/>
    <n v="27"/>
    <d v="1899-12-30T07:15:00"/>
    <s v="Chennai"/>
    <n v="1"/>
    <m/>
    <n v="1259"/>
    <n v="12.242255758538523"/>
    <s v="High"/>
    <x v="1"/>
    <x v="10"/>
  </r>
  <r>
    <s v="P11730"/>
    <n v="20251102"/>
    <s v="PL004"/>
    <s v="C005"/>
    <s v="CT001"/>
    <n v="32518"/>
    <n v="38619"/>
    <n v="3820"/>
    <n v="454"/>
    <n v="412"/>
    <n v="609"/>
    <n v="21459"/>
    <n v="192"/>
    <d v="1899-12-30T15:45:00"/>
    <s v="Kolkata"/>
    <n v="1"/>
    <m/>
    <n v="5295"/>
    <n v="6.1412653446647782"/>
    <s v="Medium"/>
    <x v="1"/>
    <x v="8"/>
  </r>
  <r>
    <s v="P10649"/>
    <n v="20250203"/>
    <s v="PL001"/>
    <s v="C003"/>
    <s v="CT003"/>
    <n v="16051"/>
    <n v="23643"/>
    <n v="753"/>
    <n v="99"/>
    <n v="96"/>
    <n v="53"/>
    <n v="0"/>
    <n v="21"/>
    <d v="1899-12-30T22:00:00"/>
    <s v="Delhi"/>
    <n v="1"/>
    <m/>
    <n v="1001"/>
    <n v="16.034965034965033"/>
    <s v="High"/>
    <x v="1"/>
    <x v="1"/>
  </r>
  <r>
    <s v="P11826"/>
    <n v="20250212"/>
    <s v="PL004"/>
    <s v="C001"/>
    <s v="CT002"/>
    <n v="9097"/>
    <n v="12687"/>
    <n v="246"/>
    <n v="18"/>
    <n v="28"/>
    <n v="22"/>
    <n v="0"/>
    <n v="152"/>
    <d v="1899-12-30T16:15:00"/>
    <m/>
    <n v="1"/>
    <m/>
    <n v="314"/>
    <n v="28.971337579617835"/>
    <s v="High"/>
    <x v="1"/>
    <x v="1"/>
  </r>
  <r>
    <s v="P10513"/>
    <n v="20250910"/>
    <s v="PL002"/>
    <s v="C003"/>
    <s v="CT003"/>
    <n v="204612"/>
    <n v="298740"/>
    <n v="14544"/>
    <n v="606"/>
    <n v="2538"/>
    <n v="2246"/>
    <n v="0"/>
    <n v="3184"/>
    <d v="1899-12-30T22:45:00"/>
    <s v="Bengaluru"/>
    <n v="1"/>
    <m/>
    <n v="19934"/>
    <n v="10.264472760108358"/>
    <s v="High"/>
    <x v="1"/>
    <x v="0"/>
  </r>
  <r>
    <s v="P10983"/>
    <n v="20250101"/>
    <s v="PL001"/>
    <s v="C003"/>
    <s v="CT005"/>
    <n v="22244"/>
    <n v="24049"/>
    <n v="2413"/>
    <n v="195"/>
    <n v="390"/>
    <n v="320"/>
    <n v="0"/>
    <n v="149"/>
    <d v="1899-12-30T17:00:00"/>
    <s v="Hyderabad"/>
    <n v="1"/>
    <m/>
    <n v="3318"/>
    <n v="6.7040385774562994"/>
    <s v="Medium"/>
    <x v="1"/>
    <x v="7"/>
  </r>
  <r>
    <s v="P10755"/>
    <n v="20250103"/>
    <s v="PL003"/>
    <s v="C006"/>
    <s v="CT006"/>
    <n v="9845"/>
    <n v="14696"/>
    <n v="708"/>
    <n v="87"/>
    <n v="128"/>
    <n v="107"/>
    <n v="5443"/>
    <n v="143"/>
    <d v="1899-12-30T08:30:00"/>
    <s v="Kochi"/>
    <n v="1"/>
    <m/>
    <n v="1030"/>
    <n v="9.5582524271844669"/>
    <s v="Medium"/>
    <x v="1"/>
    <x v="7"/>
  </r>
  <r>
    <s v="P10602"/>
    <n v="20250525"/>
    <s v="PL005"/>
    <s v="C004"/>
    <s v="CT001"/>
    <n v="12830"/>
    <n v="16200"/>
    <n v="969"/>
    <n v="69"/>
    <n v="171"/>
    <n v="36"/>
    <n v="7714"/>
    <n v="80"/>
    <d v="1899-12-30T17:45:00"/>
    <s v="Mumbai"/>
    <n v="1"/>
    <m/>
    <n v="1245"/>
    <n v="10.305220883534137"/>
    <s v="High"/>
    <x v="1"/>
    <x v="10"/>
  </r>
  <r>
    <s v="P11959"/>
    <n v="20250728"/>
    <s v="PL005"/>
    <s v="C007"/>
    <s v="CT003"/>
    <n v="19958"/>
    <n v="27033"/>
    <n v="1111"/>
    <n v="51"/>
    <n v="220"/>
    <n v="127"/>
    <n v="0"/>
    <n v="300"/>
    <d v="1899-12-30T17:15:00"/>
    <s v="Madurai"/>
    <n v="1"/>
    <m/>
    <n v="1509"/>
    <n v="13.225977468522201"/>
    <s v="High"/>
    <x v="1"/>
    <x v="2"/>
  </r>
  <r>
    <s v="P11840"/>
    <n v="20251120"/>
    <s v="PL002"/>
    <s v="C007"/>
    <s v="CT006"/>
    <n v="47236"/>
    <n v="63556"/>
    <n v="2148"/>
    <n v="144"/>
    <n v="79"/>
    <n v="223"/>
    <n v="39458"/>
    <n v="192"/>
    <d v="1899-12-30T16:00:00"/>
    <s v="Pune"/>
    <n v="1"/>
    <m/>
    <n v="2594"/>
    <n v="18.209714726291441"/>
    <s v="High"/>
    <x v="1"/>
    <x v="8"/>
  </r>
  <r>
    <s v="P11370"/>
    <n v="20250625"/>
    <s v="PL004"/>
    <s v="C004"/>
    <s v="CT006"/>
    <n v="8598"/>
    <n v="11714"/>
    <n v="917"/>
    <n v="106"/>
    <n v="33"/>
    <n v="39"/>
    <n v="3158"/>
    <n v="56"/>
    <d v="1899-12-30T13:00:00"/>
    <s v="Delhi"/>
    <n v="1"/>
    <m/>
    <n v="1095"/>
    <n v="7.8520547945205479"/>
    <s v="Medium"/>
    <x v="1"/>
    <x v="4"/>
  </r>
  <r>
    <s v="P10138"/>
    <n v="20260711"/>
    <s v="PL003"/>
    <s v="C006"/>
    <s v="CT003"/>
    <n v="16835"/>
    <n v="18792"/>
    <n v="1834"/>
    <n v="207"/>
    <n v="343"/>
    <n v="136"/>
    <n v="0"/>
    <n v="297"/>
    <d v="1899-12-30T12:15:00"/>
    <s v="Coimbatore"/>
    <n v="1"/>
    <m/>
    <n v="2520"/>
    <n v="6.6805555555555554"/>
    <s v="Medium"/>
    <x v="0"/>
    <x v="2"/>
  </r>
  <r>
    <s v="P11165"/>
    <n v="20250706"/>
    <s v="PL003"/>
    <s v="C001"/>
    <s v="CT005"/>
    <n v="16355"/>
    <n v="20490"/>
    <n v="1010"/>
    <n v="42"/>
    <n v="177"/>
    <n v="36"/>
    <n v="0"/>
    <n v="178"/>
    <d v="1899-12-30T10:30:00"/>
    <s v="Bengaluru"/>
    <n v="1"/>
    <m/>
    <n v="1265"/>
    <n v="12.928853754940711"/>
    <s v="High"/>
    <x v="1"/>
    <x v="2"/>
  </r>
  <r>
    <s v="P10552"/>
    <n v="20260401"/>
    <s v="PL001"/>
    <s v="C002"/>
    <s v="CT001"/>
    <n v="57794"/>
    <n v="81189"/>
    <n v="4261"/>
    <n v="457"/>
    <n v="249"/>
    <n v="208"/>
    <n v="24887"/>
    <n v="300"/>
    <d v="1899-12-30T09:30:00"/>
    <s v="Madurai"/>
    <n v="1"/>
    <m/>
    <n v="5175"/>
    <n v="11.167922705314009"/>
    <s v="High"/>
    <x v="0"/>
    <x v="11"/>
  </r>
  <r>
    <s v="P11017"/>
    <n v="20251227"/>
    <s v="PL001"/>
    <s v="C006"/>
    <s v="CT001"/>
    <n v="16751"/>
    <n v="19717"/>
    <n v="628"/>
    <n v="35"/>
    <n v="91"/>
    <n v="39"/>
    <n v="12921"/>
    <n v="241"/>
    <d v="1899-12-30T15:15:00"/>
    <s v="Kochi"/>
    <n v="1"/>
    <m/>
    <n v="793"/>
    <n v="21.123581336696091"/>
    <s v="High"/>
    <x v="1"/>
    <x v="6"/>
  </r>
  <r>
    <s v="P11703"/>
    <n v="20260924"/>
    <s v="PL005"/>
    <s v="C006"/>
    <s v="CT002"/>
    <n v="30094"/>
    <n v="37421"/>
    <n v="2332"/>
    <n v="121"/>
    <n v="81"/>
    <n v="174"/>
    <n v="0"/>
    <n v="388"/>
    <d v="1899-12-30T14:15:00"/>
    <s v="Delhi"/>
    <n v="1"/>
    <m/>
    <n v="2708"/>
    <n v="11.112998522895126"/>
    <s v="High"/>
    <x v="0"/>
    <x v="0"/>
  </r>
  <r>
    <s v="P10713"/>
    <n v="20260207"/>
    <s v="PL001"/>
    <s v="C002"/>
    <s v="CT005"/>
    <n v="17174"/>
    <n v="18435"/>
    <n v="2046"/>
    <n v="143"/>
    <n v="203"/>
    <n v="69"/>
    <n v="0"/>
    <n v="128"/>
    <d v="1899-12-30T12:45:00"/>
    <s v="Chennai"/>
    <n v="1"/>
    <m/>
    <n v="2461"/>
    <n v="6.9784640390085331"/>
    <s v="Medium"/>
    <x v="0"/>
    <x v="1"/>
  </r>
  <r>
    <s v="P10944"/>
    <n v="20260919"/>
    <s v="PL003"/>
    <m/>
    <s v="CT002"/>
    <n v="33232"/>
    <n v="46404"/>
    <n v="2146"/>
    <n v="298"/>
    <n v="195"/>
    <n v="340"/>
    <n v="0"/>
    <n v="50"/>
    <d v="1899-12-30T15:00:00"/>
    <s v="Kolkata"/>
    <n v="1"/>
    <m/>
    <n v="2979"/>
    <n v="11.155421282309501"/>
    <s v="High"/>
    <x v="0"/>
    <x v="0"/>
  </r>
  <r>
    <s v="P11935"/>
    <n v="20250616"/>
    <s v="PL002"/>
    <s v="C002"/>
    <s v="CT003"/>
    <n v="30267"/>
    <n v="43691"/>
    <n v="1324"/>
    <n v="174"/>
    <n v="199"/>
    <n v="170"/>
    <n v="0"/>
    <n v="120"/>
    <d v="1899-12-30T11:30:00"/>
    <s v="Hyderabad"/>
    <n v="1"/>
    <m/>
    <n v="1867"/>
    <n v="16.211569362613819"/>
    <s v="High"/>
    <x v="1"/>
    <x v="4"/>
  </r>
  <r>
    <s v="P11977"/>
    <n v="20260204"/>
    <s v="PL001"/>
    <s v="C004"/>
    <s v="CT003"/>
    <n v="24538"/>
    <n v="27725"/>
    <n v="1460"/>
    <n v="57"/>
    <n v="179"/>
    <n v="101"/>
    <n v="0"/>
    <n v="273"/>
    <d v="1899-12-30T11:00:00"/>
    <s v="Bengaluru"/>
    <n v="1"/>
    <m/>
    <n v="1797"/>
    <n v="13.654980523094046"/>
    <s v="High"/>
    <x v="0"/>
    <x v="1"/>
  </r>
  <r>
    <s v="P10979"/>
    <n v="20251212"/>
    <s v="PL002"/>
    <s v="C001"/>
    <s v="CT004"/>
    <n v="104606"/>
    <n v="161260"/>
    <n v="5843"/>
    <n v="633"/>
    <n v="728"/>
    <n v="862"/>
    <n v="74029"/>
    <n v="639"/>
    <d v="1899-12-30T10:00:00"/>
    <s v="Pune"/>
    <n v="1"/>
    <m/>
    <n v="8066"/>
    <n v="12.968757748574262"/>
    <s v="High"/>
    <x v="1"/>
    <x v="6"/>
  </r>
  <r>
    <s v="P10946"/>
    <n v="20251010"/>
    <s v="PL004"/>
    <s v="C007"/>
    <s v="CT004"/>
    <n v="26511"/>
    <n v="39981"/>
    <n v="2338"/>
    <n v="140"/>
    <n v="106"/>
    <n v="161"/>
    <n v="12472"/>
    <n v="177"/>
    <d v="1899-12-30T22:15:00"/>
    <s v="Delhi"/>
    <n v="1"/>
    <m/>
    <n v="2745"/>
    <n v="9.6579234972677597"/>
    <s v="Medium"/>
    <x v="1"/>
    <x v="5"/>
  </r>
  <r>
    <s v="P11635"/>
    <n v="20250907"/>
    <s v="PL002"/>
    <s v="C002"/>
    <s v="CT003"/>
    <n v="52872"/>
    <n v="63404"/>
    <n v="3832"/>
    <n v="176"/>
    <n v="248"/>
    <n v="405"/>
    <n v="0"/>
    <n v="883"/>
    <d v="1899-12-30T07:45:00"/>
    <s v="Kolkata"/>
    <n v="1"/>
    <m/>
    <n v="4661"/>
    <n v="11.343488521776443"/>
    <s v="High"/>
    <x v="1"/>
    <x v="0"/>
  </r>
  <r>
    <s v="P10105"/>
    <n v="20250202"/>
    <s v="PL005"/>
    <s v="C007"/>
    <s v="CT002"/>
    <n v="4417"/>
    <n v="5412"/>
    <n v="232"/>
    <n v="29"/>
    <n v="13"/>
    <n v="21"/>
    <n v="0"/>
    <n v="75"/>
    <d v="1899-12-30T12:45:00"/>
    <s v="Kochi"/>
    <n v="1"/>
    <m/>
    <n v="295"/>
    <n v="14.972881355932204"/>
    <s v="High"/>
    <x v="1"/>
    <x v="1"/>
  </r>
  <r>
    <s v="P10508"/>
    <n v="20250823"/>
    <s v="PL002"/>
    <s v="C002"/>
    <s v="CT006"/>
    <n v="19289"/>
    <n v="21398"/>
    <n v="1011"/>
    <n v="91"/>
    <n v="130"/>
    <n v="120"/>
    <n v="12565"/>
    <n v="262"/>
    <d v="1899-12-30T11:30:00"/>
    <s v="Kochi"/>
    <n v="1"/>
    <m/>
    <n v="1352"/>
    <n v="14.267011834319527"/>
    <s v="High"/>
    <x v="1"/>
    <x v="9"/>
  </r>
  <r>
    <s v="P11957"/>
    <n v="20250621"/>
    <s v="PL004"/>
    <s v="C005"/>
    <s v="CT006"/>
    <n v="9907"/>
    <n v="12770"/>
    <n v="580"/>
    <n v="32"/>
    <n v="54"/>
    <n v="68"/>
    <n v="5686"/>
    <n v="114"/>
    <d v="1899-12-30T09:15:00"/>
    <s v="Coimbatore"/>
    <n v="1"/>
    <m/>
    <n v="734"/>
    <n v="13.497275204359672"/>
    <s v="High"/>
    <x v="1"/>
    <x v="4"/>
  </r>
  <r>
    <s v="P10273"/>
    <n v="20251231"/>
    <s v="PL003"/>
    <s v="C003"/>
    <s v="CT005"/>
    <n v="15809"/>
    <n v="19979"/>
    <n v="1721"/>
    <n v="129"/>
    <n v="243"/>
    <n v="185"/>
    <n v="0"/>
    <n v="271"/>
    <d v="1899-12-30T14:00:00"/>
    <s v="Kolkata"/>
    <n v="1"/>
    <m/>
    <n v="2278"/>
    <n v="6.9398595258999123"/>
    <s v="Medium"/>
    <x v="1"/>
    <x v="6"/>
  </r>
  <r>
    <s v="P11888"/>
    <n v="20260807"/>
    <s v="PL002"/>
    <s v="C007"/>
    <s v="CT006"/>
    <n v="15046"/>
    <n v="21438"/>
    <n v="655"/>
    <n v="74"/>
    <m/>
    <n v="50"/>
    <n v="10495"/>
    <n v="172"/>
    <d v="1899-12-30T13:45:00"/>
    <s v="Madurai"/>
    <n v="1"/>
    <m/>
    <n v="779"/>
    <n v="19.314505776636715"/>
    <s v="High"/>
    <x v="0"/>
    <x v="9"/>
  </r>
  <r>
    <s v="P10509"/>
    <n v="20260811"/>
    <s v="PL002"/>
    <s v="C002"/>
    <s v="CT006"/>
    <n v="21060"/>
    <n v="27589"/>
    <n v="2004"/>
    <n v="175"/>
    <n v="69"/>
    <n v="263"/>
    <n v="8483"/>
    <n v="304"/>
    <d v="1899-12-30T09:45:00"/>
    <s v="Madurai"/>
    <n v="1"/>
    <m/>
    <n v="2511"/>
    <n v="8.387096774193548"/>
    <s v="Medium"/>
    <x v="0"/>
    <x v="9"/>
  </r>
  <r>
    <s v="P10822"/>
    <n v="20250104"/>
    <s v="PL005"/>
    <s v="C004"/>
    <s v="CT006"/>
    <n v="9574"/>
    <n v="15063"/>
    <n v="692"/>
    <n v="52"/>
    <n v="87"/>
    <n v="74"/>
    <n v="5517"/>
    <n v="130"/>
    <d v="1899-12-30T07:15:00"/>
    <s v="Bengaluru"/>
    <n v="1"/>
    <m/>
    <n v="905"/>
    <n v="10.579005524861879"/>
    <s v="High"/>
    <x v="1"/>
    <x v="7"/>
  </r>
  <r>
    <s v="P10074"/>
    <n v="20260407"/>
    <s v="PL001"/>
    <s v="C007"/>
    <s v="CT001"/>
    <n v="27177"/>
    <n v="36714"/>
    <n v="1568"/>
    <n v="217"/>
    <n v="205"/>
    <n v="81"/>
    <n v="23481"/>
    <n v="190"/>
    <d v="1899-12-30T22:15:00"/>
    <s v="Bengaluru"/>
    <n v="1"/>
    <m/>
    <n v="2071"/>
    <n v="13.122646064703043"/>
    <s v="High"/>
    <x v="0"/>
    <x v="11"/>
  </r>
  <r>
    <s v="P10427"/>
    <n v="20260905"/>
    <s v="PL001"/>
    <s v="C007"/>
    <s v="CT003"/>
    <n v="5385"/>
    <n v="6324"/>
    <n v="645"/>
    <n v="23"/>
    <n v="22"/>
    <n v="92"/>
    <n v="0"/>
    <n v="81"/>
    <d v="1899-12-30T15:00:00"/>
    <s v="Mumbai"/>
    <n v="1"/>
    <m/>
    <n v="782"/>
    <n v="6.8861892583120206"/>
    <s v="Medium"/>
    <x v="0"/>
    <x v="0"/>
  </r>
  <r>
    <s v="P11921"/>
    <n v="20260820"/>
    <s v="PL002"/>
    <s v="C004"/>
    <s v="CT006"/>
    <n v="33855"/>
    <n v="37742"/>
    <n v="3417"/>
    <n v="380"/>
    <n v="418"/>
    <n v="350"/>
    <n v="16005"/>
    <n v="423"/>
    <d v="1899-12-30T20:30:00"/>
    <s v="Chennai"/>
    <n v="1"/>
    <m/>
    <n v="4565"/>
    <n v="7.4162102957283684"/>
    <s v="Medium"/>
    <x v="0"/>
    <x v="9"/>
  </r>
  <r>
    <s v="P10912"/>
    <n v="20260515"/>
    <s v="PL004"/>
    <s v="C004"/>
    <s v="CT002"/>
    <n v="7062"/>
    <n v="11224"/>
    <n v="801"/>
    <n v="44"/>
    <n v="113"/>
    <n v="121"/>
    <n v="0"/>
    <n v="96"/>
    <d v="1899-12-30T15:15:00"/>
    <s v="Pune"/>
    <n v="1"/>
    <m/>
    <n v="1079"/>
    <n v="6.5449490268767381"/>
    <s v="Medium"/>
    <x v="0"/>
    <x v="10"/>
  </r>
  <r>
    <s v="P11899"/>
    <n v="20250721"/>
    <s v="PL002"/>
    <s v="C004"/>
    <s v="CT002"/>
    <n v="24340"/>
    <n v="31227"/>
    <n v="2280"/>
    <n v="258"/>
    <n v="237"/>
    <n v="233"/>
    <n v="0"/>
    <n v="325"/>
    <d v="1899-12-30T11:00:00"/>
    <s v="Pune"/>
    <n v="1"/>
    <m/>
    <n v="3008"/>
    <n v="8.0917553191489358"/>
    <s v="Medium"/>
    <x v="1"/>
    <x v="2"/>
  </r>
  <r>
    <s v="P11400"/>
    <n v="20250619"/>
    <s v="PL001"/>
    <s v="C007"/>
    <s v="CT003"/>
    <n v="22500"/>
    <n v="27222"/>
    <n v="1125"/>
    <n v="75"/>
    <n v="78"/>
    <n v="93"/>
    <n v="0"/>
    <n v="238"/>
    <d v="1899-12-30T15:00:00"/>
    <s v="Mumbai"/>
    <n v="1"/>
    <m/>
    <n v="1371"/>
    <n v="16.411378555798688"/>
    <s v="High"/>
    <x v="1"/>
    <x v="4"/>
  </r>
  <r>
    <s v="P11768"/>
    <n v="20250527"/>
    <s v="PL003"/>
    <s v="C004"/>
    <s v="CT002"/>
    <n v="14598"/>
    <n v="19122"/>
    <n v="579"/>
    <n v="32"/>
    <n v="84"/>
    <n v="28"/>
    <n v="0"/>
    <n v="33"/>
    <d v="1899-12-30T15:30:00"/>
    <s v="Chennai"/>
    <n v="1"/>
    <m/>
    <n v="723"/>
    <n v="20.190871369294605"/>
    <s v="High"/>
    <x v="1"/>
    <x v="10"/>
  </r>
  <r>
    <s v="P10862"/>
    <n v="20250405"/>
    <s v="PL005"/>
    <s v="C003"/>
    <s v="CT003"/>
    <n v="20693"/>
    <n v="30972"/>
    <n v="1425"/>
    <n v="160"/>
    <n v="43"/>
    <n v="196"/>
    <n v="0"/>
    <n v="184"/>
    <d v="1899-12-30T21:15:00"/>
    <s v="Pune"/>
    <n v="1"/>
    <m/>
    <n v="1824"/>
    <n v="11.34484649122807"/>
    <s v="High"/>
    <x v="1"/>
    <x v="11"/>
  </r>
  <r>
    <s v="P11415"/>
    <n v="20251222"/>
    <s v="PL003"/>
    <s v="C004"/>
    <s v="CT004"/>
    <n v="21422"/>
    <n v="33267"/>
    <n v="1705"/>
    <n v="117"/>
    <n v="317"/>
    <n v="103"/>
    <n v="16975"/>
    <n v="83"/>
    <d v="1899-12-30T07:00:00"/>
    <s v="Madurai"/>
    <n v="1"/>
    <m/>
    <n v="2242"/>
    <n v="9.5548617305976808"/>
    <s v="Medium"/>
    <x v="1"/>
    <x v="6"/>
  </r>
  <r>
    <s v="P11146"/>
    <n v="20250617"/>
    <s v="PL003"/>
    <s v="C002"/>
    <s v="CT002"/>
    <n v="13854"/>
    <n v="15519"/>
    <n v="716"/>
    <n v="71"/>
    <n v="37"/>
    <n v="81"/>
    <n v="0"/>
    <n v="149"/>
    <d v="1899-12-30T20:45:00"/>
    <s v="Bengaluru"/>
    <n v="1"/>
    <m/>
    <n v="905"/>
    <n v="15.308287292817679"/>
    <s v="High"/>
    <x v="1"/>
    <x v="4"/>
  </r>
  <r>
    <s v="P11437"/>
    <n v="20260216"/>
    <s v="PL002"/>
    <s v="C005"/>
    <s v="CT005"/>
    <n v="40813"/>
    <n v="48838"/>
    <n v="4062"/>
    <n v="534"/>
    <n v="403"/>
    <n v="272"/>
    <n v="0"/>
    <n v="129"/>
    <d v="1899-12-30T19:15:00"/>
    <s v="Kolkata"/>
    <n v="1"/>
    <m/>
    <n v="5271"/>
    <n v="7.7429330297856191"/>
    <s v="Medium"/>
    <x v="0"/>
    <x v="1"/>
  </r>
  <r>
    <s v="P10964"/>
    <n v="20251222"/>
    <s v="PL004"/>
    <s v="C006"/>
    <s v="CT001"/>
    <n v="20266"/>
    <n v="27737"/>
    <n v="1991"/>
    <n v="73"/>
    <n v="168"/>
    <n v="141"/>
    <n v="15361"/>
    <n v="175"/>
    <d v="1899-12-30T15:30:00"/>
    <s v="Hyderabad"/>
    <n v="1"/>
    <m/>
    <n v="2373"/>
    <n v="8.5402444163506104"/>
    <s v="Medium"/>
    <x v="1"/>
    <x v="6"/>
  </r>
  <r>
    <s v="P11382"/>
    <n v="20250425"/>
    <s v="PL002"/>
    <s v="C007"/>
    <s v="CT003"/>
    <n v="61000"/>
    <n v="95797"/>
    <n v="6354"/>
    <n v="479"/>
    <n v="1081"/>
    <n v="833"/>
    <n v="0"/>
    <n v="836"/>
    <d v="1899-12-30T16:45:00"/>
    <s v="Bengaluru"/>
    <n v="1"/>
    <m/>
    <n v="8747"/>
    <n v="6.9738195952898137"/>
    <s v="Medium"/>
    <x v="1"/>
    <x v="11"/>
  </r>
  <r>
    <s v="P11329"/>
    <n v="20260521"/>
    <s v="PL004"/>
    <s v="C002"/>
    <s v="CT001"/>
    <n v="11066"/>
    <n v="14075"/>
    <n v="997"/>
    <n v="29"/>
    <n v="118"/>
    <n v="140"/>
    <n v="4165"/>
    <n v="42"/>
    <d v="1899-12-30T22:00:00"/>
    <s v="Bengaluru"/>
    <n v="1"/>
    <m/>
    <n v="1284"/>
    <n v="8.6183800623052953"/>
    <s v="Medium"/>
    <x v="0"/>
    <x v="10"/>
  </r>
  <r>
    <s v="P11421"/>
    <n v="20260609"/>
    <s v="PL004"/>
    <s v="C002"/>
    <s v="CT003"/>
    <n v="5499"/>
    <n v="8044"/>
    <n v="383"/>
    <n v="16"/>
    <n v="65"/>
    <n v="29"/>
    <n v="0"/>
    <n v="35"/>
    <d v="1899-12-30T08:45:00"/>
    <s v="Chennai"/>
    <n v="1"/>
    <m/>
    <n v="493"/>
    <n v="11.154158215010142"/>
    <s v="High"/>
    <x v="0"/>
    <x v="4"/>
  </r>
  <r>
    <s v="P10606"/>
    <n v="20260701"/>
    <s v="PL003"/>
    <s v="C002"/>
    <s v="CT004"/>
    <n v="50954"/>
    <n v="74895"/>
    <n v="3964"/>
    <n v="275"/>
    <n v="182"/>
    <n v="524"/>
    <n v="19722"/>
    <n v="745"/>
    <d v="1899-12-30T16:15:00"/>
    <s v="Bengaluru"/>
    <n v="1"/>
    <m/>
    <n v="4945"/>
    <n v="10.304145601617796"/>
    <s v="High"/>
    <x v="0"/>
    <x v="2"/>
  </r>
  <r>
    <s v="P11464"/>
    <n v="20250320"/>
    <s v="PL001"/>
    <s v="C005"/>
    <s v="CT004"/>
    <n v="41477"/>
    <n v="53153"/>
    <n v="2401"/>
    <n v="107"/>
    <n v="384"/>
    <n v="358"/>
    <n v="18908"/>
    <n v="562"/>
    <d v="1899-12-30T19:30:00"/>
    <s v="Mumbai"/>
    <n v="1"/>
    <m/>
    <n v="3250"/>
    <n v="12.762153846153845"/>
    <s v="High"/>
    <x v="1"/>
    <x v="3"/>
  </r>
  <r>
    <s v="P10337"/>
    <n v="20260416"/>
    <s v="PL004"/>
    <s v="C006"/>
    <s v="CT001"/>
    <n v="13557"/>
    <n v="19901"/>
    <n v="443"/>
    <n v="58"/>
    <n v="14"/>
    <n v="20"/>
    <n v="5635"/>
    <n v="87"/>
    <d v="1899-12-30T11:30:00"/>
    <s v="Hyderabad"/>
    <n v="1"/>
    <m/>
    <n v="535"/>
    <n v="25.340186915887852"/>
    <s v="High"/>
    <x v="0"/>
    <x v="11"/>
  </r>
  <r>
    <s v="P10676"/>
    <n v="20260311"/>
    <s v="PL005"/>
    <s v="C004"/>
    <s v="CT006"/>
    <n v="13289"/>
    <n v="20851"/>
    <n v="451"/>
    <n v="37"/>
    <n v="90"/>
    <n v="44"/>
    <n v="11748"/>
    <n v="85"/>
    <d v="1899-12-30T19:45:00"/>
    <s v="Mumbai"/>
    <n v="1"/>
    <m/>
    <n v="622"/>
    <n v="21.364951768488744"/>
    <s v="High"/>
    <x v="0"/>
    <x v="3"/>
  </r>
  <r>
    <s v="P11483"/>
    <n v="20260623"/>
    <s v="PL005"/>
    <s v="C005"/>
    <s v="CT001"/>
    <n v="18093"/>
    <n v="28023"/>
    <n v="685"/>
    <n v="20"/>
    <n v="118"/>
    <n v="51"/>
    <n v="10408"/>
    <n v="68"/>
    <d v="1899-12-30T12:00:00"/>
    <s v="Bengaluru"/>
    <n v="1"/>
    <m/>
    <n v="874"/>
    <n v="20.701372997711669"/>
    <s v="High"/>
    <x v="0"/>
    <x v="4"/>
  </r>
  <r>
    <s v="P10894"/>
    <n v="20260610"/>
    <s v="PL003"/>
    <s v="C007"/>
    <s v="CT002"/>
    <n v="31344"/>
    <n v="34283"/>
    <n v="2860"/>
    <n v="241"/>
    <n v="366"/>
    <n v="203"/>
    <n v="0"/>
    <n v="415"/>
    <d v="1899-12-30T12:15:00"/>
    <s v="Mumbai"/>
    <n v="1"/>
    <m/>
    <n v="3670"/>
    <n v="8.5405994550408728"/>
    <s v="Medium"/>
    <x v="0"/>
    <x v="4"/>
  </r>
  <r>
    <s v="P10147"/>
    <n v="20260418"/>
    <s v="PL004"/>
    <s v="C007"/>
    <s v="CT003"/>
    <n v="6493"/>
    <n v="8546"/>
    <n v="422"/>
    <n v="35"/>
    <n v="47"/>
    <n v="47"/>
    <n v="0"/>
    <n v="48"/>
    <d v="1899-12-30T21:45:00"/>
    <s v="Madurai"/>
    <n v="1"/>
    <m/>
    <n v="551"/>
    <n v="11.784029038112523"/>
    <s v="High"/>
    <x v="0"/>
    <x v="11"/>
  </r>
  <r>
    <s v="P11839"/>
    <n v="20250220"/>
    <s v="PL001"/>
    <s v="C007"/>
    <s v="CT004"/>
    <n v="130299"/>
    <n v="192827"/>
    <n v="13915"/>
    <n v="395"/>
    <n v="610"/>
    <n v="1676"/>
    <n v="98763"/>
    <n v="1958"/>
    <d v="1899-12-30T13:00:00"/>
    <s v="Kolkata"/>
    <n v="1"/>
    <m/>
    <n v="16596"/>
    <n v="7.8512292118582794"/>
    <s v="Medium"/>
    <x v="1"/>
    <x v="1"/>
  </r>
  <r>
    <s v="P11243"/>
    <n v="20260107"/>
    <s v="PL004"/>
    <s v="C001"/>
    <s v="CT004"/>
    <n v="5164"/>
    <n v="7528"/>
    <n v="617"/>
    <n v="80"/>
    <n v="86"/>
    <n v="32"/>
    <n v="3025"/>
    <n v="85"/>
    <d v="1899-12-30T10:15:00"/>
    <s v="Delhi"/>
    <n v="1"/>
    <m/>
    <n v="815"/>
    <n v="6.3361963190184047"/>
    <s v="Medium"/>
    <x v="0"/>
    <x v="7"/>
  </r>
  <r>
    <s v="P11694"/>
    <n v="20251109"/>
    <s v="PL001"/>
    <s v="C004"/>
    <s v="CT001"/>
    <n v="33093"/>
    <n v="41314"/>
    <n v="2307"/>
    <n v="110"/>
    <n v="442"/>
    <n v="100"/>
    <n v="17758"/>
    <n v="409"/>
    <d v="1899-12-30T09:15:00"/>
    <s v="Bengaluru"/>
    <n v="1"/>
    <m/>
    <n v="2959"/>
    <n v="11.183845893883069"/>
    <s v="High"/>
    <x v="1"/>
    <x v="8"/>
  </r>
  <r>
    <s v="P10030"/>
    <n v="20260420"/>
    <s v="PL004"/>
    <s v="C006"/>
    <s v="CT002"/>
    <n v="17422"/>
    <n v="25486"/>
    <n v="1975"/>
    <n v="70"/>
    <n v="303"/>
    <n v="128"/>
    <n v="0"/>
    <n v="124"/>
    <d v="1899-12-30T13:30:00"/>
    <s v="Bengaluru"/>
    <n v="1"/>
    <m/>
    <n v="2476"/>
    <n v="7.0363489499192244"/>
    <s v="Medium"/>
    <x v="0"/>
    <x v="11"/>
  </r>
  <r>
    <s v="P10292"/>
    <n v="20250607"/>
    <s v="PL002"/>
    <s v="C006"/>
    <s v="CT006"/>
    <n v="18223"/>
    <n v="19703"/>
    <n v="1916"/>
    <n v="186"/>
    <n v="164"/>
    <n v="236"/>
    <n v="9857"/>
    <n v="114"/>
    <d v="1899-12-30T22:30:00"/>
    <s v="Kochi"/>
    <n v="1"/>
    <m/>
    <n v="2502"/>
    <n v="7.283373301358913"/>
    <s v="Medium"/>
    <x v="1"/>
    <x v="4"/>
  </r>
  <r>
    <s v="P11488"/>
    <n v="20251030"/>
    <s v="PL004"/>
    <s v="C004"/>
    <s v="CT001"/>
    <n v="22848"/>
    <n v="24989"/>
    <n v="2532"/>
    <n v="326"/>
    <n v="363"/>
    <n v="311"/>
    <n v="8747"/>
    <n v="117"/>
    <d v="1899-12-30T20:00:00"/>
    <s v="Madurai"/>
    <n v="1"/>
    <m/>
    <n v="3532"/>
    <n v="6.4688561721404305"/>
    <s v="Medium"/>
    <x v="1"/>
    <x v="5"/>
  </r>
  <r>
    <s v="P11461"/>
    <n v="20250107"/>
    <s v="PL003"/>
    <s v="C001"/>
    <s v="CT006"/>
    <n v="11008"/>
    <n v="13927"/>
    <n v="341"/>
    <n v="45"/>
    <n v="41"/>
    <n v="48"/>
    <n v="7137"/>
    <n v="190"/>
    <d v="1899-12-30T19:00:00"/>
    <s v="Coimbatore"/>
    <n v="1"/>
    <m/>
    <n v="475"/>
    <n v="23.174736842105265"/>
    <s v="High"/>
    <x v="1"/>
    <x v="7"/>
  </r>
  <r>
    <s v="P10790"/>
    <n v="20260818"/>
    <s v="PL001"/>
    <s v="C005"/>
    <s v="CT002"/>
    <n v="38816"/>
    <n v="54870"/>
    <n v="2063"/>
    <n v="137"/>
    <n v="262"/>
    <n v="293"/>
    <n v="0"/>
    <n v="139"/>
    <d v="1899-12-30T16:30:00"/>
    <s v="Chennai"/>
    <n v="1"/>
    <m/>
    <n v="2755"/>
    <n v="14.089292196007259"/>
    <s v="High"/>
    <x v="0"/>
    <x v="9"/>
  </r>
  <r>
    <s v="P11814"/>
    <n v="20250326"/>
    <s v="PL003"/>
    <s v="C007"/>
    <s v="CT002"/>
    <n v="13298"/>
    <n v="18650"/>
    <n v="1317"/>
    <n v="137"/>
    <n v="60"/>
    <n v="99"/>
    <n v="0"/>
    <n v="194"/>
    <d v="1899-12-30T21:00:00"/>
    <s v="Bengaluru"/>
    <n v="1"/>
    <m/>
    <n v="1613"/>
    <n v="8.2442653440793556"/>
    <s v="Medium"/>
    <x v="1"/>
    <x v="3"/>
  </r>
  <r>
    <s v="P11484"/>
    <n v="20260117"/>
    <s v="PL003"/>
    <s v="C003"/>
    <s v="CT001"/>
    <n v="38838"/>
    <n v="41717"/>
    <n v="3985"/>
    <m/>
    <n v="581"/>
    <n v="87"/>
    <n v="25643"/>
    <n v="106"/>
    <d v="1899-12-30T11:15:00"/>
    <s v="Kochi"/>
    <n v="1"/>
    <m/>
    <n v="4653"/>
    <n v="8.3468729851708581"/>
    <s v="Medium"/>
    <x v="0"/>
    <x v="7"/>
  </r>
  <r>
    <s v="P10501"/>
    <n v="20250705"/>
    <s v="PL002"/>
    <s v="C002"/>
    <s v="CT001"/>
    <n v="17665"/>
    <n v="23469"/>
    <n v="1170"/>
    <n v="76"/>
    <n v="221"/>
    <n v="30"/>
    <n v="14713"/>
    <n v="205"/>
    <d v="1899-12-30T11:45:00"/>
    <s v="Chennai"/>
    <n v="1"/>
    <m/>
    <n v="1497"/>
    <n v="11.800267201068804"/>
    <s v="High"/>
    <x v="1"/>
    <x v="2"/>
  </r>
  <r>
    <s v="P10849"/>
    <n v="20250110"/>
    <s v="PL005"/>
    <s v="C002"/>
    <s v="CT002"/>
    <n v="5671"/>
    <n v="7849"/>
    <n v="164"/>
    <n v="22"/>
    <n v="12"/>
    <n v="18"/>
    <n v="0"/>
    <n v="42"/>
    <d v="1899-12-30T18:00:00"/>
    <s v="Chennai"/>
    <n v="1"/>
    <m/>
    <n v="216"/>
    <n v="26.25462962962963"/>
    <s v="High"/>
    <x v="1"/>
    <x v="7"/>
  </r>
  <r>
    <s v="P11502"/>
    <n v="20260623"/>
    <s v="PL001"/>
    <s v="C001"/>
    <s v="CT001"/>
    <n v="40517"/>
    <n v="64067"/>
    <n v="2709"/>
    <n v="297"/>
    <n v="503"/>
    <n v="228"/>
    <n v="33468"/>
    <n v="500"/>
    <d v="1899-12-30T08:45:00"/>
    <s v="Madurai"/>
    <n v="1"/>
    <m/>
    <n v="3737"/>
    <n v="10.842119347069842"/>
    <s v="High"/>
    <x v="0"/>
    <x v="4"/>
  </r>
  <r>
    <s v="P10310"/>
    <n v="20250913"/>
    <s v="PL004"/>
    <s v="C003"/>
    <s v="CT001"/>
    <n v="18598"/>
    <n v="21719"/>
    <n v="1991"/>
    <n v="85"/>
    <n v="312"/>
    <n v="118"/>
    <n v="14648"/>
    <n v="86"/>
    <d v="1899-12-30T10:00:00"/>
    <s v="Mumbai"/>
    <n v="1"/>
    <m/>
    <n v="2506"/>
    <n v="7.4213886671987233"/>
    <s v="Medium"/>
    <x v="1"/>
    <x v="0"/>
  </r>
  <r>
    <s v="P10170"/>
    <n v="20260718"/>
    <s v="PL002"/>
    <s v="C006"/>
    <s v="CT003"/>
    <n v="19110"/>
    <n v="27319"/>
    <n v="2024"/>
    <n v="165"/>
    <n v="375"/>
    <n v="245"/>
    <n v="0"/>
    <n v="43"/>
    <d v="1899-12-30T20:00:00"/>
    <s v="Kolkata"/>
    <n v="1"/>
    <m/>
    <n v="2809"/>
    <n v="6.8031327874688499"/>
    <s v="Medium"/>
    <x v="0"/>
    <x v="2"/>
  </r>
  <r>
    <s v="P10077"/>
    <n v="20251204"/>
    <s v="PL003"/>
    <s v="C004"/>
    <s v="CT001"/>
    <n v="17658"/>
    <n v="28740"/>
    <n v="2020"/>
    <n v="226"/>
    <n v="132"/>
    <n v="59"/>
    <n v="14624"/>
    <n v="30"/>
    <d v="1899-12-30T19:15:00"/>
    <s v="Pune"/>
    <n v="1"/>
    <m/>
    <n v="2437"/>
    <n v="7.2457940090274926"/>
    <s v="Medium"/>
    <x v="1"/>
    <x v="6"/>
  </r>
  <r>
    <s v="P11387"/>
    <n v="20251016"/>
    <s v="PL002"/>
    <s v="C005"/>
    <s v="CT004"/>
    <n v="106854"/>
    <n v="157613"/>
    <n v="9540"/>
    <n v="1306"/>
    <n v="651"/>
    <n v="710"/>
    <n v="84868"/>
    <n v="876"/>
    <d v="1899-12-30T22:45:00"/>
    <s v="Madurai"/>
    <n v="1"/>
    <m/>
    <n v="12207"/>
    <n v="8.7535020889653481"/>
    <s v="Medium"/>
    <x v="1"/>
    <x v="5"/>
  </r>
  <r>
    <s v="P10577"/>
    <n v="20250216"/>
    <s v="PL002"/>
    <s v="C005"/>
    <s v="CT002"/>
    <n v="87441"/>
    <n v="117734"/>
    <n v="7041"/>
    <n v="293"/>
    <n v="1107"/>
    <n v="989"/>
    <n v="0"/>
    <n v="326"/>
    <d v="1899-12-30T12:15:00"/>
    <s v="Kochi"/>
    <n v="1"/>
    <m/>
    <n v="9430"/>
    <n v="9.2726405090137867"/>
    <s v="Medium"/>
    <x v="1"/>
    <x v="1"/>
  </r>
  <r>
    <s v="P11356"/>
    <n v="20250714"/>
    <s v="PL004"/>
    <s v="C004"/>
    <s v="CT001"/>
    <n v="15514"/>
    <n v="22645"/>
    <n v="625"/>
    <n v="18"/>
    <n v="87"/>
    <n v="22"/>
    <n v="12964"/>
    <n v="36"/>
    <d v="1899-12-30T12:45:00"/>
    <s v="Kochi"/>
    <n v="1"/>
    <m/>
    <n v="752"/>
    <n v="20.63031914893617"/>
    <s v="High"/>
    <x v="1"/>
    <x v="2"/>
  </r>
  <r>
    <s v="P10972"/>
    <n v="20250129"/>
    <s v="PL005"/>
    <s v="C004"/>
    <s v="CT005"/>
    <n v="5753"/>
    <n v="6756"/>
    <n v="659"/>
    <n v="42"/>
    <n v="121"/>
    <n v="36"/>
    <n v="0"/>
    <n v="61"/>
    <d v="1899-12-30T17:45:00"/>
    <s v="Chennai"/>
    <n v="1"/>
    <m/>
    <n v="858"/>
    <n v="6.7051282051282053"/>
    <s v="Medium"/>
    <x v="1"/>
    <x v="7"/>
  </r>
  <r>
    <s v="P11776"/>
    <n v="20260729"/>
    <s v="PL003"/>
    <m/>
    <s v="CT004"/>
    <n v="9245"/>
    <n v="13258"/>
    <n v="427"/>
    <n v="42"/>
    <n v="41"/>
    <n v="27"/>
    <n v="5192"/>
    <n v="91"/>
    <d v="1899-12-30T13:45:00"/>
    <s v="Kolkata"/>
    <n v="1"/>
    <m/>
    <n v="537"/>
    <n v="17.216014897579143"/>
    <s v="High"/>
    <x v="0"/>
    <x v="2"/>
  </r>
  <r>
    <s v="P11592"/>
    <n v="20251110"/>
    <s v="PL002"/>
    <s v="C001"/>
    <s v="CT003"/>
    <n v="25324"/>
    <n v="30275"/>
    <n v="1620"/>
    <n v="146"/>
    <n v="260"/>
    <n v="65"/>
    <n v="0"/>
    <n v="301"/>
    <d v="1899-12-30T15:15:00"/>
    <s v="Hyderabad"/>
    <n v="1"/>
    <m/>
    <n v="2091"/>
    <n v="12.110951697752272"/>
    <s v="High"/>
    <x v="1"/>
    <x v="8"/>
  </r>
  <r>
    <s v="P11431"/>
    <n v="20260412"/>
    <s v="PL004"/>
    <s v="C004"/>
    <s v="CT001"/>
    <n v="5390"/>
    <n v="8368"/>
    <n v="461"/>
    <n v="58"/>
    <n v="62"/>
    <n v="60"/>
    <n v="4685"/>
    <n v="52"/>
    <d v="1899-12-30T11:00:00"/>
    <s v="Pune"/>
    <n v="1"/>
    <m/>
    <n v="641"/>
    <n v="8.408736349453978"/>
    <s v="Medium"/>
    <x v="0"/>
    <x v="11"/>
  </r>
  <r>
    <s v="P10345"/>
    <n v="20250530"/>
    <s v="PL004"/>
    <s v="C001"/>
    <s v="CT003"/>
    <n v="11295"/>
    <n v="13895"/>
    <n v="976"/>
    <n v="58"/>
    <n v="145"/>
    <n v="25"/>
    <n v="0"/>
    <n v="192"/>
    <d v="1899-12-30T20:00:00"/>
    <s v="Coimbatore"/>
    <n v="1"/>
    <m/>
    <n v="1204"/>
    <n v="9.381229235880399"/>
    <s v="Medium"/>
    <x v="1"/>
    <x v="10"/>
  </r>
  <r>
    <s v="P10163"/>
    <n v="20260109"/>
    <s v="PL001"/>
    <s v="C002"/>
    <s v="CT001"/>
    <n v="28013"/>
    <n v="45306"/>
    <n v="1366"/>
    <n v="186"/>
    <n v="270"/>
    <n v="45"/>
    <n v="20275"/>
    <n v="109"/>
    <d v="1899-12-30T10:30:00"/>
    <s v="Delhi"/>
    <n v="1"/>
    <m/>
    <n v="1867"/>
    <n v="15.004284949116229"/>
    <s v="High"/>
    <x v="0"/>
    <x v="7"/>
  </r>
  <r>
    <s v="P11062"/>
    <n v="20251124"/>
    <s v="PL003"/>
    <s v="C006"/>
    <s v="CT003"/>
    <n v="19260"/>
    <n v="20735"/>
    <n v="568"/>
    <n v="40"/>
    <n v="98"/>
    <n v="43"/>
    <n v="0"/>
    <n v="305"/>
    <d v="1899-12-30T21:15:00"/>
    <s v="Chennai"/>
    <n v="1"/>
    <m/>
    <n v="749"/>
    <n v="25.714285714285715"/>
    <s v="High"/>
    <x v="1"/>
    <x v="8"/>
  </r>
  <r>
    <s v="P11618"/>
    <n v="20260321"/>
    <s v="PL003"/>
    <s v="C004"/>
    <s v="CT003"/>
    <n v="20640"/>
    <n v="23941"/>
    <n v="2265"/>
    <n v="292"/>
    <n v="280"/>
    <n v="265"/>
    <n v="0"/>
    <n v="170"/>
    <d v="1899-12-30T17:30:00"/>
    <s v="Kochi"/>
    <n v="1"/>
    <m/>
    <n v="3102"/>
    <n v="6.653771760154739"/>
    <s v="Medium"/>
    <x v="0"/>
    <x v="3"/>
  </r>
  <r>
    <s v="P11171"/>
    <n v="20260210"/>
    <s v="PL005"/>
    <s v="C007"/>
    <s v="CT002"/>
    <n v="17840"/>
    <n v="19162"/>
    <n v="557"/>
    <n v="62"/>
    <n v="23"/>
    <n v="31"/>
    <n v="0"/>
    <n v="285"/>
    <d v="1899-12-30T09:30:00"/>
    <s v="Hyderabad"/>
    <n v="1"/>
    <m/>
    <n v="673"/>
    <n v="26.508172362555722"/>
    <s v="High"/>
    <x v="0"/>
    <x v="1"/>
  </r>
  <r>
    <s v="P11144"/>
    <n v="20250127"/>
    <s v="PL001"/>
    <s v="C004"/>
    <s v="CT002"/>
    <n v="7973"/>
    <n v="11734"/>
    <n v="330"/>
    <n v="31"/>
    <n v="34"/>
    <n v="9"/>
    <n v="0"/>
    <n v="89"/>
    <d v="1899-12-30T21:45:00"/>
    <s v="Coimbatore"/>
    <n v="1"/>
    <m/>
    <n v="404"/>
    <n v="19.735148514851485"/>
    <s v="High"/>
    <x v="1"/>
    <x v="7"/>
  </r>
  <r>
    <s v="P11534"/>
    <n v="20251116"/>
    <s v="PL001"/>
    <s v="C001"/>
    <s v="CT006"/>
    <n v="17244"/>
    <n v="20076"/>
    <n v="449"/>
    <n v="47"/>
    <n v="83"/>
    <n v="49"/>
    <n v="14870"/>
    <n v="154"/>
    <d v="1899-12-30T14:00:00"/>
    <s v="Mumbai"/>
    <n v="1"/>
    <m/>
    <n v="628"/>
    <n v="27.458598726114651"/>
    <s v="High"/>
    <x v="1"/>
    <x v="8"/>
  </r>
  <r>
    <s v="P11633"/>
    <n v="20260909"/>
    <s v="PL005"/>
    <s v="C002"/>
    <s v="CT001"/>
    <n v="12115"/>
    <n v="18563"/>
    <n v="659"/>
    <n v="36"/>
    <n v="76"/>
    <n v="65"/>
    <n v="6047"/>
    <n v="150"/>
    <d v="1899-12-30T17:30:00"/>
    <s v="Kolkata"/>
    <n v="1"/>
    <m/>
    <n v="836"/>
    <n v="14.491626794258373"/>
    <s v="High"/>
    <x v="0"/>
    <x v="0"/>
  </r>
  <r>
    <s v="P10542"/>
    <n v="20250401"/>
    <s v="PL005"/>
    <s v="C004"/>
    <s v="CT006"/>
    <n v="2690"/>
    <n v="3412"/>
    <n v="227"/>
    <n v="18"/>
    <n v="15"/>
    <n v="22"/>
    <n v="1609"/>
    <n v="18"/>
    <d v="1899-12-30T10:15:00"/>
    <s v="Chennai"/>
    <n v="1"/>
    <m/>
    <n v="282"/>
    <n v="9.539007092198581"/>
    <s v="Medium"/>
    <x v="1"/>
    <x v="11"/>
  </r>
  <r>
    <s v="P10733"/>
    <n v="20251216"/>
    <s v="PL005"/>
    <s v="C005"/>
    <s v="CT004"/>
    <n v="14886"/>
    <n v="16029"/>
    <n v="778"/>
    <n v="41"/>
    <n v="37"/>
    <n v="79"/>
    <n v="6804"/>
    <n v="114"/>
    <d v="1899-12-30T18:00:00"/>
    <s v="Coimbatore"/>
    <n v="1"/>
    <m/>
    <n v="935"/>
    <n v="15.920855614973261"/>
    <s v="High"/>
    <x v="1"/>
    <x v="6"/>
  </r>
  <r>
    <s v="P10910"/>
    <n v="20260708"/>
    <s v="PL003"/>
    <s v="C004"/>
    <s v="CT006"/>
    <n v="48161"/>
    <n v="56738"/>
    <n v="4192"/>
    <n v="477"/>
    <n v="451"/>
    <n v="190"/>
    <n v="20837"/>
    <n v="674"/>
    <d v="1899-12-30T22:45:00"/>
    <s v="Coimbatore"/>
    <n v="1"/>
    <m/>
    <n v="5310"/>
    <n v="9.0698681732580031"/>
    <s v="Medium"/>
    <x v="0"/>
    <x v="2"/>
  </r>
  <r>
    <s v="P11332"/>
    <n v="20250223"/>
    <s v="PL001"/>
    <s v="C004"/>
    <s v="CT002"/>
    <n v="16382"/>
    <n v="18701"/>
    <n v="1067"/>
    <n v="147"/>
    <n v="140"/>
    <n v="22"/>
    <n v="0"/>
    <n v="76"/>
    <d v="1899-12-30T13:45:00"/>
    <s v="Mumbai"/>
    <n v="1"/>
    <m/>
    <n v="1376"/>
    <n v="11.905523255813954"/>
    <s v="High"/>
    <x v="1"/>
    <x v="1"/>
  </r>
  <r>
    <s v="P10700"/>
    <n v="20250421"/>
    <s v="PL001"/>
    <s v="C007"/>
    <s v="CT004"/>
    <n v="43150"/>
    <n v="69388"/>
    <n v="2027"/>
    <n v="173"/>
    <n v="182"/>
    <n v="80"/>
    <n v="25361"/>
    <n v="591"/>
    <d v="1899-12-30T21:30:00"/>
    <s v="Delhi"/>
    <n v="1"/>
    <m/>
    <n v="2462"/>
    <n v="17.526401299756294"/>
    <s v="High"/>
    <x v="1"/>
    <x v="11"/>
  </r>
  <r>
    <s v="P11672"/>
    <n v="20250128"/>
    <s v="PL001"/>
    <s v="C005"/>
    <s v="CT002"/>
    <n v="16630"/>
    <n v="21638"/>
    <n v="1181"/>
    <n v="93"/>
    <n v="194"/>
    <n v="119"/>
    <n v="0"/>
    <n v="58"/>
    <d v="1899-12-30T07:45:00"/>
    <s v="Pune"/>
    <n v="1"/>
    <m/>
    <n v="1587"/>
    <n v="10.478890989287965"/>
    <s v="High"/>
    <x v="1"/>
    <x v="7"/>
  </r>
  <r>
    <s v="P10166"/>
    <n v="20250821"/>
    <s v="PL005"/>
    <s v="C004"/>
    <s v="CT004"/>
    <n v="13038"/>
    <n v="14699"/>
    <n v="1228"/>
    <n v="102"/>
    <n v="174"/>
    <n v="191"/>
    <n v="6493"/>
    <n v="137"/>
    <d v="1899-12-30T19:45:00"/>
    <s v="Coimbatore"/>
    <n v="1"/>
    <m/>
    <n v="1695"/>
    <n v="7.6920353982300886"/>
    <s v="Medium"/>
    <x v="1"/>
    <x v="9"/>
  </r>
  <r>
    <s v="P11665"/>
    <n v="20260915"/>
    <s v="PL001"/>
    <s v="C003"/>
    <s v="CT003"/>
    <n v="16797"/>
    <n v="18136"/>
    <n v="551"/>
    <n v="51"/>
    <n v="103"/>
    <n v="85"/>
    <n v="0"/>
    <n v="118"/>
    <d v="1899-12-30T18:15:00"/>
    <s v="Mumbai"/>
    <n v="1"/>
    <m/>
    <n v="790"/>
    <n v="21.262025316455695"/>
    <s v="High"/>
    <x v="0"/>
    <x v="0"/>
  </r>
  <r>
    <s v="P10361"/>
    <n v="20250216"/>
    <s v="PL001"/>
    <s v="C007"/>
    <s v="CT001"/>
    <n v="24671"/>
    <n v="26770"/>
    <n v="2653"/>
    <n v="175"/>
    <n v="367"/>
    <n v="173"/>
    <n v="21465"/>
    <n v="90"/>
    <d v="1899-12-30T22:30:00"/>
    <s v="Chennai"/>
    <n v="1"/>
    <m/>
    <n v="3368"/>
    <n v="7.3251187648456053"/>
    <s v="Medium"/>
    <x v="1"/>
    <x v="1"/>
  </r>
  <r>
    <s v="P11396"/>
    <n v="20260725"/>
    <s v="PL004"/>
    <s v="C004"/>
    <s v="CT004"/>
    <n v="25133"/>
    <n v="41129"/>
    <n v="917"/>
    <n v="92"/>
    <n v="168"/>
    <n v="84"/>
    <n v="20811"/>
    <n v="379"/>
    <d v="1899-12-30T09:45:00"/>
    <s v="Coimbatore"/>
    <n v="1"/>
    <m/>
    <n v="1261"/>
    <n v="19.931007137192704"/>
    <s v="High"/>
    <x v="0"/>
    <x v="2"/>
  </r>
  <r>
    <s v="P11055"/>
    <n v="20260421"/>
    <s v="PL004"/>
    <s v="C003"/>
    <s v="CT002"/>
    <n v="10611"/>
    <n v="16958"/>
    <n v="707"/>
    <n v="87"/>
    <n v="70"/>
    <n v="73"/>
    <n v="0"/>
    <n v="187"/>
    <d v="1899-12-30T07:45:00"/>
    <m/>
    <n v="1"/>
    <m/>
    <n v="937"/>
    <n v="11.32443970117396"/>
    <s v="High"/>
    <x v="0"/>
    <x v="11"/>
  </r>
  <r>
    <s v="P11052"/>
    <n v="20260115"/>
    <s v="PL005"/>
    <s v="C004"/>
    <s v="CT001"/>
    <n v="1306"/>
    <n v="1771"/>
    <n v="73"/>
    <n v="2"/>
    <n v="9"/>
    <n v="3"/>
    <n v="633"/>
    <n v="8"/>
    <d v="1899-12-30T20:15:00"/>
    <s v="Hyderabad"/>
    <n v="1"/>
    <m/>
    <n v="87"/>
    <n v="15.011494252873563"/>
    <s v="High"/>
    <x v="0"/>
    <x v="7"/>
  </r>
  <r>
    <s v="P11678"/>
    <n v="20260228"/>
    <s v="PL003"/>
    <s v="C007"/>
    <s v="CT001"/>
    <n v="31906"/>
    <n v="52387"/>
    <n v="1948"/>
    <n v="54"/>
    <n v="135"/>
    <n v="309"/>
    <n v="11394"/>
    <n v="444"/>
    <d v="1899-12-30T12:15:00"/>
    <s v="Pune"/>
    <n v="1"/>
    <m/>
    <n v="2446"/>
    <n v="13.044153720359771"/>
    <s v="High"/>
    <x v="0"/>
    <x v="1"/>
  </r>
  <r>
    <s v="P11455"/>
    <n v="20251102"/>
    <s v="PL001"/>
    <s v="C002"/>
    <s v="CT002"/>
    <n v="17784"/>
    <n v="28290"/>
    <n v="1607"/>
    <n v="118"/>
    <n v="210"/>
    <n v="253"/>
    <n v="0"/>
    <n v="131"/>
    <d v="1899-12-30T10:15:00"/>
    <s v="Bengaluru"/>
    <n v="1"/>
    <m/>
    <n v="2188"/>
    <n v="8.1279707495429623"/>
    <s v="Medium"/>
    <x v="1"/>
    <x v="8"/>
  </r>
  <r>
    <s v="P10880"/>
    <n v="20250614"/>
    <s v="PL005"/>
    <s v="C004"/>
    <s v="CT001"/>
    <n v="5577"/>
    <n v="5857"/>
    <n v="224"/>
    <n v="23"/>
    <n v="19"/>
    <n v="24"/>
    <n v="3503"/>
    <n v="99"/>
    <d v="1899-12-30T15:00:00"/>
    <s v="Pune"/>
    <n v="1"/>
    <m/>
    <n v="290"/>
    <n v="19.23103448275862"/>
    <s v="High"/>
    <x v="1"/>
    <x v="4"/>
  </r>
  <r>
    <s v="P10863"/>
    <n v="20260804"/>
    <s v="PL002"/>
    <s v="C005"/>
    <s v="CT001"/>
    <n v="51946"/>
    <n v="78167"/>
    <n v="5916"/>
    <n v="611"/>
    <n v="491"/>
    <n v="561"/>
    <n v="45467"/>
    <n v="754"/>
    <d v="1899-12-30T22:15:00"/>
    <s v="Delhi"/>
    <n v="1"/>
    <m/>
    <n v="7579"/>
    <n v="6.8539385143158729"/>
    <s v="Medium"/>
    <x v="0"/>
    <x v="9"/>
  </r>
  <r>
    <s v="P11605"/>
    <n v="20250527"/>
    <s v="PL002"/>
    <s v="C003"/>
    <s v="CT006"/>
    <n v="22794"/>
    <n v="25438"/>
    <n v="1205"/>
    <n v="41"/>
    <n v="86"/>
    <n v="109"/>
    <n v="16955"/>
    <n v="243"/>
    <d v="1899-12-30T18:15:00"/>
    <s v="Pune"/>
    <n v="1"/>
    <m/>
    <n v="1441"/>
    <n v="15.818181818181818"/>
    <s v="High"/>
    <x v="1"/>
    <x v="10"/>
  </r>
  <r>
    <s v="P10650"/>
    <n v="20251214"/>
    <s v="PL002"/>
    <s v="C004"/>
    <s v="CT004"/>
    <n v="89741"/>
    <n v="123494"/>
    <n v="3860"/>
    <n v="183"/>
    <n v="757"/>
    <n v="196"/>
    <n v="75454"/>
    <n v="937"/>
    <d v="1899-12-30T20:45:00"/>
    <s v="Delhi"/>
    <n v="1"/>
    <m/>
    <n v="4996"/>
    <n v="17.962570056044836"/>
    <s v="High"/>
    <x v="1"/>
    <x v="6"/>
  </r>
  <r>
    <s v="P10638"/>
    <n v="20260403"/>
    <s v="PL002"/>
    <s v="C007"/>
    <s v="CT004"/>
    <n v="35737"/>
    <n v="53790"/>
    <n v="1010"/>
    <n v="62"/>
    <n v="62"/>
    <n v="156"/>
    <n v="14530"/>
    <n v="191"/>
    <d v="1899-12-30T09:15:00"/>
    <s v="Mumbai"/>
    <n v="1"/>
    <m/>
    <n v="1290"/>
    <n v="27.7031007751938"/>
    <s v="High"/>
    <x v="0"/>
    <x v="11"/>
  </r>
  <r>
    <s v="P10319"/>
    <n v="20250604"/>
    <s v="PL002"/>
    <s v="C003"/>
    <s v="CT004"/>
    <n v="245596"/>
    <n v="283037"/>
    <n v="21122"/>
    <n v="2240"/>
    <n v="3854"/>
    <n v="1239"/>
    <n v="186294"/>
    <n v="3474"/>
    <d v="1899-12-30T09:00:00"/>
    <s v="Kolkata"/>
    <n v="1"/>
    <m/>
    <n v="28455"/>
    <n v="8.6310314531716745"/>
    <s v="Medium"/>
    <x v="1"/>
    <x v="4"/>
  </r>
  <r>
    <s v="P10431"/>
    <n v="20250617"/>
    <s v="PL001"/>
    <s v="C003"/>
    <s v="CT004"/>
    <n v="19595"/>
    <n v="25090"/>
    <n v="1966"/>
    <n v="213"/>
    <n v="338"/>
    <n v="106"/>
    <n v="13023"/>
    <n v="264"/>
    <d v="1899-12-30T21:30:00"/>
    <s v="Chennai"/>
    <n v="1"/>
    <m/>
    <n v="2623"/>
    <n v="7.4704536789935192"/>
    <s v="Medium"/>
    <x v="1"/>
    <x v="4"/>
  </r>
  <r>
    <s v="P10214"/>
    <n v="20260504"/>
    <s v="PL003"/>
    <s v="C007"/>
    <s v="CT002"/>
    <n v="10709"/>
    <n v="16459"/>
    <n v="645"/>
    <n v="64"/>
    <n v="100"/>
    <n v="100"/>
    <n v="0"/>
    <n v="154"/>
    <d v="1899-12-30T15:30:00"/>
    <s v="Bengaluru"/>
    <n v="1"/>
    <m/>
    <n v="909"/>
    <n v="11.781078107810782"/>
    <s v="High"/>
    <x v="0"/>
    <x v="10"/>
  </r>
  <r>
    <s v="P11073"/>
    <n v="20250329"/>
    <s v="PL004"/>
    <s v="C002"/>
    <s v="CT001"/>
    <n v="22899"/>
    <n v="29717"/>
    <n v="2498"/>
    <n v="286"/>
    <n v="378"/>
    <n v="308"/>
    <n v="13665"/>
    <n v="412"/>
    <d v="1899-12-30T20:45:00"/>
    <s v="Kolkata"/>
    <n v="1"/>
    <m/>
    <n v="3470"/>
    <n v="6.5991354466858789"/>
    <s v="Medium"/>
    <x v="1"/>
    <x v="3"/>
  </r>
  <r>
    <s v="P11995"/>
    <n v="20260401"/>
    <s v="PL004"/>
    <s v="C007"/>
    <s v="CT004"/>
    <n v="43740"/>
    <n v="62116"/>
    <n v="1370"/>
    <n v="42"/>
    <n v="72"/>
    <n v="114"/>
    <n v="32960"/>
    <n v="330"/>
    <d v="1899-12-30T22:00:00"/>
    <s v="Bengaluru"/>
    <n v="1"/>
    <m/>
    <n v="1598"/>
    <n v="27.371714643304131"/>
    <s v="High"/>
    <x v="0"/>
    <x v="11"/>
  </r>
  <r>
    <s v="P11364"/>
    <n v="20260130"/>
    <s v="PL002"/>
    <s v="C007"/>
    <s v="CT004"/>
    <n v="21051"/>
    <n v="32402"/>
    <n v="1126"/>
    <n v="36"/>
    <n v="179"/>
    <n v="149"/>
    <n v="12476"/>
    <n v="171"/>
    <d v="1899-12-30T13:00:00"/>
    <s v="Bengaluru"/>
    <n v="1"/>
    <m/>
    <n v="1490"/>
    <n v="14.128187919463087"/>
    <s v="High"/>
    <x v="0"/>
    <x v="7"/>
  </r>
  <r>
    <s v="P11939"/>
    <n v="20250314"/>
    <s v="PL001"/>
    <s v="C001"/>
    <s v="CT006"/>
    <n v="49809"/>
    <n v="79807"/>
    <n v="3316"/>
    <n v="430"/>
    <n v="413"/>
    <n v="259"/>
    <n v="28020"/>
    <n v="529"/>
    <d v="1899-12-30T17:45:00"/>
    <s v="Chennai"/>
    <n v="1"/>
    <m/>
    <n v="4418"/>
    <n v="11.274105930285197"/>
    <s v="High"/>
    <x v="1"/>
    <x v="3"/>
  </r>
  <r>
    <s v="P10380"/>
    <n v="20260714"/>
    <s v="PL003"/>
    <s v="C006"/>
    <s v="CT002"/>
    <n v="10141"/>
    <n v="13213"/>
    <n v="403"/>
    <n v="19"/>
    <n v="13"/>
    <n v="32"/>
    <n v="0"/>
    <n v="69"/>
    <d v="1899-12-30T15:45:00"/>
    <s v="Hyderabad"/>
    <n v="1"/>
    <m/>
    <n v="467"/>
    <n v="21.715203426124198"/>
    <s v="High"/>
    <x v="0"/>
    <x v="2"/>
  </r>
  <r>
    <s v="P10891"/>
    <n v="20251023"/>
    <s v="PL003"/>
    <s v="C003"/>
    <s v="CT001"/>
    <n v="22093"/>
    <n v="27713"/>
    <n v="1703"/>
    <n v="170"/>
    <n v="242"/>
    <n v="214"/>
    <n v="13950"/>
    <n v="216"/>
    <d v="1899-12-30T19:45:00"/>
    <s v="Mumbai"/>
    <n v="1"/>
    <m/>
    <n v="2329"/>
    <n v="9.4860455130957497"/>
    <s v="Medium"/>
    <x v="1"/>
    <x v="5"/>
  </r>
  <r>
    <s v="P11606"/>
    <n v="20260721"/>
    <s v="PL001"/>
    <s v="C003"/>
    <s v="CT003"/>
    <n v="28017"/>
    <n v="39669"/>
    <n v="2318"/>
    <n v="272"/>
    <n v="353"/>
    <n v="339"/>
    <n v="0"/>
    <n v="395"/>
    <d v="1899-12-30T09:45:00"/>
    <s v="Chennai"/>
    <n v="1"/>
    <m/>
    <n v="3282"/>
    <n v="8.536563071297989"/>
    <s v="Medium"/>
    <x v="0"/>
    <x v="2"/>
  </r>
  <r>
    <s v="P10437"/>
    <n v="20260830"/>
    <s v="PL001"/>
    <s v="C006"/>
    <s v="CT001"/>
    <n v="46638"/>
    <n v="60124"/>
    <n v="4323"/>
    <n v="307"/>
    <n v="753"/>
    <n v="609"/>
    <n v="25477"/>
    <n v="837"/>
    <d v="1899-12-30T07:45:00"/>
    <s v="Pune"/>
    <n v="1"/>
    <m/>
    <n v="5992"/>
    <n v="7.7833778371161548"/>
    <s v="Medium"/>
    <x v="0"/>
    <x v="9"/>
  </r>
  <r>
    <s v="P11227"/>
    <n v="20260622"/>
    <s v="PL002"/>
    <s v="C002"/>
    <s v="CT004"/>
    <n v="49690"/>
    <n v="61743"/>
    <n v="5355"/>
    <n v="498"/>
    <n v="274"/>
    <n v="524"/>
    <n v="18088"/>
    <n v="379"/>
    <d v="1899-12-30T11:30:00"/>
    <s v="Mumbai"/>
    <n v="1"/>
    <m/>
    <n v="6651"/>
    <n v="7.4710569839121934"/>
    <s v="Medium"/>
    <x v="0"/>
    <x v="4"/>
  </r>
  <r>
    <s v="P11803"/>
    <n v="20250523"/>
    <s v="PL003"/>
    <s v="C007"/>
    <s v="CT001"/>
    <n v="34809"/>
    <n v="47453"/>
    <n v="3808"/>
    <n v="344"/>
    <n v="630"/>
    <n v="213"/>
    <n v="16244"/>
    <n v="79"/>
    <d v="1899-12-30T21:15:00"/>
    <s v="Kolkata"/>
    <n v="1"/>
    <m/>
    <n v="4995"/>
    <n v="6.9687687687687685"/>
    <s v="Medium"/>
    <x v="1"/>
    <x v="10"/>
  </r>
  <r>
    <s v="P11607"/>
    <n v="20251222"/>
    <s v="PL004"/>
    <s v="C004"/>
    <s v="CT001"/>
    <n v="22007"/>
    <n v="28960"/>
    <n v="1330"/>
    <n v="101"/>
    <n v="121"/>
    <n v="133"/>
    <n v="17008"/>
    <n v="344"/>
    <d v="1899-12-30T11:45:00"/>
    <s v="Chennai"/>
    <n v="1"/>
    <m/>
    <n v="1685"/>
    <n v="13.060534124629081"/>
    <s v="High"/>
    <x v="1"/>
    <x v="6"/>
  </r>
  <r>
    <s v="P10918"/>
    <n v="20260224"/>
    <s v="PL001"/>
    <s v="C006"/>
    <s v="CT001"/>
    <n v="48328"/>
    <n v="65552"/>
    <n v="5143"/>
    <n v="329"/>
    <n v="441"/>
    <n v="811"/>
    <n v="26328"/>
    <n v="139"/>
    <d v="1899-12-30T15:00:00"/>
    <s v="Hyderabad"/>
    <n v="1"/>
    <m/>
    <n v="6724"/>
    <n v="7.187388459250446"/>
    <s v="Medium"/>
    <x v="0"/>
    <x v="1"/>
  </r>
  <r>
    <s v="P11490"/>
    <n v="20260329"/>
    <s v="PL001"/>
    <s v="C005"/>
    <s v="CT006"/>
    <n v="5908"/>
    <n v="8095"/>
    <n v="290"/>
    <n v="29"/>
    <n v="30"/>
    <n v="34"/>
    <n v="3100"/>
    <n v="45"/>
    <d v="1899-12-30T07:00:00"/>
    <s v="Pune"/>
    <n v="1"/>
    <m/>
    <n v="383"/>
    <n v="15.425587467362924"/>
    <s v="High"/>
    <x v="0"/>
    <x v="3"/>
  </r>
  <r>
    <s v="P10097"/>
    <n v="20251016"/>
    <s v="PL001"/>
    <s v="C007"/>
    <s v="CT004"/>
    <n v="29931"/>
    <n v="47744"/>
    <n v="2601"/>
    <n v="357"/>
    <n v="127"/>
    <n v="158"/>
    <n v="13159"/>
    <n v="256"/>
    <d v="1899-12-30T16:30:00"/>
    <s v="Hyderabad"/>
    <n v="1"/>
    <m/>
    <n v="3243"/>
    <n v="9.2294172062904725"/>
    <s v="Medium"/>
    <x v="1"/>
    <x v="5"/>
  </r>
  <r>
    <s v="P10787"/>
    <n v="20250203"/>
    <s v="PL002"/>
    <s v="C004"/>
    <s v="CT002"/>
    <n v="12304"/>
    <n v="14072"/>
    <n v="1026"/>
    <n v="95"/>
    <n v="124"/>
    <n v="103"/>
    <n v="0"/>
    <n v="151"/>
    <d v="1899-12-30T13:15:00"/>
    <s v="Kochi"/>
    <n v="1"/>
    <m/>
    <n v="1348"/>
    <n v="9.1275964391691389"/>
    <s v="Medium"/>
    <x v="1"/>
    <x v="1"/>
  </r>
  <r>
    <s v="P10132"/>
    <n v="20250205"/>
    <s v="PL005"/>
    <s v="C005"/>
    <s v="CT002"/>
    <n v="13567"/>
    <n v="18561"/>
    <n v="798"/>
    <n v="77"/>
    <n v="147"/>
    <n v="125"/>
    <n v="0"/>
    <n v="76"/>
    <d v="1899-12-30T15:00:00"/>
    <s v="Pune"/>
    <n v="1"/>
    <m/>
    <n v="1147"/>
    <n v="11.82824760244115"/>
    <s v="High"/>
    <x v="1"/>
    <x v="1"/>
  </r>
  <r>
    <s v="P11309"/>
    <n v="20260316"/>
    <s v="PL001"/>
    <s v="C005"/>
    <s v="CT001"/>
    <n v="37878"/>
    <n v="56811"/>
    <n v="2310"/>
    <n v="272"/>
    <n v="238"/>
    <n v="342"/>
    <n v="20562"/>
    <n v="506"/>
    <d v="1899-12-30T10:15:00"/>
    <s v="Hyderabad"/>
    <n v="1"/>
    <m/>
    <n v="3162"/>
    <n v="11.979127134724857"/>
    <s v="High"/>
    <x v="0"/>
    <x v="3"/>
  </r>
  <r>
    <s v="P10966"/>
    <n v="20250513"/>
    <s v="PL001"/>
    <s v="C004"/>
    <s v="CT002"/>
    <n v="16837"/>
    <n v="20272"/>
    <n v="1569"/>
    <n v="150"/>
    <n v="267"/>
    <n v="78"/>
    <n v="0"/>
    <n v="221"/>
    <d v="1899-12-30T12:00:00"/>
    <s v="Pune"/>
    <n v="1"/>
    <m/>
    <n v="2064"/>
    <n v="8.1574612403100772"/>
    <s v="Medium"/>
    <x v="1"/>
    <x v="10"/>
  </r>
  <r>
    <s v="P10836"/>
    <n v="20250428"/>
    <s v="PL005"/>
    <s v="C001"/>
    <s v="CT005"/>
    <n v="9128"/>
    <n v="12283"/>
    <n v="405"/>
    <n v="22"/>
    <n v="72"/>
    <n v="17"/>
    <n v="0"/>
    <n v="54"/>
    <d v="1899-12-30T14:15:00"/>
    <s v="Hyderabad"/>
    <n v="1"/>
    <m/>
    <n v="516"/>
    <n v="17.689922480620154"/>
    <s v="High"/>
    <x v="1"/>
    <x v="11"/>
  </r>
  <r>
    <s v="P11072"/>
    <n v="20250406"/>
    <s v="PL004"/>
    <s v="C007"/>
    <s v="CT001"/>
    <n v="14922"/>
    <n v="18183"/>
    <n v="1264"/>
    <n v="54"/>
    <n v="242"/>
    <n v="200"/>
    <n v="10166"/>
    <n v="253"/>
    <d v="1899-12-30T11:45:00"/>
    <s v="Delhi"/>
    <n v="1"/>
    <m/>
    <n v="1760"/>
    <n v="8.478409090909091"/>
    <s v="Medium"/>
    <x v="1"/>
    <x v="11"/>
  </r>
  <r>
    <s v="P11740"/>
    <n v="20250531"/>
    <s v="PL003"/>
    <s v="C007"/>
    <s v="CT006"/>
    <n v="4425"/>
    <n v="6450"/>
    <n v="467"/>
    <n v="47"/>
    <n v="16"/>
    <n v="27"/>
    <n v="3949"/>
    <n v="45"/>
    <d v="1899-12-30T14:30:00"/>
    <s v="Pune"/>
    <n v="1"/>
    <m/>
    <n v="557"/>
    <n v="7.9443447037701977"/>
    <s v="Medium"/>
    <x v="1"/>
    <x v="10"/>
  </r>
  <r>
    <s v="P11083"/>
    <n v="20250107"/>
    <s v="PL001"/>
    <s v="C004"/>
    <s v="CT004"/>
    <n v="31117"/>
    <n v="40890"/>
    <n v="1791"/>
    <n v="62"/>
    <m/>
    <n v="164"/>
    <n v="19121"/>
    <n v="202"/>
    <d v="1899-12-30T16:00:00"/>
    <s v="Kochi"/>
    <n v="1"/>
    <m/>
    <n v="2017"/>
    <n v="15.42736737729301"/>
    <s v="High"/>
    <x v="1"/>
    <x v="7"/>
  </r>
  <r>
    <s v="P11050"/>
    <n v="20260403"/>
    <s v="PL004"/>
    <s v="C002"/>
    <s v="CT006"/>
    <n v="12873"/>
    <n v="15701"/>
    <n v="688"/>
    <n v="29"/>
    <n v="88"/>
    <n v="75"/>
    <n v="5039"/>
    <n v="119"/>
    <d v="1899-12-30T18:15:00"/>
    <s v="Chennai"/>
    <n v="1"/>
    <m/>
    <n v="880"/>
    <n v="14.628409090909091"/>
    <s v="High"/>
    <x v="0"/>
    <x v="11"/>
  </r>
  <r>
    <s v="P10948"/>
    <n v="20250111"/>
    <s v="PL002"/>
    <s v="C007"/>
    <s v="CT001"/>
    <n v="21239"/>
    <n v="24159"/>
    <n v="839"/>
    <n v="67"/>
    <n v="108"/>
    <n v="37"/>
    <n v="15711"/>
    <n v="353"/>
    <d v="1899-12-30T16:30:00"/>
    <s v="Hyderabad"/>
    <n v="1"/>
    <m/>
    <n v="1051"/>
    <n v="20.208372978116081"/>
    <s v="High"/>
    <x v="1"/>
    <x v="7"/>
  </r>
  <r>
    <s v="P11566"/>
    <n v="20250502"/>
    <s v="PL001"/>
    <s v="C006"/>
    <s v="CT004"/>
    <n v="65927"/>
    <n v="76039"/>
    <n v="7567"/>
    <n v="306"/>
    <n v="235"/>
    <n v="399"/>
    <n v="43205"/>
    <n v="867"/>
    <d v="1899-12-30T15:00:00"/>
    <s v="Mumbai"/>
    <n v="1"/>
    <m/>
    <n v="8507"/>
    <n v="7.7497355119313509"/>
    <s v="Medium"/>
    <x v="1"/>
    <x v="10"/>
  </r>
  <r>
    <s v="P10811"/>
    <n v="20250517"/>
    <s v="PL005"/>
    <s v="C007"/>
    <s v="CT002"/>
    <n v="3839"/>
    <n v="4893"/>
    <n v="264"/>
    <n v="13"/>
    <n v="26"/>
    <n v="38"/>
    <n v="0"/>
    <n v="53"/>
    <d v="1899-12-30T12:15:00"/>
    <s v="Delhi"/>
    <n v="1"/>
    <m/>
    <n v="341"/>
    <n v="11.258064516129032"/>
    <s v="High"/>
    <x v="1"/>
    <x v="10"/>
  </r>
  <r>
    <s v="P11859"/>
    <n v="20250920"/>
    <s v="PL004"/>
    <s v="C005"/>
    <s v="CT002"/>
    <n v="5939"/>
    <n v="6842"/>
    <n v="497"/>
    <n v="31"/>
    <n v="97"/>
    <n v="63"/>
    <n v="0"/>
    <n v="105"/>
    <d v="1899-12-30T22:15:00"/>
    <s v="Kolkata"/>
    <n v="1"/>
    <m/>
    <n v="688"/>
    <n v="8.6322674418604652"/>
    <s v="Medium"/>
    <x v="1"/>
    <x v="0"/>
  </r>
  <r>
    <s v="P10737"/>
    <n v="20251203"/>
    <s v="PL002"/>
    <s v="C005"/>
    <s v="CT006"/>
    <n v="23467"/>
    <n v="33957"/>
    <n v="2070"/>
    <n v="72"/>
    <n v="102"/>
    <n v="289"/>
    <n v="13158"/>
    <n v="96"/>
    <d v="1899-12-30T15:00:00"/>
    <s v="Kochi"/>
    <n v="1"/>
    <m/>
    <n v="2533"/>
    <n v="9.2645084879589419"/>
    <s v="Medium"/>
    <x v="1"/>
    <x v="6"/>
  </r>
  <r>
    <s v="P10277"/>
    <n v="20250127"/>
    <s v="PL003"/>
    <s v="C003"/>
    <s v="CT004"/>
    <n v="39285"/>
    <n v="48247"/>
    <n v="4444"/>
    <n v="484"/>
    <n v="431"/>
    <n v="250"/>
    <n v="19844"/>
    <n v="660"/>
    <d v="1899-12-30T09:00:00"/>
    <s v="Mumbai"/>
    <n v="1"/>
    <m/>
    <n v="5609"/>
    <n v="7.0039222677839188"/>
    <s v="Medium"/>
    <x v="1"/>
    <x v="7"/>
  </r>
  <r>
    <s v="P11960"/>
    <n v="20251220"/>
    <s v="PL005"/>
    <s v="C007"/>
    <s v="CT003"/>
    <n v="6062"/>
    <n v="8373"/>
    <n v="605"/>
    <n v="64"/>
    <n v="103"/>
    <n v="55"/>
    <n v="0"/>
    <n v="22"/>
    <d v="1899-12-30T20:45:00"/>
    <s v="Mumbai"/>
    <n v="1"/>
    <m/>
    <n v="827"/>
    <n v="7.3301088270858523"/>
    <s v="Medium"/>
    <x v="1"/>
    <x v="6"/>
  </r>
  <r>
    <s v="P10324"/>
    <n v="20250903"/>
    <s v="PL003"/>
    <s v="C003"/>
    <s v="CT004"/>
    <n v="15686"/>
    <n v="20015"/>
    <n v="1134"/>
    <n v="78"/>
    <n v="173"/>
    <n v="175"/>
    <n v="5907"/>
    <n v="54"/>
    <d v="1899-12-30T11:00:00"/>
    <s v="Pune"/>
    <n v="1"/>
    <m/>
    <n v="1560"/>
    <n v="10.055128205128206"/>
    <s v="High"/>
    <x v="1"/>
    <x v="0"/>
  </r>
  <r>
    <s v="P10654"/>
    <n v="20250603"/>
    <s v="PL001"/>
    <s v="C002"/>
    <s v="CT004"/>
    <n v="11250"/>
    <n v="11998"/>
    <n v="1102"/>
    <n v="91"/>
    <n v="96"/>
    <n v="67"/>
    <n v="7283"/>
    <n v="185"/>
    <d v="1899-12-30T19:00:00"/>
    <s v="Bengaluru"/>
    <n v="1"/>
    <m/>
    <n v="1356"/>
    <n v="8.2964601769911503"/>
    <s v="Medium"/>
    <x v="1"/>
    <x v="4"/>
  </r>
  <r>
    <s v="P11653"/>
    <n v="20260423"/>
    <s v="PL003"/>
    <s v="C005"/>
    <s v="CT005"/>
    <n v="9908"/>
    <n v="16347"/>
    <n v="388"/>
    <n v="40"/>
    <n v="54"/>
    <n v="38"/>
    <n v="0"/>
    <n v="122"/>
    <d v="1899-12-30T10:00:00"/>
    <s v="Kolkata"/>
    <n v="1"/>
    <m/>
    <n v="520"/>
    <n v="19.053846153846155"/>
    <s v="High"/>
    <x v="0"/>
    <x v="11"/>
  </r>
  <r>
    <s v="P10839"/>
    <n v="20250423"/>
    <s v="PL003"/>
    <m/>
    <s v="CT005"/>
    <n v="12867"/>
    <n v="16253"/>
    <n v="1027"/>
    <n v="31"/>
    <n v="188"/>
    <n v="76"/>
    <n v="0"/>
    <n v="18"/>
    <d v="1899-12-30T08:45:00"/>
    <s v="Madurai"/>
    <n v="1"/>
    <m/>
    <n v="1322"/>
    <n v="9.7329803328290474"/>
    <s v="Medium"/>
    <x v="1"/>
    <x v="11"/>
  </r>
  <r>
    <s v="P10094"/>
    <n v="20260816"/>
    <s v="PL001"/>
    <s v="C001"/>
    <s v="CT001"/>
    <n v="22675"/>
    <n v="26483"/>
    <n v="715"/>
    <n v="48"/>
    <n v="81"/>
    <n v="109"/>
    <n v="20335"/>
    <n v="30"/>
    <d v="1899-12-30T20:00:00"/>
    <s v="Hyderabad"/>
    <n v="1"/>
    <m/>
    <n v="953"/>
    <n v="23.793284365162645"/>
    <s v="High"/>
    <x v="0"/>
    <x v="9"/>
  </r>
  <r>
    <s v="P10686"/>
    <n v="20250322"/>
    <s v="PL002"/>
    <s v="C007"/>
    <s v="CT001"/>
    <n v="78406"/>
    <n v="114719"/>
    <n v="7558"/>
    <n v="192"/>
    <n v="1399"/>
    <n v="492"/>
    <n v="54283"/>
    <n v="524"/>
    <d v="1899-12-30T20:00:00"/>
    <s v="Madurai"/>
    <n v="1"/>
    <m/>
    <n v="9641"/>
    <n v="8.132558863188466"/>
    <s v="Medium"/>
    <x v="1"/>
    <x v="3"/>
  </r>
  <r>
    <s v="P11557"/>
    <n v="20250830"/>
    <s v="PL005"/>
    <s v="C001"/>
    <s v="CT005"/>
    <n v="8759"/>
    <n v="14159"/>
    <n v="842"/>
    <n v="79"/>
    <n v="44"/>
    <n v="35"/>
    <n v="0"/>
    <n v="66"/>
    <d v="1899-12-30T10:15:00"/>
    <s v="Madurai"/>
    <n v="1"/>
    <m/>
    <n v="1000"/>
    <n v="8.7590000000000003"/>
    <s v="Medium"/>
    <x v="1"/>
    <x v="9"/>
  </r>
  <r>
    <s v="P10022"/>
    <n v="20250711"/>
    <s v="PL005"/>
    <s v="C001"/>
    <s v="CT001"/>
    <n v="10367"/>
    <n v="14620"/>
    <n v="551"/>
    <n v="18"/>
    <n v="22"/>
    <n v="76"/>
    <n v="6653"/>
    <n v="133"/>
    <d v="1899-12-30T09:00:00"/>
    <s v="Hyderabad"/>
    <n v="1"/>
    <m/>
    <n v="667"/>
    <n v="15.54272863568216"/>
    <s v="High"/>
    <x v="1"/>
    <x v="2"/>
  </r>
  <r>
    <s v="P11942"/>
    <n v="20260301"/>
    <s v="PL001"/>
    <s v="C007"/>
    <s v="CT003"/>
    <n v="32911"/>
    <n v="51185"/>
    <n v="3564"/>
    <n v="279"/>
    <n v="619"/>
    <n v="516"/>
    <n v="0"/>
    <n v="398"/>
    <d v="1899-12-30T08:00:00"/>
    <s v="Bengaluru"/>
    <n v="1"/>
    <m/>
    <n v="4978"/>
    <n v="6.6112896745680994"/>
    <s v="Medium"/>
    <x v="0"/>
    <x v="3"/>
  </r>
  <r>
    <s v="P11458"/>
    <n v="20250815"/>
    <s v="PL001"/>
    <s v="C004"/>
    <s v="CT001"/>
    <n v="21400"/>
    <n v="25362"/>
    <n v="1375"/>
    <n v="71"/>
    <n v="246"/>
    <n v="184"/>
    <n v="7831"/>
    <n v="212"/>
    <d v="1899-12-30T12:45:00"/>
    <s v="Madurai"/>
    <n v="1"/>
    <m/>
    <n v="1876"/>
    <n v="11.40724946695096"/>
    <s v="High"/>
    <x v="1"/>
    <x v="9"/>
  </r>
  <r>
    <s v="P10838"/>
    <n v="20260616"/>
    <s v="PL005"/>
    <s v="C005"/>
    <s v="CT002"/>
    <n v="7075"/>
    <n v="8215"/>
    <n v="540"/>
    <n v="22"/>
    <n v="68"/>
    <n v="34"/>
    <n v="0"/>
    <n v="87"/>
    <d v="1899-12-30T17:15:00"/>
    <s v="Kolkata"/>
    <n v="1"/>
    <m/>
    <n v="664"/>
    <n v="10.65512048192771"/>
    <s v="High"/>
    <x v="0"/>
    <x v="4"/>
  </r>
  <r>
    <s v="P11001"/>
    <n v="20260222"/>
    <s v="PL001"/>
    <s v="C006"/>
    <s v="CT001"/>
    <n v="16967"/>
    <n v="22213"/>
    <n v="705"/>
    <n v="30"/>
    <n v="84"/>
    <n v="14"/>
    <n v="9515"/>
    <n v="244"/>
    <d v="1899-12-30T21:15:00"/>
    <s v="Pune"/>
    <n v="1"/>
    <m/>
    <n v="833"/>
    <n v="20.368547418967587"/>
    <s v="High"/>
    <x v="0"/>
    <x v="1"/>
  </r>
  <r>
    <s v="P10524"/>
    <n v="20250614"/>
    <s v="PL005"/>
    <s v="C006"/>
    <s v="CT003"/>
    <n v="5436"/>
    <n v="7924"/>
    <n v="465"/>
    <n v="21"/>
    <n v="35"/>
    <n v="49"/>
    <n v="0"/>
    <n v="13"/>
    <d v="1899-12-30T16:45:00"/>
    <s v="Delhi"/>
    <n v="1"/>
    <m/>
    <n v="570"/>
    <n v="9.5368421052631582"/>
    <s v="Medium"/>
    <x v="1"/>
    <x v="4"/>
  </r>
  <r>
    <s v="P10404"/>
    <n v="20260705"/>
    <s v="PL005"/>
    <s v="C007"/>
    <s v="CT003"/>
    <n v="5983"/>
    <n v="7059"/>
    <n v="680"/>
    <n v="46"/>
    <n v="34"/>
    <n v="63"/>
    <n v="0"/>
    <n v="64"/>
    <d v="1899-12-30T14:30:00"/>
    <s v="Delhi"/>
    <n v="1"/>
    <m/>
    <n v="823"/>
    <n v="7.2697448359659784"/>
    <s v="Medium"/>
    <x v="0"/>
    <x v="2"/>
  </r>
  <r>
    <s v="P10452"/>
    <n v="20250316"/>
    <s v="PL003"/>
    <s v="C007"/>
    <s v="CT003"/>
    <n v="23404"/>
    <n v="26382"/>
    <n v="1842"/>
    <n v="127"/>
    <n v="258"/>
    <n v="240"/>
    <n v="0"/>
    <n v="240"/>
    <d v="1899-12-30T14:00:00"/>
    <s v="Madurai"/>
    <n v="1"/>
    <m/>
    <n v="2467"/>
    <n v="9.4868261045804623"/>
    <s v="Medium"/>
    <x v="1"/>
    <x v="3"/>
  </r>
  <r>
    <s v="P11378"/>
    <n v="20251028"/>
    <s v="PL003"/>
    <s v="C003"/>
    <s v="CT001"/>
    <n v="26090"/>
    <n v="39171"/>
    <n v="2352"/>
    <n v="220"/>
    <n v="414"/>
    <n v="344"/>
    <n v="10247"/>
    <n v="462"/>
    <d v="1899-12-30T18:45:00"/>
    <s v="Coimbatore"/>
    <n v="1"/>
    <m/>
    <n v="3330"/>
    <n v="7.8348348348348349"/>
    <s v="Medium"/>
    <x v="1"/>
    <x v="5"/>
  </r>
  <r>
    <s v="P11372"/>
    <n v="20260330"/>
    <s v="PL002"/>
    <s v="C004"/>
    <s v="CT003"/>
    <n v="46267"/>
    <n v="49686"/>
    <n v="2253"/>
    <n v="76"/>
    <n v="414"/>
    <n v="148"/>
    <n v="0"/>
    <n v="102"/>
    <d v="1899-12-30T19:45:00"/>
    <s v="Pune"/>
    <n v="1"/>
    <m/>
    <n v="2891"/>
    <n v="16.003804911795225"/>
    <s v="High"/>
    <x v="0"/>
    <x v="3"/>
  </r>
  <r>
    <s v="P10276"/>
    <n v="20251010"/>
    <s v="PL001"/>
    <s v="C001"/>
    <s v="CT001"/>
    <n v="30883"/>
    <n v="48782"/>
    <n v="2162"/>
    <n v="207"/>
    <n v="235"/>
    <n v="226"/>
    <n v="12406"/>
    <n v="139"/>
    <d v="1899-12-30T13:30:00"/>
    <s v="Pune"/>
    <n v="1"/>
    <m/>
    <n v="2830"/>
    <n v="10.912720848056537"/>
    <s v="High"/>
    <x v="1"/>
    <x v="5"/>
  </r>
  <r>
    <s v="P10895"/>
    <n v="20260929"/>
    <s v="PL001"/>
    <s v="C006"/>
    <s v="CT002"/>
    <n v="32822"/>
    <n v="51501"/>
    <n v="1047"/>
    <n v="45"/>
    <n v="85"/>
    <n v="36"/>
    <n v="0"/>
    <n v="382"/>
    <d v="1899-12-30T11:45:00"/>
    <s v="Coimbatore"/>
    <n v="1"/>
    <m/>
    <n v="1213"/>
    <n v="27.05853256389118"/>
    <s v="High"/>
    <x v="0"/>
    <x v="0"/>
  </r>
  <r>
    <s v="P11175"/>
    <n v="20260702"/>
    <s v="PL002"/>
    <s v="C003"/>
    <s v="CT003"/>
    <n v="35729"/>
    <n v="39736"/>
    <n v="1708"/>
    <n v="171"/>
    <n v="269"/>
    <n v="150"/>
    <n v="0"/>
    <n v="396"/>
    <d v="1899-12-30T22:30:00"/>
    <s v="Chennai"/>
    <n v="1"/>
    <m/>
    <n v="2298"/>
    <n v="15.54786771105309"/>
    <s v="High"/>
    <x v="0"/>
    <x v="2"/>
  </r>
  <r>
    <s v="P11628"/>
    <n v="20260117"/>
    <s v="PL002"/>
    <s v="C007"/>
    <s v="CT002"/>
    <n v="79974"/>
    <n v="86031"/>
    <n v="6055"/>
    <n v="221"/>
    <n v="769"/>
    <n v="709"/>
    <n v="0"/>
    <n v="388"/>
    <d v="1899-12-30T15:15:00"/>
    <s v="Delhi"/>
    <n v="1"/>
    <m/>
    <n v="7754"/>
    <n v="10.313902501934486"/>
    <s v="High"/>
    <x v="0"/>
    <x v="7"/>
  </r>
  <r>
    <s v="P10090"/>
    <n v="20260417"/>
    <s v="PL002"/>
    <s v="C007"/>
    <s v="CT004"/>
    <n v="34808"/>
    <n v="54757"/>
    <n v="2180"/>
    <n v="206"/>
    <n v="225"/>
    <n v="254"/>
    <n v="12245"/>
    <n v="283"/>
    <d v="1899-12-30T14:00:00"/>
    <s v="Pune"/>
    <n v="1"/>
    <m/>
    <n v="2865"/>
    <n v="12.149389179755673"/>
    <s v="High"/>
    <x v="0"/>
    <x v="11"/>
  </r>
  <r>
    <s v="P11657"/>
    <n v="20251130"/>
    <s v="PL002"/>
    <s v="C002"/>
    <s v="CT003"/>
    <n v="130758"/>
    <n v="215202"/>
    <n v="7404"/>
    <n v="410"/>
    <n v="1359"/>
    <n v="164"/>
    <n v="0"/>
    <n v="1135"/>
    <d v="1899-12-30T08:00:00"/>
    <s v="Pune"/>
    <n v="1"/>
    <m/>
    <n v="9337"/>
    <n v="14.004284031273428"/>
    <s v="High"/>
    <x v="1"/>
    <x v="8"/>
  </r>
  <r>
    <s v="P10093"/>
    <n v="20260514"/>
    <s v="PL004"/>
    <s v="C007"/>
    <s v="CT005"/>
    <n v="11756"/>
    <n v="14731"/>
    <n v="734"/>
    <n v="32"/>
    <n v="105"/>
    <n v="71"/>
    <n v="0"/>
    <n v="133"/>
    <d v="1899-12-30T20:00:00"/>
    <s v="Madurai"/>
    <n v="1"/>
    <m/>
    <n v="942"/>
    <n v="12.479830148619957"/>
    <s v="High"/>
    <x v="0"/>
    <x v="10"/>
  </r>
  <r>
    <s v="P11302"/>
    <n v="20260808"/>
    <s v="PL004"/>
    <s v="C003"/>
    <s v="CT001"/>
    <n v="19126"/>
    <n v="22216"/>
    <n v="1794"/>
    <n v="84"/>
    <n v="305"/>
    <n v="161"/>
    <n v="11474"/>
    <n v="63"/>
    <d v="1899-12-30T07:15:00"/>
    <s v="Pune"/>
    <n v="1"/>
    <m/>
    <n v="2344"/>
    <n v="8.1595563139931748"/>
    <s v="Medium"/>
    <x v="0"/>
    <x v="9"/>
  </r>
  <r>
    <s v="P10326"/>
    <n v="20250208"/>
    <s v="PL005"/>
    <s v="C002"/>
    <s v="CT006"/>
    <n v="10548"/>
    <n v="11247"/>
    <n v="1232"/>
    <n v="83"/>
    <n v="123"/>
    <n v="82"/>
    <n v="7804"/>
    <n v="16"/>
    <d v="1899-12-30T19:45:00"/>
    <s v="Kochi"/>
    <n v="1"/>
    <m/>
    <n v="1520"/>
    <n v="6.939473684210526"/>
    <s v="Medium"/>
    <x v="1"/>
    <x v="1"/>
  </r>
  <r>
    <s v="P11881"/>
    <n v="20250808"/>
    <s v="PL001"/>
    <s v="C005"/>
    <s v="CT003"/>
    <n v="22864"/>
    <n v="33275"/>
    <n v="2155"/>
    <n v="121"/>
    <n v="296"/>
    <n v="287"/>
    <n v="0"/>
    <n v="43"/>
    <d v="1899-12-30T12:00:00"/>
    <s v="Bengaluru"/>
    <n v="1"/>
    <m/>
    <n v="2859"/>
    <n v="7.9972018188177687"/>
    <s v="Medium"/>
    <x v="1"/>
    <x v="9"/>
  </r>
  <r>
    <s v="P11326"/>
    <n v="20250417"/>
    <s v="PL001"/>
    <s v="C003"/>
    <s v="CT003"/>
    <n v="31867"/>
    <n v="38209"/>
    <n v="3745"/>
    <n v="195"/>
    <n v="324"/>
    <n v="143"/>
    <n v="0"/>
    <n v="62"/>
    <d v="1899-12-30T10:45:00"/>
    <s v="Madurai"/>
    <n v="1"/>
    <m/>
    <n v="4407"/>
    <n v="7.2309961425005671"/>
    <s v="Medium"/>
    <x v="1"/>
    <x v="11"/>
  </r>
  <r>
    <s v="P10633"/>
    <n v="20260602"/>
    <s v="PL002"/>
    <s v="C004"/>
    <s v="CT001"/>
    <n v="38542"/>
    <n v="49578"/>
    <n v="2685"/>
    <n v="217"/>
    <n v="240"/>
    <n v="363"/>
    <n v="13895"/>
    <n v="39"/>
    <d v="1899-12-30T20:00:00"/>
    <s v="Kochi"/>
    <n v="1"/>
    <m/>
    <n v="3505"/>
    <n v="10.996291012838801"/>
    <s v="High"/>
    <x v="0"/>
    <x v="4"/>
  </r>
  <r>
    <s v="P10505"/>
    <n v="20250513"/>
    <s v="PL001"/>
    <s v="C006"/>
    <s v="CT002"/>
    <n v="30273"/>
    <n v="45363"/>
    <n v="1308"/>
    <n v="174"/>
    <n v="201"/>
    <n v="193"/>
    <n v="0"/>
    <n v="387"/>
    <d v="1899-12-30T22:15:00"/>
    <s v="Kolkata"/>
    <n v="1"/>
    <m/>
    <n v="1876"/>
    <n v="16.136993603411515"/>
    <s v="High"/>
    <x v="1"/>
    <x v="10"/>
  </r>
  <r>
    <s v="P11805"/>
    <n v="20260418"/>
    <s v="PL005"/>
    <s v="C004"/>
    <s v="CT004"/>
    <n v="11099"/>
    <n v="14888"/>
    <n v="713"/>
    <n v="72"/>
    <n v="134"/>
    <n v="90"/>
    <n v="6763"/>
    <n v="48"/>
    <d v="1899-12-30T12:45:00"/>
    <s v="Pune"/>
    <n v="1"/>
    <m/>
    <n v="1009"/>
    <n v="11"/>
    <s v="High"/>
    <x v="0"/>
    <x v="11"/>
  </r>
  <r>
    <s v="P11173"/>
    <n v="20251108"/>
    <s v="PL003"/>
    <s v="C004"/>
    <s v="CT002"/>
    <n v="22225"/>
    <n v="24664"/>
    <n v="2348"/>
    <n v="70"/>
    <n v="132"/>
    <n v="324"/>
    <n v="0"/>
    <n v="39"/>
    <d v="1899-12-30T19:15:00"/>
    <s v="Chennai"/>
    <n v="1"/>
    <m/>
    <n v="2874"/>
    <n v="7.7331245650661096"/>
    <s v="Medium"/>
    <x v="1"/>
    <x v="8"/>
  </r>
  <r>
    <s v="P11986"/>
    <n v="20260601"/>
    <s v="PL002"/>
    <s v="C003"/>
    <s v="CT001"/>
    <n v="30382"/>
    <n v="39237"/>
    <n v="2055"/>
    <n v="179"/>
    <n v="267"/>
    <n v="290"/>
    <n v="18203"/>
    <n v="319"/>
    <d v="1899-12-30T09:30:00"/>
    <s v="Hyderabad"/>
    <n v="1"/>
    <m/>
    <n v="2791"/>
    <n v="10.885704048728055"/>
    <s v="High"/>
    <x v="0"/>
    <x v="4"/>
  </r>
  <r>
    <s v="P10271"/>
    <n v="20250207"/>
    <s v="PL004"/>
    <s v="C005"/>
    <s v="CT006"/>
    <n v="8306"/>
    <n v="12173"/>
    <n v="919"/>
    <n v="80"/>
    <n v="96"/>
    <n v="143"/>
    <n v="6755"/>
    <n v="11"/>
    <d v="1899-12-30T10:15:00"/>
    <s v="Kochi"/>
    <n v="1"/>
    <m/>
    <n v="1238"/>
    <n v="6.7092084006462036"/>
    <s v="Medium"/>
    <x v="1"/>
    <x v="1"/>
  </r>
  <r>
    <s v="P10333"/>
    <n v="20250120"/>
    <s v="PL002"/>
    <s v="C006"/>
    <s v="CT001"/>
    <n v="52428"/>
    <n v="69559"/>
    <n v="5245"/>
    <n v="631"/>
    <n v="650"/>
    <n v="762"/>
    <n v="24270"/>
    <n v="392"/>
    <d v="1899-12-30T12:45:00"/>
    <s v="Chennai"/>
    <n v="1"/>
    <m/>
    <n v="7288"/>
    <n v="7.1937431394072444"/>
    <s v="Medium"/>
    <x v="1"/>
    <x v="7"/>
  </r>
  <r>
    <s v="P10803"/>
    <n v="20260805"/>
    <s v="PL003"/>
    <s v="C005"/>
    <s v="CT005"/>
    <n v="15871"/>
    <n v="25099"/>
    <n v="1885"/>
    <n v="184"/>
    <n v="89"/>
    <n v="175"/>
    <n v="0"/>
    <n v="279"/>
    <d v="1899-12-30T11:45:00"/>
    <s v="Delhi"/>
    <n v="1"/>
    <m/>
    <n v="2333"/>
    <n v="6.8028289755679383"/>
    <s v="Medium"/>
    <x v="0"/>
    <x v="9"/>
  </r>
  <r>
    <s v="P10111"/>
    <n v="20260701"/>
    <s v="PL002"/>
    <s v="C005"/>
    <s v="CT001"/>
    <n v="29524"/>
    <n v="40427"/>
    <n v="1646"/>
    <n v="186"/>
    <n v="171"/>
    <n v="133"/>
    <n v="14465"/>
    <n v="381"/>
    <d v="1899-12-30T15:15:00"/>
    <s v="Kolkata"/>
    <n v="1"/>
    <m/>
    <n v="2136"/>
    <n v="13.822097378277153"/>
    <s v="High"/>
    <x v="0"/>
    <x v="2"/>
  </r>
  <r>
    <s v="P10984"/>
    <n v="20260721"/>
    <s v="PL001"/>
    <s v="C002"/>
    <s v="CT006"/>
    <n v="19092"/>
    <n v="29637"/>
    <n v="1472"/>
    <n v="181"/>
    <n v="86"/>
    <n v="52"/>
    <n v="8353"/>
    <n v="319"/>
    <d v="1899-12-30T21:15:00"/>
    <s v="Hyderabad"/>
    <n v="1"/>
    <m/>
    <n v="1791"/>
    <n v="10.659966499162479"/>
    <s v="High"/>
    <x v="0"/>
    <x v="2"/>
  </r>
  <r>
    <s v="P10553"/>
    <n v="20251227"/>
    <s v="PL002"/>
    <s v="C004"/>
    <s v="CT001"/>
    <n v="28031"/>
    <n v="33297"/>
    <n v="2120"/>
    <n v="63"/>
    <n v="86"/>
    <n v="330"/>
    <n v="19925"/>
    <n v="367"/>
    <d v="1899-12-30T11:30:00"/>
    <s v="Kolkata"/>
    <n v="1"/>
    <m/>
    <n v="2599"/>
    <n v="10.785302039245863"/>
    <s v="High"/>
    <x v="1"/>
    <x v="6"/>
  </r>
  <r>
    <s v="P10384"/>
    <n v="20250929"/>
    <s v="PL005"/>
    <s v="C007"/>
    <s v="CT006"/>
    <n v="6926"/>
    <n v="8542"/>
    <n v="306"/>
    <n v="10"/>
    <n v="38"/>
    <n v="17"/>
    <n v="2831"/>
    <n v="64"/>
    <d v="1899-12-30T21:45:00"/>
    <s v="Coimbatore"/>
    <n v="1"/>
    <m/>
    <n v="371"/>
    <n v="18.668463611859838"/>
    <s v="High"/>
    <x v="1"/>
    <x v="0"/>
  </r>
  <r>
    <s v="P10699"/>
    <n v="20250212"/>
    <s v="PL003"/>
    <s v="C006"/>
    <s v="CT005"/>
    <n v="9270"/>
    <n v="13442"/>
    <n v="802"/>
    <n v="73"/>
    <n v="88"/>
    <n v="68"/>
    <n v="0"/>
    <n v="19"/>
    <d v="1899-12-30T20:45:00"/>
    <s v="Pune"/>
    <n v="1"/>
    <m/>
    <n v="1031"/>
    <n v="8.9912706110572262"/>
    <s v="Medium"/>
    <x v="1"/>
    <x v="1"/>
  </r>
  <r>
    <s v="P11560"/>
    <n v="20260812"/>
    <s v="PL003"/>
    <s v="C007"/>
    <s v="CT001"/>
    <n v="25523"/>
    <n v="38387"/>
    <n v="2752"/>
    <n v="307"/>
    <n v="212"/>
    <n v="241"/>
    <n v="13804"/>
    <n v="197"/>
    <d v="1899-12-30T12:15:00"/>
    <s v="Kochi"/>
    <n v="1"/>
    <m/>
    <n v="3512"/>
    <n v="7.267369020501139"/>
    <s v="Medium"/>
    <x v="0"/>
    <x v="9"/>
  </r>
  <r>
    <s v="P10757"/>
    <n v="20251229"/>
    <s v="PL002"/>
    <s v="C004"/>
    <s v="CT006"/>
    <n v="31234"/>
    <n v="41864"/>
    <n v="3536"/>
    <n v="309"/>
    <n v="394"/>
    <n v="403"/>
    <n v="24691"/>
    <n v="124"/>
    <d v="1899-12-30T16:00:00"/>
    <s v="Hyderabad"/>
    <n v="1"/>
    <m/>
    <n v="4642"/>
    <n v="6.7285652735889698"/>
    <s v="Medium"/>
    <x v="1"/>
    <x v="6"/>
  </r>
  <r>
    <s v="P10434"/>
    <n v="20251012"/>
    <s v="PL005"/>
    <s v="C005"/>
    <s v="CT005"/>
    <n v="9137"/>
    <n v="12495"/>
    <n v="589"/>
    <n v="31"/>
    <n v="39"/>
    <n v="77"/>
    <n v="0"/>
    <n v="130"/>
    <d v="1899-12-30T10:45:00"/>
    <s v="Hyderabad"/>
    <n v="1"/>
    <m/>
    <n v="736"/>
    <n v="12.414402173913043"/>
    <s v="High"/>
    <x v="1"/>
    <x v="5"/>
  </r>
  <r>
    <s v="P11070"/>
    <n v="20250921"/>
    <s v="PL001"/>
    <s v="C001"/>
    <s v="CT006"/>
    <n v="29015"/>
    <n v="46260"/>
    <n v="2606"/>
    <n v="201"/>
    <n v="393"/>
    <n v="401"/>
    <n v="16472"/>
    <n v="433"/>
    <d v="1899-12-30T22:30:00"/>
    <s v="Madurai"/>
    <n v="1"/>
    <m/>
    <n v="3601"/>
    <n v="8.0574840322132744"/>
    <s v="Medium"/>
    <x v="1"/>
    <x v="0"/>
  </r>
  <r>
    <s v="P11660"/>
    <n v="20251020"/>
    <s v="PL002"/>
    <s v="C002"/>
    <s v="CT006"/>
    <n v="54155"/>
    <n v="77201"/>
    <n v="4344"/>
    <n v="593"/>
    <n v="159"/>
    <n v="490"/>
    <n v="39866"/>
    <n v="748"/>
    <d v="1899-12-30T22:00:00"/>
    <s v="Bengaluru"/>
    <n v="1"/>
    <m/>
    <n v="5586"/>
    <n v="9.6947726459004659"/>
    <s v="Medium"/>
    <x v="1"/>
    <x v="5"/>
  </r>
  <r>
    <s v="P11548"/>
    <n v="20260707"/>
    <s v="PL005"/>
    <s v="C004"/>
    <s v="CT001"/>
    <n v="13408"/>
    <n v="20522"/>
    <n v="731"/>
    <n v="76"/>
    <n v="54"/>
    <n v="77"/>
    <n v="6317"/>
    <n v="40"/>
    <d v="1899-12-30T20:30:00"/>
    <s v="Pune"/>
    <n v="1"/>
    <m/>
    <n v="938"/>
    <n v="14.294243070362473"/>
    <s v="High"/>
    <x v="0"/>
    <x v="2"/>
  </r>
  <r>
    <s v="P11275"/>
    <n v="20250908"/>
    <s v="PL002"/>
    <s v="C006"/>
    <s v="CT001"/>
    <n v="56329"/>
    <n v="64106"/>
    <n v="2178"/>
    <n v="179"/>
    <n v="422"/>
    <n v="172"/>
    <n v="50204"/>
    <n v="873"/>
    <d v="1899-12-30T07:30:00"/>
    <m/>
    <n v="1"/>
    <m/>
    <n v="2951"/>
    <n v="19.088105726872246"/>
    <s v="High"/>
    <x v="1"/>
    <x v="0"/>
  </r>
  <r>
    <s v="P10741"/>
    <n v="20260917"/>
    <s v="PL002"/>
    <s v="C007"/>
    <s v="CT001"/>
    <n v="136950"/>
    <n v="221085"/>
    <n v="13236"/>
    <n v="645"/>
    <n v="918"/>
    <n v="1205"/>
    <n v="61763"/>
    <n v="469"/>
    <d v="1899-12-30T22:15:00"/>
    <s v="Bengaluru"/>
    <n v="1"/>
    <m/>
    <n v="16004"/>
    <n v="8.5572356910772314"/>
    <s v="Medium"/>
    <x v="0"/>
    <x v="0"/>
  </r>
  <r>
    <s v="P11353"/>
    <n v="20251119"/>
    <s v="PL001"/>
    <s v="C002"/>
    <s v="CT006"/>
    <n v="15793"/>
    <n v="23217"/>
    <n v="1225"/>
    <n v="90"/>
    <n v="226"/>
    <n v="189"/>
    <n v="10433"/>
    <n v="251"/>
    <d v="1899-12-30T20:30:00"/>
    <s v="Kolkata"/>
    <n v="1"/>
    <m/>
    <n v="1730"/>
    <n v="9.1289017341040459"/>
    <s v="Medium"/>
    <x v="1"/>
    <x v="8"/>
  </r>
  <r>
    <s v="P10119"/>
    <n v="20250726"/>
    <s v="PL002"/>
    <s v="C004"/>
    <s v="CT001"/>
    <n v="17712"/>
    <n v="22852"/>
    <n v="473"/>
    <n v="49"/>
    <n v="62"/>
    <n v="35"/>
    <n v="11182"/>
    <n v="23"/>
    <d v="1899-12-30T11:00:00"/>
    <s v="Kochi"/>
    <n v="1"/>
    <m/>
    <n v="619"/>
    <n v="28.613893376413571"/>
    <s v="High"/>
    <x v="1"/>
    <x v="2"/>
  </r>
  <r>
    <s v="P10687"/>
    <n v="20250513"/>
    <s v="PL002"/>
    <s v="C001"/>
    <s v="CT004"/>
    <n v="24867"/>
    <n v="39114"/>
    <n v="2087"/>
    <n v="54"/>
    <n v="264"/>
    <n v="254"/>
    <n v="9413"/>
    <n v="201"/>
    <d v="1899-12-30T10:45:00"/>
    <s v="Madurai"/>
    <n v="1"/>
    <m/>
    <n v="2659"/>
    <n v="9.3520120345994737"/>
    <s v="Medium"/>
    <x v="1"/>
    <x v="10"/>
  </r>
  <r>
    <s v="P11022"/>
    <n v="20250304"/>
    <s v="PL002"/>
    <s v="C005"/>
    <s v="CT006"/>
    <n v="37476"/>
    <n v="59396"/>
    <n v="1584"/>
    <n v="106"/>
    <n v="190"/>
    <n v="123"/>
    <n v="19692"/>
    <n v="607"/>
    <d v="1899-12-30T20:45:00"/>
    <s v="Delhi"/>
    <n v="1"/>
    <m/>
    <n v="2003"/>
    <n v="18.70993509735397"/>
    <s v="High"/>
    <x v="1"/>
    <x v="3"/>
  </r>
  <r>
    <s v="P10417"/>
    <n v="20260531"/>
    <s v="PL001"/>
    <s v="C004"/>
    <s v="CT001"/>
    <n v="28882"/>
    <n v="30427"/>
    <n v="1997"/>
    <n v="89"/>
    <n v="318"/>
    <n v="47"/>
    <n v="13093"/>
    <n v="172"/>
    <d v="1899-12-30T11:45:00"/>
    <s v="Delhi"/>
    <n v="1"/>
    <m/>
    <n v="2451"/>
    <n v="11.783761729906161"/>
    <s v="High"/>
    <x v="0"/>
    <x v="10"/>
  </r>
  <r>
    <s v="P10265"/>
    <n v="20260205"/>
    <s v="PL002"/>
    <s v="C002"/>
    <s v="CT006"/>
    <n v="17877"/>
    <n v="28237"/>
    <n v="578"/>
    <n v="17"/>
    <n v="84"/>
    <n v="83"/>
    <n v="7561"/>
    <n v="277"/>
    <d v="1899-12-30T15:00:00"/>
    <s v="Chennai"/>
    <n v="1"/>
    <m/>
    <n v="762"/>
    <n v="23.460629921259841"/>
    <s v="High"/>
    <x v="0"/>
    <x v="1"/>
  </r>
  <r>
    <s v="P11445"/>
    <n v="20250830"/>
    <s v="PL001"/>
    <s v="C002"/>
    <s v="CT001"/>
    <n v="20516"/>
    <n v="26829"/>
    <n v="1297"/>
    <n v="140"/>
    <n v="87"/>
    <n v="83"/>
    <n v="17142"/>
    <n v="64"/>
    <d v="1899-12-30T19:15:00"/>
    <s v="Chennai"/>
    <n v="1"/>
    <m/>
    <n v="1607"/>
    <n v="12.766645924082141"/>
    <s v="High"/>
    <x v="1"/>
    <x v="9"/>
  </r>
  <r>
    <s v="P10844"/>
    <n v="20251116"/>
    <s v="PL002"/>
    <m/>
    <s v="CT005"/>
    <n v="16566"/>
    <n v="18827"/>
    <n v="472"/>
    <n v="27"/>
    <n v="48"/>
    <n v="40"/>
    <n v="0"/>
    <n v="206"/>
    <d v="1899-12-30T22:15:00"/>
    <s v="Delhi"/>
    <n v="1"/>
    <m/>
    <n v="587"/>
    <n v="28.221465076660987"/>
    <s v="High"/>
    <x v="1"/>
    <x v="8"/>
  </r>
  <r>
    <s v="P11206"/>
    <n v="20260905"/>
    <s v="PL003"/>
    <s v="C005"/>
    <s v="CT001"/>
    <n v="12394"/>
    <n v="18174"/>
    <n v="653"/>
    <n v="56"/>
    <n v="27"/>
    <n v="52"/>
    <n v="4418"/>
    <n v="59"/>
    <d v="1899-12-30T14:30:00"/>
    <s v="Kochi"/>
    <n v="1"/>
    <m/>
    <n v="788"/>
    <n v="15.728426395939087"/>
    <s v="High"/>
    <x v="0"/>
    <x v="0"/>
  </r>
  <r>
    <s v="P11423"/>
    <n v="20250423"/>
    <s v="PL002"/>
    <s v="C004"/>
    <s v="CT003"/>
    <n v="69516"/>
    <n v="86381"/>
    <n v="6949"/>
    <n v="353"/>
    <n v="665"/>
    <n v="633"/>
    <n v="0"/>
    <n v="973"/>
    <d v="1899-12-30T17:30:00"/>
    <s v="Kolkata"/>
    <n v="1"/>
    <m/>
    <n v="8600"/>
    <n v="8.0832558139534889"/>
    <s v="Medium"/>
    <x v="1"/>
    <x v="11"/>
  </r>
  <r>
    <s v="P11095"/>
    <n v="20260121"/>
    <s v="PL003"/>
    <s v="C003"/>
    <s v="CT001"/>
    <n v="9927"/>
    <n v="13526"/>
    <n v="596"/>
    <n v="63"/>
    <n v="32"/>
    <n v="50"/>
    <n v="3493"/>
    <n v="59"/>
    <d v="1899-12-30T22:00:00"/>
    <s v="Pune"/>
    <n v="1"/>
    <m/>
    <n v="741"/>
    <n v="13.396761133603238"/>
    <s v="High"/>
    <x v="0"/>
    <x v="7"/>
  </r>
  <r>
    <s v="P10798"/>
    <n v="20251111"/>
    <s v="PL001"/>
    <s v="C007"/>
    <s v="CT005"/>
    <n v="18488"/>
    <n v="27659"/>
    <n v="1403"/>
    <n v="74"/>
    <n v="101"/>
    <n v="138"/>
    <n v="0"/>
    <n v="114"/>
    <d v="1899-12-30T11:15:00"/>
    <s v="Bengaluru"/>
    <n v="1"/>
    <m/>
    <n v="1716"/>
    <n v="10.773892773892774"/>
    <s v="High"/>
    <x v="1"/>
    <x v="8"/>
  </r>
  <r>
    <s v="P10543"/>
    <n v="20260615"/>
    <s v="PL003"/>
    <s v="C004"/>
    <s v="CT003"/>
    <n v="24054"/>
    <n v="34882"/>
    <n v="1631"/>
    <n v="161"/>
    <n v="212"/>
    <n v="235"/>
    <n v="0"/>
    <n v="296"/>
    <d v="1899-12-30T10:15:00"/>
    <s v="Kolkata"/>
    <n v="1"/>
    <m/>
    <n v="2239"/>
    <n v="10.743188923626619"/>
    <s v="High"/>
    <x v="0"/>
    <x v="4"/>
  </r>
  <r>
    <s v="P11866"/>
    <n v="20251108"/>
    <s v="PL005"/>
    <s v="C007"/>
    <s v="CT005"/>
    <n v="3377"/>
    <n v="4815"/>
    <n v="336"/>
    <n v="33"/>
    <n v="19"/>
    <n v="30"/>
    <n v="0"/>
    <n v="14"/>
    <d v="1899-12-30T15:30:00"/>
    <s v="Pune"/>
    <n v="1"/>
    <m/>
    <n v="418"/>
    <n v="8.0789473684210531"/>
    <s v="Medium"/>
    <x v="1"/>
    <x v="8"/>
  </r>
  <r>
    <s v="P10038"/>
    <n v="20260520"/>
    <s v="PL002"/>
    <s v="C001"/>
    <s v="CT002"/>
    <n v="50178"/>
    <n v="69028"/>
    <n v="4511"/>
    <n v="154"/>
    <n v="142"/>
    <n v="661"/>
    <n v="0"/>
    <n v="604"/>
    <d v="1899-12-30T09:00:00"/>
    <s v="Kochi"/>
    <n v="1"/>
    <m/>
    <n v="5468"/>
    <n v="9.1766642282370157"/>
    <s v="Medium"/>
    <x v="0"/>
    <x v="10"/>
  </r>
  <r>
    <s v="P10200"/>
    <n v="20260526"/>
    <s v="PL003"/>
    <s v="C007"/>
    <s v="CT001"/>
    <n v="31810"/>
    <n v="49041"/>
    <n v="1570"/>
    <n v="133"/>
    <n v="130"/>
    <n v="67"/>
    <n v="22693"/>
    <n v="253"/>
    <d v="1899-12-30T10:45:00"/>
    <s v="Bengaluru"/>
    <n v="1"/>
    <m/>
    <n v="1900"/>
    <n v="16.742105263157896"/>
    <s v="High"/>
    <x v="0"/>
    <x v="10"/>
  </r>
  <r>
    <s v="P10680"/>
    <n v="20250615"/>
    <s v="PL001"/>
    <s v="C002"/>
    <s v="CT005"/>
    <n v="32570"/>
    <n v="39659"/>
    <n v="1836"/>
    <n v="136"/>
    <n v="238"/>
    <n v="99"/>
    <n v="0"/>
    <n v="409"/>
    <d v="1899-12-30T19:45:00"/>
    <s v="Kolkata"/>
    <n v="1"/>
    <m/>
    <n v="2309"/>
    <n v="14.105673451710697"/>
    <s v="High"/>
    <x v="1"/>
    <x v="4"/>
  </r>
  <r>
    <s v="P11188"/>
    <n v="20251023"/>
    <s v="PL001"/>
    <s v="C001"/>
    <s v="CT002"/>
    <n v="11207"/>
    <n v="14152"/>
    <n v="393"/>
    <n v="41"/>
    <n v="12"/>
    <n v="53"/>
    <n v="0"/>
    <n v="193"/>
    <d v="1899-12-30T15:45:00"/>
    <s v="Bengaluru"/>
    <n v="1"/>
    <m/>
    <n v="499"/>
    <n v="22.458917835671343"/>
    <s v="High"/>
    <x v="1"/>
    <x v="5"/>
  </r>
  <r>
    <s v="P10297"/>
    <n v="20250409"/>
    <s v="PL002"/>
    <s v="C003"/>
    <s v="CT004"/>
    <n v="24678"/>
    <n v="31464"/>
    <n v="2520"/>
    <n v="136"/>
    <n v="291"/>
    <n v="271"/>
    <n v="11952"/>
    <n v="312"/>
    <d v="1899-12-30T16:15:00"/>
    <s v="Kochi"/>
    <n v="1"/>
    <m/>
    <n v="3218"/>
    <n v="7.6687383467992545"/>
    <s v="Medium"/>
    <x v="1"/>
    <x v="11"/>
  </r>
  <r>
    <s v="P10294"/>
    <n v="20250215"/>
    <s v="PL004"/>
    <s v="C001"/>
    <s v="CT002"/>
    <n v="6996"/>
    <n v="9145"/>
    <n v="835"/>
    <n v="24"/>
    <n v="134"/>
    <n v="76"/>
    <n v="0"/>
    <n v="83"/>
    <d v="1899-12-30T10:45:00"/>
    <s v="Bengaluru"/>
    <n v="1"/>
    <m/>
    <n v="1069"/>
    <n v="6.5444340505144991"/>
    <s v="Medium"/>
    <x v="1"/>
    <x v="1"/>
  </r>
  <r>
    <s v="P10100"/>
    <n v="20250819"/>
    <s v="PL001"/>
    <s v="C007"/>
    <s v="CT006"/>
    <n v="6736"/>
    <n v="10268"/>
    <n v="517"/>
    <n v="65"/>
    <n v="34"/>
    <n v="55"/>
    <n v="4390"/>
    <n v="84"/>
    <d v="1899-12-30T09:45:00"/>
    <s v="Coimbatore"/>
    <n v="1"/>
    <m/>
    <n v="671"/>
    <n v="10.038748137108794"/>
    <s v="High"/>
    <x v="1"/>
    <x v="9"/>
  </r>
  <r>
    <s v="P11937"/>
    <n v="20250205"/>
    <s v="PL002"/>
    <s v="C004"/>
    <s v="CT003"/>
    <n v="33304"/>
    <n v="39919"/>
    <n v="1071"/>
    <n v="64"/>
    <n v="191"/>
    <n v="71"/>
    <n v="0"/>
    <n v="430"/>
    <d v="1899-12-30T19:00:00"/>
    <s v="Hyderabad"/>
    <n v="1"/>
    <m/>
    <n v="1397"/>
    <n v="23.83965640658554"/>
    <s v="High"/>
    <x v="1"/>
    <x v="1"/>
  </r>
  <r>
    <s v="P11973"/>
    <n v="20260322"/>
    <s v="PL001"/>
    <s v="C005"/>
    <s v="CT005"/>
    <n v="22147"/>
    <n v="36007"/>
    <n v="1395"/>
    <n v="166"/>
    <n v="112"/>
    <n v="75"/>
    <n v="0"/>
    <n v="341"/>
    <d v="1899-12-30T15:15:00"/>
    <s v="Hyderabad"/>
    <n v="1"/>
    <m/>
    <n v="1748"/>
    <n v="12.669908466819223"/>
    <s v="High"/>
    <x v="0"/>
    <x v="3"/>
  </r>
  <r>
    <s v="P10233"/>
    <n v="20250109"/>
    <s v="PL003"/>
    <s v="C001"/>
    <s v="CT006"/>
    <n v="13878"/>
    <n v="19128"/>
    <n v="1630"/>
    <n v="160"/>
    <n v="311"/>
    <n v="178"/>
    <n v="10563"/>
    <n v="74"/>
    <d v="1899-12-30T09:30:00"/>
    <s v="Bengaluru"/>
    <n v="1"/>
    <m/>
    <n v="2279"/>
    <n v="6.0895129442738041"/>
    <s v="Medium"/>
    <x v="1"/>
    <x v="7"/>
  </r>
  <r>
    <s v="P11150"/>
    <n v="20260205"/>
    <s v="PL001"/>
    <s v="C001"/>
    <s v="CT004"/>
    <n v="23317"/>
    <n v="34857"/>
    <n v="1051"/>
    <n v="137"/>
    <n v="122"/>
    <n v="113"/>
    <n v="16187"/>
    <n v="177"/>
    <d v="1899-12-30T15:45:00"/>
    <s v="Kochi"/>
    <n v="1"/>
    <m/>
    <n v="1423"/>
    <n v="16.385804638088544"/>
    <s v="High"/>
    <x v="0"/>
    <x v="1"/>
  </r>
  <r>
    <s v="P10817"/>
    <n v="20250811"/>
    <s v="PL002"/>
    <s v="C004"/>
    <s v="CT001"/>
    <n v="64974"/>
    <n v="102283"/>
    <n v="6821"/>
    <n v="327"/>
    <n v="798"/>
    <n v="420"/>
    <n v="37324"/>
    <n v="963"/>
    <d v="1899-12-30T18:15:00"/>
    <s v="Madurai"/>
    <n v="1"/>
    <m/>
    <n v="8366"/>
    <n v="7.766435572555582"/>
    <s v="Medium"/>
    <x v="1"/>
    <x v="9"/>
  </r>
  <r>
    <s v="P11936"/>
    <n v="20260913"/>
    <s v="PL002"/>
    <s v="C001"/>
    <s v="CT001"/>
    <n v="30891"/>
    <n v="49584"/>
    <n v="1045"/>
    <n v="115"/>
    <n v="147"/>
    <n v="82"/>
    <n v="24093"/>
    <n v="263"/>
    <d v="1899-12-30T20:45:00"/>
    <s v="Kolkata"/>
    <n v="1"/>
    <m/>
    <n v="1389"/>
    <n v="22.23974082073434"/>
    <s v="High"/>
    <x v="0"/>
    <x v="0"/>
  </r>
  <r>
    <s v="P10407"/>
    <n v="20250911"/>
    <s v="PL002"/>
    <s v="C001"/>
    <s v="CT005"/>
    <n v="17124"/>
    <n v="18788"/>
    <n v="888"/>
    <n v="98"/>
    <n v="149"/>
    <n v="133"/>
    <n v="0"/>
    <n v="158"/>
    <d v="1899-12-30T11:45:00"/>
    <s v="Pune"/>
    <n v="1"/>
    <m/>
    <n v="1268"/>
    <n v="13.504731861198739"/>
    <s v="High"/>
    <x v="1"/>
    <x v="0"/>
  </r>
  <r>
    <s v="P10969"/>
    <n v="20260827"/>
    <s v="PL004"/>
    <s v="C007"/>
    <s v="CT002"/>
    <n v="4452"/>
    <n v="5577"/>
    <n v="154"/>
    <n v="18"/>
    <n v="10"/>
    <n v="10"/>
    <n v="0"/>
    <n v="6"/>
    <d v="1899-12-30T17:15:00"/>
    <s v="Kolkata"/>
    <n v="1"/>
    <m/>
    <n v="192"/>
    <n v="23.1875"/>
    <s v="High"/>
    <x v="0"/>
    <x v="9"/>
  </r>
  <r>
    <s v="P10634"/>
    <n v="20260421"/>
    <s v="PL001"/>
    <s v="C003"/>
    <s v="CT001"/>
    <n v="15337"/>
    <n v="22816"/>
    <n v="1397"/>
    <n v="143"/>
    <n v="262"/>
    <n v="60"/>
    <n v="13177"/>
    <n v="106"/>
    <d v="1899-12-30T16:00:00"/>
    <s v="Coimbatore"/>
    <n v="1"/>
    <m/>
    <n v="1862"/>
    <n v="8.2368421052631575"/>
    <s v="Medium"/>
    <x v="0"/>
    <x v="11"/>
  </r>
  <r>
    <s v="P10769"/>
    <n v="20250327"/>
    <s v="PL001"/>
    <s v="C001"/>
    <s v="CT002"/>
    <n v="6516"/>
    <n v="9158"/>
    <n v="224"/>
    <n v="17"/>
    <n v="17"/>
    <n v="18"/>
    <n v="0"/>
    <n v="115"/>
    <d v="1899-12-30T17:15:00"/>
    <s v="Chennai"/>
    <n v="1"/>
    <m/>
    <n v="276"/>
    <n v="23.608695652173914"/>
    <s v="High"/>
    <x v="1"/>
    <x v="3"/>
  </r>
  <r>
    <s v="P10928"/>
    <n v="20260606"/>
    <s v="PL003"/>
    <s v="C002"/>
    <s v="CT001"/>
    <n v="54179"/>
    <n v="61307"/>
    <n v="4444"/>
    <n v="286"/>
    <n v="356"/>
    <n v="254"/>
    <n v="30170"/>
    <n v="375"/>
    <d v="1899-12-30T13:45:00"/>
    <s v="Kolkata"/>
    <n v="1"/>
    <m/>
    <n v="5340"/>
    <n v="10.145880149812735"/>
    <s v="High"/>
    <x v="0"/>
    <x v="4"/>
  </r>
  <r>
    <s v="P10212"/>
    <n v="20250527"/>
    <s v="PL003"/>
    <s v="C003"/>
    <s v="CT004"/>
    <n v="46875"/>
    <n v="56152"/>
    <n v="5202"/>
    <n v="650"/>
    <n v="373"/>
    <n v="778"/>
    <n v="16620"/>
    <n v="793"/>
    <d v="1899-12-30T11:45:00"/>
    <s v="Delhi"/>
    <n v="1"/>
    <m/>
    <n v="7003"/>
    <n v="6.693559902898758"/>
    <s v="Medium"/>
    <x v="1"/>
    <x v="10"/>
  </r>
  <r>
    <s v="P10656"/>
    <n v="20260314"/>
    <s v="PL002"/>
    <s v="C002"/>
    <s v="CT001"/>
    <n v="51586"/>
    <n v="76879"/>
    <n v="5745"/>
    <n v="235"/>
    <n v="775"/>
    <n v="515"/>
    <n v="18847"/>
    <n v="478"/>
    <d v="1899-12-30T12:00:00"/>
    <s v="Pune"/>
    <n v="1"/>
    <m/>
    <n v="7270"/>
    <n v="7.0957359009628611"/>
    <s v="Medium"/>
    <x v="0"/>
    <x v="3"/>
  </r>
  <r>
    <s v="P10120"/>
    <n v="20250115"/>
    <s v="PL002"/>
    <s v="C004"/>
    <s v="CT001"/>
    <n v="96761"/>
    <n v="102287"/>
    <n v="4723"/>
    <n v="649"/>
    <n v="748"/>
    <n v="401"/>
    <n v="48315"/>
    <n v="472"/>
    <d v="1899-12-30T13:45:00"/>
    <s v="Bengaluru"/>
    <n v="1"/>
    <m/>
    <n v="6521"/>
    <n v="14.838368348412819"/>
    <s v="High"/>
    <x v="1"/>
    <x v="7"/>
  </r>
  <r>
    <s v="P11953"/>
    <n v="20250227"/>
    <s v="PL001"/>
    <s v="C006"/>
    <s v="CT001"/>
    <n v="52142"/>
    <n v="63348"/>
    <n v="3671"/>
    <n v="341"/>
    <n v="294"/>
    <n v="344"/>
    <n v="27084"/>
    <n v="912"/>
    <d v="1899-12-30T21:15:00"/>
    <s v="Kolkata"/>
    <n v="1"/>
    <m/>
    <n v="4650"/>
    <n v="11.213333333333333"/>
    <s v="High"/>
    <x v="1"/>
    <x v="1"/>
  </r>
  <r>
    <s v="P10317"/>
    <n v="20260918"/>
    <s v="PL001"/>
    <s v="C002"/>
    <s v="CT002"/>
    <n v="29674"/>
    <n v="40087"/>
    <n v="1739"/>
    <n v="77"/>
    <n v="300"/>
    <n v="49"/>
    <n v="0"/>
    <n v="278"/>
    <d v="1899-12-30T10:00:00"/>
    <s v="Chennai"/>
    <n v="1"/>
    <m/>
    <n v="2165"/>
    <n v="13.706235565819862"/>
    <s v="High"/>
    <x v="0"/>
    <x v="0"/>
  </r>
  <r>
    <s v="P10472"/>
    <n v="20251208"/>
    <s v="PL003"/>
    <s v="C005"/>
    <s v="CT003"/>
    <n v="12090"/>
    <n v="19233"/>
    <n v="506"/>
    <n v="54"/>
    <n v="43"/>
    <n v="29"/>
    <n v="0"/>
    <n v="187"/>
    <d v="1899-12-30T20:15:00"/>
    <s v="Kolkata"/>
    <n v="1"/>
    <m/>
    <n v="632"/>
    <n v="19.129746835443036"/>
    <s v="High"/>
    <x v="1"/>
    <x v="6"/>
  </r>
  <r>
    <s v="P11117"/>
    <n v="20260706"/>
    <s v="PL003"/>
    <s v="C007"/>
    <s v="CT006"/>
    <n v="20085"/>
    <n v="28634"/>
    <n v="1552"/>
    <n v="85"/>
    <n v="289"/>
    <n v="236"/>
    <n v="12139"/>
    <n v="306"/>
    <d v="1899-12-30T12:30:00"/>
    <s v="Coimbatore"/>
    <n v="1"/>
    <m/>
    <n v="2162"/>
    <n v="9.2900092506938012"/>
    <s v="Medium"/>
    <x v="0"/>
    <x v="2"/>
  </r>
  <r>
    <s v="P11951"/>
    <n v="20250308"/>
    <s v="PL001"/>
    <s v="C006"/>
    <s v="CT002"/>
    <n v="26171"/>
    <n v="39436"/>
    <n v="1029"/>
    <n v="40"/>
    <n v="38"/>
    <n v="157"/>
    <n v="0"/>
    <n v="373"/>
    <d v="1899-12-30T09:00:00"/>
    <s v="Kolkata"/>
    <n v="1"/>
    <m/>
    <n v="1264"/>
    <n v="20.70490506329114"/>
    <s v="High"/>
    <x v="1"/>
    <x v="3"/>
  </r>
  <r>
    <s v="P11705"/>
    <n v="20250605"/>
    <s v="PL001"/>
    <s v="C007"/>
    <s v="CT003"/>
    <n v="29556"/>
    <n v="34231"/>
    <n v="1340"/>
    <n v="156"/>
    <n v="147"/>
    <n v="86"/>
    <n v="0"/>
    <n v="337"/>
    <d v="1899-12-30T09:45:00"/>
    <s v="Pune"/>
    <n v="1"/>
    <m/>
    <n v="1729"/>
    <n v="17.094274146905725"/>
    <s v="High"/>
    <x v="1"/>
    <x v="4"/>
  </r>
  <r>
    <s v="P11891"/>
    <n v="20250603"/>
    <s v="PL001"/>
    <s v="C007"/>
    <s v="CT001"/>
    <n v="40084"/>
    <n v="45070"/>
    <n v="4326"/>
    <n v="384"/>
    <n v="806"/>
    <n v="335"/>
    <n v="32316"/>
    <n v="453"/>
    <d v="1899-12-30T09:30:00"/>
    <s v="Chennai"/>
    <n v="1"/>
    <m/>
    <n v="5851"/>
    <n v="6.850794735942574"/>
    <s v="Medium"/>
    <x v="1"/>
    <x v="4"/>
  </r>
  <r>
    <s v="P11473"/>
    <n v="20260201"/>
    <s v="PL001"/>
    <s v="C004"/>
    <s v="CT001"/>
    <n v="17796"/>
    <n v="21157"/>
    <n v="1486"/>
    <n v="199"/>
    <n v="164"/>
    <n v="197"/>
    <n v="11503"/>
    <n v="267"/>
    <d v="1899-12-30T13:45:00"/>
    <s v="Hyderabad"/>
    <n v="1"/>
    <m/>
    <n v="2046"/>
    <n v="8.6979472140762457"/>
    <s v="Medium"/>
    <x v="0"/>
    <x v="1"/>
  </r>
  <r>
    <s v="P11500"/>
    <n v="20260507"/>
    <s v="PL002"/>
    <s v="C007"/>
    <s v="CT001"/>
    <n v="23931"/>
    <n v="36687"/>
    <n v="854"/>
    <n v="108"/>
    <m/>
    <n v="113"/>
    <n v="16068"/>
    <n v="141"/>
    <d v="1899-12-30T21:45:00"/>
    <s v="Kochi"/>
    <n v="1"/>
    <m/>
    <n v="1075"/>
    <n v="22.261395348837208"/>
    <s v="High"/>
    <x v="0"/>
    <x v="10"/>
  </r>
  <r>
    <s v="P11634"/>
    <n v="20260224"/>
    <s v="PL005"/>
    <s v="C004"/>
    <s v="CT006"/>
    <n v="4293"/>
    <n v="6790"/>
    <n v="136"/>
    <n v="15"/>
    <n v="11"/>
    <n v="16"/>
    <n v="2618"/>
    <n v="50"/>
    <d v="1899-12-30T18:45:00"/>
    <s v="Mumbai"/>
    <n v="1"/>
    <m/>
    <n v="178"/>
    <n v="24.117977528089888"/>
    <s v="High"/>
    <x v="0"/>
    <x v="1"/>
  </r>
  <r>
    <s v="P11060"/>
    <n v="20251109"/>
    <s v="PL001"/>
    <s v="C005"/>
    <s v="CT004"/>
    <n v="64585"/>
    <n v="68367"/>
    <n v="4718"/>
    <n v="430"/>
    <n v="233"/>
    <n v="376"/>
    <n v="44117"/>
    <n v="352"/>
    <d v="1899-12-30T19:45:00"/>
    <s v="Coimbatore"/>
    <n v="1"/>
    <m/>
    <n v="5757"/>
    <n v="11.218516588500956"/>
    <s v="High"/>
    <x v="1"/>
    <x v="8"/>
  </r>
  <r>
    <s v="P11190"/>
    <n v="20250805"/>
    <s v="PL002"/>
    <s v="C001"/>
    <s v="CT002"/>
    <n v="20438"/>
    <n v="28243"/>
    <n v="1614"/>
    <n v="84"/>
    <n v="316"/>
    <n v="169"/>
    <n v="0"/>
    <n v="188"/>
    <d v="1899-12-30T18:00:00"/>
    <s v="Chennai"/>
    <n v="1"/>
    <m/>
    <n v="2183"/>
    <n v="9.3623453962437022"/>
    <s v="Medium"/>
    <x v="1"/>
    <x v="9"/>
  </r>
  <r>
    <s v="P10082"/>
    <n v="20260508"/>
    <s v="PL003"/>
    <s v="C002"/>
    <s v="CT006"/>
    <n v="7499"/>
    <n v="8507"/>
    <n v="332"/>
    <n v="45"/>
    <n v="25"/>
    <n v="24"/>
    <n v="3076"/>
    <n v="88"/>
    <d v="1899-12-30T21:30:00"/>
    <s v="Kochi"/>
    <n v="1"/>
    <m/>
    <n v="426"/>
    <n v="17.603286384976524"/>
    <s v="High"/>
    <x v="0"/>
    <x v="10"/>
  </r>
  <r>
    <s v="P10940"/>
    <n v="20251120"/>
    <s v="PL004"/>
    <s v="C002"/>
    <s v="CT004"/>
    <n v="54277"/>
    <n v="71628"/>
    <n v="5671"/>
    <n v="615"/>
    <n v="247"/>
    <n v="618"/>
    <n v="28677"/>
    <n v="746"/>
    <d v="1899-12-30T20:15:00"/>
    <s v="Kolkata"/>
    <n v="1"/>
    <m/>
    <n v="7151"/>
    <n v="7.5901272549293806"/>
    <s v="Medium"/>
    <x v="1"/>
    <x v="8"/>
  </r>
  <r>
    <s v="P10557"/>
    <n v="20250709"/>
    <s v="PL001"/>
    <s v="C001"/>
    <s v="CT004"/>
    <n v="66584"/>
    <n v="71198"/>
    <n v="7907"/>
    <n v="324"/>
    <n v="396"/>
    <n v="515"/>
    <n v="54358"/>
    <n v="496"/>
    <d v="1899-12-30T11:45:00"/>
    <s v="Kolkata"/>
    <n v="1"/>
    <m/>
    <n v="9142"/>
    <n v="7.283307810107198"/>
    <s v="Medium"/>
    <x v="1"/>
    <x v="2"/>
  </r>
  <r>
    <s v="P11956"/>
    <n v="20250510"/>
    <s v="PL001"/>
    <s v="C007"/>
    <s v="CT004"/>
    <n v="67785"/>
    <n v="94284"/>
    <n v="4522"/>
    <n v="277"/>
    <n v="479"/>
    <n v="352"/>
    <n v="53855"/>
    <n v="700"/>
    <d v="1899-12-30T19:00:00"/>
    <s v="Kolkata"/>
    <n v="1"/>
    <m/>
    <n v="5630"/>
    <n v="12.039964476021314"/>
    <s v="High"/>
    <x v="1"/>
    <x v="10"/>
  </r>
  <r>
    <s v="P10575"/>
    <n v="20260317"/>
    <s v="PL001"/>
    <s v="C004"/>
    <s v="CT004"/>
    <n v="13026"/>
    <n v="18822"/>
    <n v="1467"/>
    <n v="45"/>
    <n v="251"/>
    <n v="188"/>
    <n v="9208"/>
    <n v="99"/>
    <d v="1899-12-30T17:15:00"/>
    <s v="Kochi"/>
    <n v="1"/>
    <m/>
    <n v="1951"/>
    <n v="6.6765761148129164"/>
    <s v="Medium"/>
    <x v="0"/>
    <x v="3"/>
  </r>
  <r>
    <s v="P10608"/>
    <n v="20260125"/>
    <s v="PL002"/>
    <s v="C006"/>
    <s v="CT003"/>
    <n v="32764"/>
    <n v="35806"/>
    <n v="1141"/>
    <n v="47"/>
    <n v="49"/>
    <n v="138"/>
    <n v="0"/>
    <n v="328"/>
    <d v="1899-12-30T21:15:00"/>
    <s v="Mumbai"/>
    <n v="1"/>
    <m/>
    <n v="1375"/>
    <n v="23.828363636363637"/>
    <s v="High"/>
    <x v="0"/>
    <x v="7"/>
  </r>
  <r>
    <s v="P11032"/>
    <n v="20251101"/>
    <s v="PL004"/>
    <s v="C005"/>
    <s v="CT002"/>
    <n v="19918"/>
    <n v="23555"/>
    <n v="1921"/>
    <n v="93"/>
    <n v="261"/>
    <n v="261"/>
    <n v="0"/>
    <n v="149"/>
    <d v="1899-12-30T13:15:00"/>
    <s v="Kochi"/>
    <n v="1"/>
    <m/>
    <n v="2536"/>
    <n v="7.85410094637224"/>
    <s v="Medium"/>
    <x v="1"/>
    <x v="8"/>
  </r>
  <r>
    <s v="P11506"/>
    <n v="20260828"/>
    <s v="PL003"/>
    <s v="C001"/>
    <s v="CT002"/>
    <n v="15811"/>
    <n v="21584"/>
    <n v="865"/>
    <n v="32"/>
    <n v="82"/>
    <n v="134"/>
    <n v="0"/>
    <n v="264"/>
    <d v="1899-12-30T13:15:00"/>
    <s v="Pune"/>
    <n v="1"/>
    <m/>
    <n v="1113"/>
    <n v="14.20575022461815"/>
    <s v="High"/>
    <x v="0"/>
    <x v="9"/>
  </r>
  <r>
    <s v="P11234"/>
    <n v="20260126"/>
    <s v="PL001"/>
    <s v="C004"/>
    <s v="CT001"/>
    <n v="47714"/>
    <n v="62470"/>
    <n v="1872"/>
    <n v="217"/>
    <n v="144"/>
    <n v="188"/>
    <n v="39216"/>
    <n v="461"/>
    <d v="1899-12-30T08:00:00"/>
    <s v="Pune"/>
    <n v="1"/>
    <m/>
    <n v="2421"/>
    <n v="19.708384964890541"/>
    <s v="High"/>
    <x v="0"/>
    <x v="7"/>
  </r>
  <r>
    <s v="P11097"/>
    <n v="20250429"/>
    <s v="PL003"/>
    <s v="C002"/>
    <s v="CT001"/>
    <n v="30901"/>
    <n v="45459"/>
    <n v="2211"/>
    <n v="77"/>
    <n v="368"/>
    <n v="182"/>
    <n v="14219"/>
    <n v="166"/>
    <d v="1899-12-30T22:00:00"/>
    <s v="Chennai"/>
    <n v="1"/>
    <m/>
    <n v="2838"/>
    <n v="10.88830162085976"/>
    <s v="High"/>
    <x v="1"/>
    <x v="11"/>
  </r>
  <r>
    <s v="P10399"/>
    <n v="20250723"/>
    <s v="PL003"/>
    <s v="C001"/>
    <s v="CT006"/>
    <n v="22045"/>
    <n v="30314"/>
    <n v="1839"/>
    <n v="125"/>
    <n v="62"/>
    <n v="47"/>
    <n v="9573"/>
    <n v="153"/>
    <d v="1899-12-30T09:15:00"/>
    <s v="Kochi"/>
    <n v="1"/>
    <m/>
    <n v="2073"/>
    <n v="10.634346357935359"/>
    <s v="High"/>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298CBC-82FC-42AC-B811-DA12AD2F44C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E9" firstHeaderRow="0" firstDataRow="1" firstDataCol="1"/>
  <pivotFields count="20">
    <pivotField showAll="0"/>
    <pivotField showAll="0"/>
    <pivotField axis="axisRow" showAll="0">
      <items count="6">
        <item x="0"/>
        <item x="4"/>
        <item x="3"/>
        <item x="1"/>
        <item x="2"/>
        <item t="default"/>
      </items>
    </pivotField>
    <pivotField showAll="0">
      <items count="9">
        <item x="6"/>
        <item h="1" x="5"/>
        <item h="1" x="3"/>
        <item h="1" x="1"/>
        <item h="1" x="4"/>
        <item h="1" x="2"/>
        <item h="1" x="0"/>
        <item h="1" x="7"/>
        <item t="default"/>
      </items>
    </pivotField>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dataField="1" showAll="0"/>
    <pivotField showAll="0"/>
    <pivotField showAll="0"/>
  </pivotFields>
  <rowFields count="1">
    <field x="2"/>
  </rowFields>
  <rowItems count="6">
    <i>
      <x/>
    </i>
    <i>
      <x v="1"/>
    </i>
    <i>
      <x v="2"/>
    </i>
    <i>
      <x v="3"/>
    </i>
    <i>
      <x v="4"/>
    </i>
    <i t="grand">
      <x/>
    </i>
  </rowItems>
  <colFields count="1">
    <field x="-2"/>
  </colFields>
  <colItems count="4">
    <i>
      <x/>
    </i>
    <i i="1">
      <x v="1"/>
    </i>
    <i i="2">
      <x v="2"/>
    </i>
    <i i="3">
      <x v="3"/>
    </i>
  </colItems>
  <dataFields count="4">
    <dataField name="Sum of Likes" fld="7" baseField="0" baseItem="0"/>
    <dataField name="Sum of Comments" fld="8" baseField="0" baseItem="0"/>
    <dataField name="Sum of Shares" fld="9" baseField="0" baseItem="0"/>
    <dataField name="Sum of Tot Engagement" fld="1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1CD24A-226B-42F6-ABFF-782CD644DD6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0" firstDataRow="1" firstDataCol="1"/>
  <pivotFields count="20">
    <pivotField showAll="0"/>
    <pivotField showAll="0"/>
    <pivotField showAll="0"/>
    <pivotField showAll="0"/>
    <pivotField axis="axisRow" showAll="0">
      <items count="7">
        <item x="4"/>
        <item x="0"/>
        <item x="5"/>
        <item x="3"/>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s>
  <rowFields count="1">
    <field x="4"/>
  </rowFields>
  <rowItems count="7">
    <i>
      <x/>
    </i>
    <i>
      <x v="1"/>
    </i>
    <i>
      <x v="2"/>
    </i>
    <i>
      <x v="3"/>
    </i>
    <i>
      <x v="4"/>
    </i>
    <i>
      <x v="5"/>
    </i>
    <i t="grand">
      <x/>
    </i>
  </rowItems>
  <colFields count="1">
    <field x="-2"/>
  </colFields>
  <colItems count="2">
    <i>
      <x/>
    </i>
    <i i="1">
      <x v="1"/>
    </i>
  </colItems>
  <dataFields count="2">
    <dataField name="Sum of Tot Engagement" fld="17" baseField="0" baseItem="0"/>
    <dataField name="Sum of Engagement Rate"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6E60CF-C133-4151-AD35-D29A3DDB49A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27" firstHeaderRow="0" firstDataRow="1" firstDataCol="1"/>
  <pivotFields count="22">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axis="axisRow" showAll="0">
      <items count="3">
        <item x="1"/>
        <item x="0"/>
        <item t="default"/>
      </items>
    </pivotField>
    <pivotField axis="axisRow" showAll="0">
      <items count="13">
        <item x="7"/>
        <item x="1"/>
        <item x="3"/>
        <item x="11"/>
        <item x="10"/>
        <item x="4"/>
        <item x="2"/>
        <item x="9"/>
        <item x="0"/>
        <item x="5"/>
        <item x="8"/>
        <item x="6"/>
        <item t="default"/>
      </items>
    </pivotField>
  </pivotFields>
  <rowFields count="2">
    <field x="20"/>
    <field x="21"/>
  </rowFields>
  <rowItems count="24">
    <i>
      <x/>
    </i>
    <i r="1">
      <x/>
    </i>
    <i r="1">
      <x v="1"/>
    </i>
    <i r="1">
      <x v="2"/>
    </i>
    <i r="1">
      <x v="3"/>
    </i>
    <i r="1">
      <x v="4"/>
    </i>
    <i r="1">
      <x v="5"/>
    </i>
    <i r="1">
      <x v="6"/>
    </i>
    <i r="1">
      <x v="7"/>
    </i>
    <i r="1">
      <x v="8"/>
    </i>
    <i r="1">
      <x v="9"/>
    </i>
    <i r="1">
      <x v="10"/>
    </i>
    <i r="1">
      <x v="11"/>
    </i>
    <i>
      <x v="1"/>
    </i>
    <i r="1">
      <x/>
    </i>
    <i r="1">
      <x v="1"/>
    </i>
    <i r="1">
      <x v="2"/>
    </i>
    <i r="1">
      <x v="3"/>
    </i>
    <i r="1">
      <x v="4"/>
    </i>
    <i r="1">
      <x v="5"/>
    </i>
    <i r="1">
      <x v="6"/>
    </i>
    <i r="1">
      <x v="7"/>
    </i>
    <i r="1">
      <x v="8"/>
    </i>
    <i t="grand">
      <x/>
    </i>
  </rowItems>
  <colFields count="1">
    <field x="-2"/>
  </colFields>
  <colItems count="3">
    <i>
      <x/>
    </i>
    <i i="1">
      <x v="1"/>
    </i>
    <i i="2">
      <x v="2"/>
    </i>
  </colItems>
  <dataFields count="3">
    <dataField name="Sum of Tot Engagement" fld="17" baseField="0" baseItem="0"/>
    <dataField name="Sum of Reach" fld="5" baseField="0" baseItem="0"/>
    <dataField name="Sum of Followers_Gained" fld="12"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_ID" xr10:uid="{7560CE50-1FF9-4766-9E7B-2F893DEE7DA7}" sourceName="Platform_ID">
  <pivotTables>
    <pivotTable tabId="3" name="PivotTable1"/>
  </pivotTables>
  <data>
    <tabular pivotCacheId="1058889504">
      <items count="5">
        <i x="0" s="1"/>
        <i x="4"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ID" xr10:uid="{52221986-0F75-434D-B086-0398AF6D8FEF}" sourceName="Campaign_ID">
  <pivotTables>
    <pivotTable tabId="3" name="PivotTable1"/>
  </pivotTables>
  <data>
    <tabular pivotCacheId="1058889504">
      <items count="8">
        <i x="6" s="1"/>
        <i x="5"/>
        <i x="3"/>
        <i x="1"/>
        <i x="4"/>
        <i x="2"/>
        <i x="0"/>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_ID" xr10:uid="{12120485-A78A-4143-BF98-98579F5ACFBF}" cache="Slicer_Platform_ID" caption="Platform_ID" rowHeight="247650"/>
  <slicer name="Campaign_ID" xr10:uid="{A215DD6C-58B9-4892-953D-96D8B72BE4F4}" cache="Slicer_Campaign_ID" caption="Campaign_ID"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F91A24-7F41-45D3-A227-443EADB185D0}" name="Table1" displayName="Table1" ref="A1:O2001" totalsRowShown="0">
  <autoFilter ref="A1:O2001" xr:uid="{61F91A24-7F41-45D3-A227-443EADB185D0}"/>
  <tableColumns count="15">
    <tableColumn id="1" xr3:uid="{60DB4520-56D6-4877-BDB9-AAC54F0FD78D}" name="Post_ID"/>
    <tableColumn id="2" xr3:uid="{A1C92F55-C919-45C3-A8AF-4ED342A9D574}" name="Date_Key"/>
    <tableColumn id="3" xr3:uid="{6F1AA7D4-A03E-49BD-8D7E-1A8EBA751827}" name="Platform_ID"/>
    <tableColumn id="4" xr3:uid="{0CB8A137-63D7-43A1-8F7A-2F22DF47DCAB}" name="Campaign_ID"/>
    <tableColumn id="5" xr3:uid="{86635C22-42D7-45E9-B8CC-6853E5B24ED6}" name="Content_ID"/>
    <tableColumn id="6" xr3:uid="{D817BC0E-B771-4A94-A156-1DB78E07909B}" name="Reach"/>
    <tableColumn id="7" xr3:uid="{6BED9C92-3B8F-4DD3-96B9-5C54A905191D}" name="Impressions"/>
    <tableColumn id="8" xr3:uid="{5141D978-C21F-4EC9-93A4-F5DD2B2DBE2E}" name="Likes"/>
    <tableColumn id="9" xr3:uid="{4D0FA94A-478D-4C28-9BB2-9521ED6889C7}" name="Comments"/>
    <tableColumn id="10" xr3:uid="{D35D3328-1878-465E-A0C5-126A8D0AEE78}" name="Shares"/>
    <tableColumn id="11" xr3:uid="{4D9EE2BC-B2BC-4F24-85DA-4C33F2D251C7}" name="Saves"/>
    <tableColumn id="12" xr3:uid="{C31B92B2-B9B7-4C8F-9146-D7D1AF4AEF2B}" name="Video_Views"/>
    <tableColumn id="13" xr3:uid="{FA507AC1-8D0E-4BED-8834-A70A7072F545}" name="Followers_Gained"/>
    <tableColumn id="14" xr3:uid="{0EA9BC39-3F63-4FAF-8774-7081239212F7}" name="Posting_Time" dataDxfId="0"/>
    <tableColumn id="15" xr3:uid="{20BC5EB3-A52A-41A1-9609-6845EACD8CCD}" name="Loc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71B22-7CD5-48F0-A2BD-036079B27793}">
  <dimension ref="A1:O2001"/>
  <sheetViews>
    <sheetView topLeftCell="A474" workbookViewId="0">
      <selection sqref="A1:O500"/>
    </sheetView>
  </sheetViews>
  <sheetFormatPr defaultRowHeight="14.4" x14ac:dyDescent="0.3"/>
  <cols>
    <col min="1" max="1" width="9.109375" customWidth="1"/>
    <col min="2" max="2" width="10.5546875" customWidth="1"/>
    <col min="3" max="3" width="12.6640625" customWidth="1"/>
    <col min="4" max="4" width="13.88671875" customWidth="1"/>
    <col min="5" max="5" width="12" customWidth="1"/>
    <col min="7" max="7" width="13.109375" customWidth="1"/>
    <col min="9" max="9" width="12" customWidth="1"/>
    <col min="12" max="12" width="13.33203125" customWidth="1"/>
    <col min="13" max="13" width="17.6640625" customWidth="1"/>
    <col min="14" max="14" width="13.88671875" customWidth="1"/>
    <col min="15" max="15" width="10"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v>20260914</v>
      </c>
      <c r="C2" t="s">
        <v>16</v>
      </c>
      <c r="D2" t="s">
        <v>17</v>
      </c>
      <c r="E2" t="s">
        <v>18</v>
      </c>
      <c r="F2">
        <v>20555</v>
      </c>
      <c r="G2">
        <v>32660</v>
      </c>
      <c r="H2">
        <v>1829</v>
      </c>
      <c r="I2">
        <v>159</v>
      </c>
      <c r="J2">
        <v>243</v>
      </c>
      <c r="K2">
        <v>197</v>
      </c>
      <c r="L2">
        <v>0</v>
      </c>
      <c r="M2">
        <v>233</v>
      </c>
      <c r="N2" s="1">
        <v>0.72916666666666663</v>
      </c>
      <c r="O2" t="s">
        <v>19</v>
      </c>
    </row>
    <row r="3" spans="1:15" x14ac:dyDescent="0.3">
      <c r="A3" t="s">
        <v>20</v>
      </c>
      <c r="B3">
        <v>20250227</v>
      </c>
      <c r="C3" t="s">
        <v>16</v>
      </c>
      <c r="D3" t="s">
        <v>21</v>
      </c>
      <c r="E3" t="s">
        <v>22</v>
      </c>
      <c r="F3">
        <v>28426</v>
      </c>
      <c r="G3">
        <v>35838</v>
      </c>
      <c r="H3">
        <v>1159</v>
      </c>
      <c r="I3">
        <v>55</v>
      </c>
      <c r="J3">
        <v>211</v>
      </c>
      <c r="K3">
        <v>138</v>
      </c>
      <c r="L3">
        <v>0</v>
      </c>
      <c r="M3">
        <v>120</v>
      </c>
      <c r="N3" s="1">
        <v>0.61458333333333337</v>
      </c>
      <c r="O3" t="s">
        <v>23</v>
      </c>
    </row>
    <row r="4" spans="1:15" x14ac:dyDescent="0.3">
      <c r="A4" t="s">
        <v>24</v>
      </c>
      <c r="B4">
        <v>20260226</v>
      </c>
      <c r="C4" t="s">
        <v>25</v>
      </c>
      <c r="D4" t="s">
        <v>21</v>
      </c>
      <c r="E4" t="s">
        <v>26</v>
      </c>
      <c r="F4">
        <v>21926</v>
      </c>
      <c r="G4">
        <v>25549</v>
      </c>
      <c r="H4">
        <v>1948</v>
      </c>
      <c r="I4">
        <v>123</v>
      </c>
      <c r="J4">
        <v>317</v>
      </c>
      <c r="K4">
        <v>195</v>
      </c>
      <c r="L4">
        <v>14118</v>
      </c>
      <c r="M4">
        <v>234</v>
      </c>
      <c r="N4" s="1">
        <v>0.84375</v>
      </c>
      <c r="O4" t="s">
        <v>27</v>
      </c>
    </row>
    <row r="5" spans="1:15" x14ac:dyDescent="0.3">
      <c r="A5" t="s">
        <v>28</v>
      </c>
      <c r="B5">
        <v>20250703</v>
      </c>
      <c r="C5" t="s">
        <v>16</v>
      </c>
      <c r="D5" t="s">
        <v>29</v>
      </c>
      <c r="E5" t="s">
        <v>18</v>
      </c>
      <c r="F5">
        <v>10541</v>
      </c>
      <c r="G5">
        <v>13625</v>
      </c>
      <c r="H5">
        <v>457</v>
      </c>
      <c r="I5">
        <v>53</v>
      </c>
      <c r="J5">
        <v>40</v>
      </c>
      <c r="K5">
        <v>36</v>
      </c>
      <c r="L5">
        <v>0</v>
      </c>
      <c r="M5">
        <v>32</v>
      </c>
      <c r="N5" s="1">
        <v>0.41666666666666669</v>
      </c>
      <c r="O5" t="s">
        <v>30</v>
      </c>
    </row>
    <row r="6" spans="1:15" x14ac:dyDescent="0.3">
      <c r="A6" t="s">
        <v>31</v>
      </c>
      <c r="B6">
        <v>20260220</v>
      </c>
      <c r="C6" t="s">
        <v>32</v>
      </c>
      <c r="D6" t="s">
        <v>33</v>
      </c>
      <c r="E6" t="s">
        <v>26</v>
      </c>
      <c r="F6">
        <v>4889</v>
      </c>
      <c r="G6">
        <v>5589</v>
      </c>
      <c r="H6">
        <v>385</v>
      </c>
      <c r="I6">
        <v>38</v>
      </c>
      <c r="J6">
        <v>68</v>
      </c>
      <c r="K6">
        <v>28</v>
      </c>
      <c r="L6">
        <v>2288</v>
      </c>
      <c r="M6">
        <v>28</v>
      </c>
      <c r="N6" s="1">
        <v>0.55208333333333337</v>
      </c>
      <c r="O6" t="s">
        <v>34</v>
      </c>
    </row>
    <row r="7" spans="1:15" x14ac:dyDescent="0.3">
      <c r="A7" t="s">
        <v>35</v>
      </c>
      <c r="B7">
        <v>20250305</v>
      </c>
      <c r="C7" t="s">
        <v>16</v>
      </c>
      <c r="D7" t="s">
        <v>36</v>
      </c>
      <c r="E7" t="s">
        <v>18</v>
      </c>
      <c r="F7">
        <v>11965</v>
      </c>
      <c r="G7">
        <v>12832</v>
      </c>
      <c r="H7">
        <v>1168</v>
      </c>
      <c r="I7">
        <v>56</v>
      </c>
      <c r="J7">
        <v>112</v>
      </c>
      <c r="K7">
        <v>132</v>
      </c>
      <c r="L7">
        <v>0</v>
      </c>
      <c r="M7">
        <v>44</v>
      </c>
      <c r="N7" s="1">
        <v>0.5</v>
      </c>
      <c r="O7" t="s">
        <v>19</v>
      </c>
    </row>
    <row r="8" spans="1:15" x14ac:dyDescent="0.3">
      <c r="A8" t="s">
        <v>37</v>
      </c>
      <c r="B8">
        <v>20250615</v>
      </c>
      <c r="C8" t="s">
        <v>25</v>
      </c>
      <c r="D8" t="s">
        <v>21</v>
      </c>
      <c r="E8" t="s">
        <v>26</v>
      </c>
      <c r="F8">
        <v>12913</v>
      </c>
      <c r="G8">
        <v>18106</v>
      </c>
      <c r="H8">
        <v>894</v>
      </c>
      <c r="I8">
        <v>25</v>
      </c>
      <c r="J8">
        <v>117</v>
      </c>
      <c r="K8">
        <v>25</v>
      </c>
      <c r="L8">
        <v>10186</v>
      </c>
      <c r="M8">
        <v>33</v>
      </c>
      <c r="N8" s="1">
        <v>0.64583333333333337</v>
      </c>
      <c r="O8" t="s">
        <v>38</v>
      </c>
    </row>
    <row r="9" spans="1:15" x14ac:dyDescent="0.3">
      <c r="A9" t="s">
        <v>39</v>
      </c>
      <c r="B9">
        <v>20250201</v>
      </c>
      <c r="C9" t="s">
        <v>40</v>
      </c>
      <c r="D9" t="s">
        <v>17</v>
      </c>
      <c r="E9" t="s">
        <v>41</v>
      </c>
      <c r="F9">
        <v>35079</v>
      </c>
      <c r="G9">
        <v>38997</v>
      </c>
      <c r="H9">
        <v>2034</v>
      </c>
      <c r="I9">
        <v>180</v>
      </c>
      <c r="J9">
        <v>161</v>
      </c>
      <c r="K9">
        <v>229</v>
      </c>
      <c r="L9">
        <v>16625</v>
      </c>
      <c r="M9">
        <v>570</v>
      </c>
      <c r="N9" s="1">
        <v>0.8125</v>
      </c>
      <c r="O9" t="s">
        <v>42</v>
      </c>
    </row>
    <row r="10" spans="1:15" x14ac:dyDescent="0.3">
      <c r="A10" t="s">
        <v>43</v>
      </c>
      <c r="B10">
        <v>20251006</v>
      </c>
      <c r="C10" t="s">
        <v>44</v>
      </c>
      <c r="D10" t="s">
        <v>36</v>
      </c>
      <c r="E10" t="s">
        <v>26</v>
      </c>
      <c r="F10">
        <v>33431</v>
      </c>
      <c r="G10">
        <v>43499</v>
      </c>
      <c r="H10">
        <v>1576</v>
      </c>
      <c r="I10">
        <v>106</v>
      </c>
      <c r="J10">
        <v>270</v>
      </c>
      <c r="K10">
        <v>109</v>
      </c>
      <c r="L10">
        <v>22011</v>
      </c>
      <c r="M10">
        <v>528</v>
      </c>
      <c r="N10" s="1">
        <v>0.8125</v>
      </c>
      <c r="O10" t="s">
        <v>38</v>
      </c>
    </row>
    <row r="11" spans="1:15" x14ac:dyDescent="0.3">
      <c r="A11" t="s">
        <v>45</v>
      </c>
      <c r="B11">
        <v>20251009</v>
      </c>
      <c r="C11" t="s">
        <v>44</v>
      </c>
      <c r="D11" t="s">
        <v>17</v>
      </c>
      <c r="E11" t="s">
        <v>46</v>
      </c>
      <c r="F11">
        <v>40700</v>
      </c>
      <c r="G11">
        <v>56415</v>
      </c>
      <c r="H11">
        <v>2798</v>
      </c>
      <c r="I11">
        <v>313</v>
      </c>
      <c r="J11">
        <v>302</v>
      </c>
      <c r="K11">
        <v>396</v>
      </c>
      <c r="L11">
        <v>30771</v>
      </c>
      <c r="M11">
        <v>634</v>
      </c>
      <c r="N11" s="1">
        <v>0.75</v>
      </c>
      <c r="O11" t="s">
        <v>47</v>
      </c>
    </row>
    <row r="12" spans="1:15" x14ac:dyDescent="0.3">
      <c r="A12" t="s">
        <v>48</v>
      </c>
      <c r="B12">
        <v>20260219</v>
      </c>
      <c r="C12" t="s">
        <v>25</v>
      </c>
      <c r="D12" t="s">
        <v>36</v>
      </c>
      <c r="E12" t="s">
        <v>41</v>
      </c>
      <c r="F12">
        <v>12705</v>
      </c>
      <c r="G12">
        <v>19621</v>
      </c>
      <c r="H12">
        <v>1510</v>
      </c>
      <c r="I12">
        <v>141</v>
      </c>
      <c r="J12">
        <v>150</v>
      </c>
      <c r="K12">
        <v>220</v>
      </c>
      <c r="L12">
        <v>8981</v>
      </c>
      <c r="M12">
        <v>50</v>
      </c>
      <c r="N12" s="1">
        <v>0.34375</v>
      </c>
      <c r="O12" t="s">
        <v>49</v>
      </c>
    </row>
    <row r="13" spans="1:15" x14ac:dyDescent="0.3">
      <c r="A13" t="s">
        <v>50</v>
      </c>
      <c r="B13">
        <v>20250621</v>
      </c>
      <c r="C13" t="s">
        <v>16</v>
      </c>
      <c r="D13" t="s">
        <v>36</v>
      </c>
      <c r="E13" t="s">
        <v>51</v>
      </c>
      <c r="F13">
        <v>19932</v>
      </c>
      <c r="G13">
        <v>21430</v>
      </c>
      <c r="H13">
        <v>1542</v>
      </c>
      <c r="I13">
        <v>105</v>
      </c>
      <c r="J13">
        <v>196</v>
      </c>
      <c r="K13">
        <v>113</v>
      </c>
      <c r="L13">
        <v>0</v>
      </c>
      <c r="M13">
        <v>38</v>
      </c>
      <c r="N13" s="1">
        <v>0.67708333333333337</v>
      </c>
      <c r="O13" t="s">
        <v>27</v>
      </c>
    </row>
    <row r="14" spans="1:15" x14ac:dyDescent="0.3">
      <c r="A14" t="s">
        <v>52</v>
      </c>
      <c r="B14">
        <v>20250311</v>
      </c>
      <c r="C14" t="s">
        <v>32</v>
      </c>
      <c r="D14" t="s">
        <v>17</v>
      </c>
      <c r="E14" t="s">
        <v>41</v>
      </c>
      <c r="F14">
        <v>12799</v>
      </c>
      <c r="G14">
        <v>19658</v>
      </c>
      <c r="H14">
        <v>504</v>
      </c>
      <c r="I14">
        <v>25</v>
      </c>
      <c r="J14">
        <v>67</v>
      </c>
      <c r="K14">
        <v>34</v>
      </c>
      <c r="L14">
        <v>9598</v>
      </c>
      <c r="M14">
        <v>144</v>
      </c>
      <c r="N14" s="1">
        <v>0.32291666666666669</v>
      </c>
      <c r="O14" t="s">
        <v>53</v>
      </c>
    </row>
    <row r="15" spans="1:15" x14ac:dyDescent="0.3">
      <c r="A15" t="s">
        <v>54</v>
      </c>
      <c r="B15">
        <v>20251218</v>
      </c>
      <c r="C15" t="s">
        <v>16</v>
      </c>
      <c r="D15" t="s">
        <v>33</v>
      </c>
      <c r="E15" t="s">
        <v>46</v>
      </c>
      <c r="F15">
        <v>62099</v>
      </c>
      <c r="G15">
        <v>70176</v>
      </c>
      <c r="H15">
        <v>7155</v>
      </c>
      <c r="I15">
        <v>760</v>
      </c>
      <c r="J15">
        <v>755</v>
      </c>
      <c r="K15">
        <v>357</v>
      </c>
      <c r="L15">
        <v>32702</v>
      </c>
      <c r="M15">
        <v>404</v>
      </c>
      <c r="N15" s="1">
        <v>0.78125</v>
      </c>
      <c r="O15" t="s">
        <v>30</v>
      </c>
    </row>
    <row r="16" spans="1:15" x14ac:dyDescent="0.3">
      <c r="A16" t="s">
        <v>55</v>
      </c>
      <c r="B16">
        <v>20260109</v>
      </c>
      <c r="C16" t="s">
        <v>16</v>
      </c>
      <c r="D16" t="s">
        <v>33</v>
      </c>
      <c r="E16" t="s">
        <v>41</v>
      </c>
      <c r="F16">
        <v>42831</v>
      </c>
      <c r="G16">
        <v>58166</v>
      </c>
      <c r="H16">
        <v>3755</v>
      </c>
      <c r="I16">
        <v>496</v>
      </c>
      <c r="K16">
        <v>221</v>
      </c>
      <c r="L16">
        <v>25284</v>
      </c>
      <c r="M16">
        <v>291</v>
      </c>
      <c r="N16" s="1">
        <v>0.375</v>
      </c>
    </row>
    <row r="17" spans="1:15" x14ac:dyDescent="0.3">
      <c r="A17" t="s">
        <v>56</v>
      </c>
      <c r="B17">
        <v>20251107</v>
      </c>
      <c r="C17" t="s">
        <v>16</v>
      </c>
      <c r="D17" t="s">
        <v>36</v>
      </c>
      <c r="E17" t="s">
        <v>46</v>
      </c>
      <c r="F17">
        <v>40666</v>
      </c>
      <c r="G17">
        <v>58779</v>
      </c>
      <c r="H17">
        <v>1418</v>
      </c>
      <c r="I17">
        <v>109</v>
      </c>
      <c r="J17">
        <v>44</v>
      </c>
      <c r="K17">
        <v>167</v>
      </c>
      <c r="L17">
        <v>18822</v>
      </c>
      <c r="M17">
        <v>91</v>
      </c>
      <c r="N17" s="1">
        <v>0.80208333333333337</v>
      </c>
      <c r="O17" t="s">
        <v>47</v>
      </c>
    </row>
    <row r="18" spans="1:15" x14ac:dyDescent="0.3">
      <c r="A18" t="s">
        <v>57</v>
      </c>
      <c r="B18">
        <v>20250901</v>
      </c>
      <c r="C18" t="s">
        <v>40</v>
      </c>
      <c r="D18" t="s">
        <v>21</v>
      </c>
      <c r="E18" t="s">
        <v>46</v>
      </c>
      <c r="F18">
        <v>7941</v>
      </c>
      <c r="G18">
        <v>12390</v>
      </c>
      <c r="H18">
        <v>665</v>
      </c>
      <c r="I18">
        <v>30</v>
      </c>
      <c r="J18">
        <v>27</v>
      </c>
      <c r="K18">
        <v>35</v>
      </c>
      <c r="L18">
        <v>6645</v>
      </c>
      <c r="M18">
        <v>54</v>
      </c>
      <c r="N18" s="1">
        <v>0.75</v>
      </c>
      <c r="O18" t="s">
        <v>38</v>
      </c>
    </row>
    <row r="19" spans="1:15" x14ac:dyDescent="0.3">
      <c r="A19" t="s">
        <v>58</v>
      </c>
      <c r="B19">
        <v>20250806</v>
      </c>
      <c r="C19" t="s">
        <v>16</v>
      </c>
      <c r="D19" t="s">
        <v>29</v>
      </c>
      <c r="E19" t="s">
        <v>26</v>
      </c>
      <c r="F19">
        <v>10664</v>
      </c>
      <c r="G19">
        <v>13601</v>
      </c>
      <c r="H19">
        <v>974</v>
      </c>
      <c r="I19">
        <v>87</v>
      </c>
      <c r="J19">
        <v>87</v>
      </c>
      <c r="K19">
        <v>113</v>
      </c>
      <c r="L19">
        <v>6022</v>
      </c>
      <c r="M19">
        <v>12</v>
      </c>
      <c r="N19" s="1">
        <v>0.84375</v>
      </c>
      <c r="O19" t="s">
        <v>38</v>
      </c>
    </row>
    <row r="20" spans="1:15" x14ac:dyDescent="0.3">
      <c r="A20" t="s">
        <v>59</v>
      </c>
      <c r="B20">
        <v>20250325</v>
      </c>
      <c r="C20" t="s">
        <v>25</v>
      </c>
      <c r="D20" t="s">
        <v>36</v>
      </c>
      <c r="E20" t="s">
        <v>46</v>
      </c>
      <c r="F20">
        <v>11035</v>
      </c>
      <c r="G20">
        <v>12100</v>
      </c>
      <c r="H20">
        <v>1159</v>
      </c>
      <c r="I20">
        <v>158</v>
      </c>
      <c r="J20">
        <v>149</v>
      </c>
      <c r="K20">
        <v>101</v>
      </c>
      <c r="L20">
        <v>4105</v>
      </c>
      <c r="M20">
        <v>73</v>
      </c>
      <c r="N20" s="1">
        <v>0.90625</v>
      </c>
      <c r="O20" t="s">
        <v>49</v>
      </c>
    </row>
    <row r="21" spans="1:15" x14ac:dyDescent="0.3">
      <c r="A21" t="s">
        <v>60</v>
      </c>
      <c r="B21">
        <v>20260526</v>
      </c>
      <c r="C21" t="s">
        <v>40</v>
      </c>
      <c r="D21" t="s">
        <v>61</v>
      </c>
      <c r="E21" t="s">
        <v>51</v>
      </c>
      <c r="F21">
        <v>10952</v>
      </c>
      <c r="G21">
        <v>15385</v>
      </c>
      <c r="H21">
        <v>481</v>
      </c>
      <c r="I21">
        <v>25</v>
      </c>
      <c r="J21">
        <v>64</v>
      </c>
      <c r="K21">
        <v>34</v>
      </c>
      <c r="L21">
        <v>0</v>
      </c>
      <c r="M21">
        <v>111</v>
      </c>
      <c r="N21" s="1">
        <v>0.82291666666666663</v>
      </c>
      <c r="O21" t="s">
        <v>53</v>
      </c>
    </row>
    <row r="22" spans="1:15" x14ac:dyDescent="0.3">
      <c r="A22" t="s">
        <v>62</v>
      </c>
      <c r="B22">
        <v>20251116</v>
      </c>
      <c r="C22" t="s">
        <v>25</v>
      </c>
      <c r="D22" t="s">
        <v>21</v>
      </c>
      <c r="E22" t="s">
        <v>22</v>
      </c>
      <c r="F22">
        <v>7125</v>
      </c>
      <c r="G22">
        <v>10467</v>
      </c>
      <c r="H22">
        <v>721</v>
      </c>
      <c r="I22">
        <v>34</v>
      </c>
      <c r="J22">
        <v>76</v>
      </c>
      <c r="K22">
        <v>93</v>
      </c>
      <c r="L22">
        <v>0</v>
      </c>
      <c r="M22">
        <v>29</v>
      </c>
      <c r="N22" s="1">
        <v>0.78125</v>
      </c>
      <c r="O22" t="s">
        <v>19</v>
      </c>
    </row>
    <row r="23" spans="1:15" x14ac:dyDescent="0.3">
      <c r="A23" t="s">
        <v>63</v>
      </c>
      <c r="B23">
        <v>20260702</v>
      </c>
      <c r="C23" t="s">
        <v>16</v>
      </c>
      <c r="D23" t="s">
        <v>33</v>
      </c>
      <c r="E23" t="s">
        <v>18</v>
      </c>
      <c r="F23">
        <v>15396</v>
      </c>
      <c r="G23">
        <v>21604</v>
      </c>
      <c r="H23">
        <v>1101</v>
      </c>
      <c r="I23">
        <v>144</v>
      </c>
      <c r="J23">
        <v>87</v>
      </c>
      <c r="K23">
        <v>124</v>
      </c>
      <c r="L23">
        <v>0</v>
      </c>
      <c r="M23">
        <v>140</v>
      </c>
      <c r="N23" s="1">
        <v>0.91666666666666663</v>
      </c>
      <c r="O23" t="s">
        <v>38</v>
      </c>
    </row>
    <row r="24" spans="1:15" x14ac:dyDescent="0.3">
      <c r="A24" t="s">
        <v>64</v>
      </c>
      <c r="B24">
        <v>20260916</v>
      </c>
      <c r="C24" t="s">
        <v>25</v>
      </c>
      <c r="D24" t="s">
        <v>33</v>
      </c>
      <c r="E24" t="s">
        <v>46</v>
      </c>
      <c r="F24">
        <v>25348</v>
      </c>
      <c r="G24">
        <v>33848</v>
      </c>
      <c r="H24">
        <v>2264</v>
      </c>
      <c r="I24">
        <v>135</v>
      </c>
      <c r="J24">
        <v>241</v>
      </c>
      <c r="K24">
        <v>356</v>
      </c>
      <c r="L24">
        <v>19629</v>
      </c>
      <c r="M24">
        <v>363</v>
      </c>
      <c r="N24" s="1">
        <v>0.36458333333333331</v>
      </c>
      <c r="O24" t="s">
        <v>34</v>
      </c>
    </row>
    <row r="25" spans="1:15" x14ac:dyDescent="0.3">
      <c r="A25" t="s">
        <v>65</v>
      </c>
      <c r="B25">
        <v>20250804</v>
      </c>
      <c r="C25" t="s">
        <v>40</v>
      </c>
      <c r="D25" t="s">
        <v>17</v>
      </c>
      <c r="E25" t="s">
        <v>46</v>
      </c>
      <c r="F25">
        <v>10054</v>
      </c>
      <c r="G25">
        <v>11411</v>
      </c>
      <c r="H25">
        <v>700</v>
      </c>
      <c r="I25">
        <v>79</v>
      </c>
      <c r="J25">
        <v>73</v>
      </c>
      <c r="K25">
        <v>37</v>
      </c>
      <c r="L25">
        <v>4697</v>
      </c>
      <c r="M25">
        <v>120</v>
      </c>
      <c r="N25" s="1">
        <v>0.3125</v>
      </c>
      <c r="O25" t="s">
        <v>49</v>
      </c>
    </row>
    <row r="26" spans="1:15" x14ac:dyDescent="0.3">
      <c r="A26" t="s">
        <v>66</v>
      </c>
      <c r="B26">
        <v>20260717</v>
      </c>
      <c r="C26" t="s">
        <v>16</v>
      </c>
      <c r="D26" t="s">
        <v>29</v>
      </c>
      <c r="E26" t="s">
        <v>18</v>
      </c>
      <c r="F26">
        <v>18706</v>
      </c>
      <c r="G26">
        <v>27066</v>
      </c>
      <c r="H26">
        <v>1103</v>
      </c>
      <c r="I26">
        <v>45</v>
      </c>
      <c r="J26">
        <v>138</v>
      </c>
      <c r="K26">
        <v>138</v>
      </c>
      <c r="L26">
        <v>0</v>
      </c>
      <c r="M26">
        <v>219</v>
      </c>
      <c r="N26" s="1">
        <v>0.41666666666666669</v>
      </c>
      <c r="O26" t="s">
        <v>47</v>
      </c>
    </row>
    <row r="27" spans="1:15" x14ac:dyDescent="0.3">
      <c r="A27" t="s">
        <v>67</v>
      </c>
      <c r="B27">
        <v>20251104</v>
      </c>
      <c r="C27" t="s">
        <v>16</v>
      </c>
      <c r="D27" t="s">
        <v>68</v>
      </c>
      <c r="E27" t="s">
        <v>26</v>
      </c>
      <c r="F27">
        <v>8842</v>
      </c>
      <c r="G27">
        <v>9874</v>
      </c>
      <c r="H27">
        <v>227</v>
      </c>
      <c r="I27">
        <v>31</v>
      </c>
      <c r="J27">
        <v>14</v>
      </c>
      <c r="K27">
        <v>34</v>
      </c>
      <c r="L27">
        <v>7515</v>
      </c>
      <c r="M27">
        <v>101</v>
      </c>
      <c r="N27" s="1">
        <v>0.84375</v>
      </c>
      <c r="O27" t="s">
        <v>19</v>
      </c>
    </row>
    <row r="28" spans="1:15" x14ac:dyDescent="0.3">
      <c r="A28" t="s">
        <v>69</v>
      </c>
      <c r="B28">
        <v>20250202</v>
      </c>
      <c r="C28" t="s">
        <v>25</v>
      </c>
      <c r="D28" t="s">
        <v>21</v>
      </c>
      <c r="E28" t="s">
        <v>18</v>
      </c>
      <c r="F28">
        <v>7585</v>
      </c>
      <c r="G28">
        <v>12262</v>
      </c>
      <c r="H28">
        <v>681</v>
      </c>
      <c r="I28">
        <v>81</v>
      </c>
      <c r="J28">
        <v>31</v>
      </c>
      <c r="K28">
        <v>26</v>
      </c>
      <c r="L28">
        <v>0</v>
      </c>
      <c r="M28">
        <v>115</v>
      </c>
      <c r="N28" s="1">
        <v>0.8125</v>
      </c>
      <c r="O28" t="s">
        <v>27</v>
      </c>
    </row>
    <row r="29" spans="1:15" x14ac:dyDescent="0.3">
      <c r="A29" t="s">
        <v>70</v>
      </c>
      <c r="B29">
        <v>20250916</v>
      </c>
      <c r="C29" t="s">
        <v>32</v>
      </c>
      <c r="D29" t="s">
        <v>61</v>
      </c>
      <c r="E29" t="s">
        <v>46</v>
      </c>
      <c r="F29">
        <v>14995</v>
      </c>
      <c r="G29">
        <v>20663</v>
      </c>
      <c r="H29">
        <v>661</v>
      </c>
      <c r="I29">
        <v>60</v>
      </c>
      <c r="J29">
        <v>61</v>
      </c>
      <c r="K29">
        <v>95</v>
      </c>
      <c r="L29">
        <v>8632</v>
      </c>
      <c r="M29">
        <v>77</v>
      </c>
      <c r="N29" s="1">
        <v>0.78125</v>
      </c>
      <c r="O29" t="s">
        <v>34</v>
      </c>
    </row>
    <row r="30" spans="1:15" x14ac:dyDescent="0.3">
      <c r="A30" t="s">
        <v>71</v>
      </c>
      <c r="B30">
        <v>20250102</v>
      </c>
      <c r="C30" t="s">
        <v>32</v>
      </c>
      <c r="D30" t="s">
        <v>36</v>
      </c>
      <c r="E30" t="s">
        <v>46</v>
      </c>
      <c r="F30">
        <v>7543</v>
      </c>
      <c r="G30">
        <v>9925</v>
      </c>
      <c r="H30">
        <v>210</v>
      </c>
      <c r="I30">
        <v>18</v>
      </c>
      <c r="J30">
        <v>41</v>
      </c>
      <c r="K30">
        <v>10</v>
      </c>
      <c r="L30">
        <v>4809</v>
      </c>
      <c r="M30">
        <v>77</v>
      </c>
      <c r="N30" s="1">
        <v>0.38541666666666669</v>
      </c>
      <c r="O30" t="s">
        <v>49</v>
      </c>
    </row>
    <row r="31" spans="1:15" x14ac:dyDescent="0.3">
      <c r="A31" t="s">
        <v>72</v>
      </c>
      <c r="B31">
        <v>20250827</v>
      </c>
      <c r="C31" t="s">
        <v>44</v>
      </c>
      <c r="D31" t="s">
        <v>33</v>
      </c>
      <c r="E31" t="s">
        <v>22</v>
      </c>
      <c r="F31">
        <v>9052</v>
      </c>
      <c r="G31">
        <v>12595</v>
      </c>
      <c r="H31">
        <v>977</v>
      </c>
      <c r="I31">
        <v>68</v>
      </c>
      <c r="J31">
        <v>104</v>
      </c>
      <c r="K31">
        <v>115</v>
      </c>
      <c r="L31">
        <v>0</v>
      </c>
      <c r="M31">
        <v>95</v>
      </c>
      <c r="N31" s="1">
        <v>0.5</v>
      </c>
      <c r="O31" t="s">
        <v>42</v>
      </c>
    </row>
    <row r="32" spans="1:15" x14ac:dyDescent="0.3">
      <c r="A32" t="s">
        <v>73</v>
      </c>
      <c r="B32">
        <v>20251120</v>
      </c>
      <c r="C32" t="s">
        <v>44</v>
      </c>
      <c r="D32" t="s">
        <v>36</v>
      </c>
      <c r="E32" t="s">
        <v>18</v>
      </c>
      <c r="F32">
        <v>67966</v>
      </c>
      <c r="G32">
        <v>107812</v>
      </c>
      <c r="H32">
        <v>2007</v>
      </c>
      <c r="I32">
        <v>151</v>
      </c>
      <c r="J32">
        <v>205</v>
      </c>
      <c r="K32">
        <v>208</v>
      </c>
      <c r="L32">
        <v>0</v>
      </c>
      <c r="M32">
        <v>722</v>
      </c>
      <c r="N32" s="1">
        <v>0.375</v>
      </c>
      <c r="O32" t="s">
        <v>27</v>
      </c>
    </row>
    <row r="33" spans="1:15" x14ac:dyDescent="0.3">
      <c r="A33" t="s">
        <v>74</v>
      </c>
      <c r="B33">
        <v>20250425</v>
      </c>
      <c r="C33" t="s">
        <v>40</v>
      </c>
      <c r="D33" t="s">
        <v>61</v>
      </c>
      <c r="E33" t="s">
        <v>22</v>
      </c>
      <c r="F33">
        <v>9353</v>
      </c>
      <c r="G33">
        <v>11016</v>
      </c>
      <c r="H33">
        <v>784</v>
      </c>
      <c r="I33">
        <v>29</v>
      </c>
      <c r="J33">
        <v>46</v>
      </c>
      <c r="K33">
        <v>108</v>
      </c>
      <c r="L33">
        <v>0</v>
      </c>
      <c r="M33">
        <v>83</v>
      </c>
      <c r="N33" s="1">
        <v>0.59375</v>
      </c>
      <c r="O33" t="s">
        <v>19</v>
      </c>
    </row>
    <row r="34" spans="1:15" x14ac:dyDescent="0.3">
      <c r="A34" t="s">
        <v>75</v>
      </c>
      <c r="B34">
        <v>20250824</v>
      </c>
      <c r="C34" t="s">
        <v>40</v>
      </c>
      <c r="D34" t="s">
        <v>61</v>
      </c>
      <c r="E34" t="s">
        <v>51</v>
      </c>
      <c r="F34">
        <v>22496</v>
      </c>
      <c r="G34">
        <v>35769</v>
      </c>
      <c r="H34">
        <v>1423</v>
      </c>
      <c r="I34">
        <v>168</v>
      </c>
      <c r="J34">
        <v>200</v>
      </c>
      <c r="K34">
        <v>71</v>
      </c>
      <c r="L34">
        <v>0</v>
      </c>
      <c r="M34">
        <v>130</v>
      </c>
      <c r="N34" s="1">
        <v>0.60416666666666663</v>
      </c>
      <c r="O34" t="s">
        <v>19</v>
      </c>
    </row>
    <row r="35" spans="1:15" x14ac:dyDescent="0.3">
      <c r="A35" t="s">
        <v>76</v>
      </c>
      <c r="B35">
        <v>20250423</v>
      </c>
      <c r="C35" t="s">
        <v>40</v>
      </c>
      <c r="D35" t="s">
        <v>68</v>
      </c>
      <c r="E35" t="s">
        <v>46</v>
      </c>
      <c r="F35">
        <v>30910</v>
      </c>
      <c r="G35">
        <v>33665</v>
      </c>
      <c r="H35">
        <v>2339</v>
      </c>
      <c r="I35">
        <v>101</v>
      </c>
      <c r="J35">
        <v>209</v>
      </c>
      <c r="K35">
        <v>149</v>
      </c>
      <c r="L35">
        <v>18182</v>
      </c>
      <c r="M35">
        <v>283</v>
      </c>
      <c r="N35" s="1">
        <v>0.72916666666666663</v>
      </c>
      <c r="O35" t="s">
        <v>34</v>
      </c>
    </row>
    <row r="36" spans="1:15" x14ac:dyDescent="0.3">
      <c r="A36" t="s">
        <v>77</v>
      </c>
      <c r="B36">
        <v>20260303</v>
      </c>
      <c r="C36" t="s">
        <v>32</v>
      </c>
      <c r="D36" t="s">
        <v>17</v>
      </c>
      <c r="E36" t="s">
        <v>41</v>
      </c>
      <c r="F36">
        <v>18524</v>
      </c>
      <c r="G36">
        <v>27524</v>
      </c>
      <c r="H36">
        <v>1147</v>
      </c>
      <c r="I36">
        <v>121</v>
      </c>
      <c r="J36">
        <v>219</v>
      </c>
      <c r="K36">
        <v>146</v>
      </c>
      <c r="L36">
        <v>14182</v>
      </c>
      <c r="M36">
        <v>261</v>
      </c>
      <c r="N36" s="1">
        <v>0.8125</v>
      </c>
      <c r="O36" t="s">
        <v>23</v>
      </c>
    </row>
    <row r="37" spans="1:15" x14ac:dyDescent="0.3">
      <c r="A37" t="s">
        <v>78</v>
      </c>
      <c r="B37">
        <v>20250922</v>
      </c>
      <c r="C37" t="s">
        <v>16</v>
      </c>
      <c r="D37" t="s">
        <v>21</v>
      </c>
      <c r="E37" t="s">
        <v>18</v>
      </c>
      <c r="F37">
        <v>11486</v>
      </c>
      <c r="G37">
        <v>15952</v>
      </c>
      <c r="H37">
        <v>811</v>
      </c>
      <c r="I37">
        <v>66</v>
      </c>
      <c r="J37">
        <v>148</v>
      </c>
      <c r="K37">
        <v>116</v>
      </c>
      <c r="L37">
        <v>0</v>
      </c>
      <c r="M37">
        <v>112</v>
      </c>
      <c r="N37" s="1">
        <v>0.875</v>
      </c>
      <c r="O37" t="s">
        <v>49</v>
      </c>
    </row>
    <row r="38" spans="1:15" x14ac:dyDescent="0.3">
      <c r="A38" t="s">
        <v>79</v>
      </c>
      <c r="B38">
        <v>20260113</v>
      </c>
      <c r="C38" t="s">
        <v>16</v>
      </c>
      <c r="D38" t="s">
        <v>33</v>
      </c>
      <c r="E38" t="s">
        <v>46</v>
      </c>
      <c r="F38">
        <v>31373</v>
      </c>
      <c r="G38">
        <v>40323</v>
      </c>
      <c r="H38">
        <v>1160</v>
      </c>
      <c r="I38">
        <v>29</v>
      </c>
      <c r="J38">
        <v>180</v>
      </c>
      <c r="K38">
        <v>148</v>
      </c>
      <c r="L38">
        <v>27089</v>
      </c>
      <c r="M38">
        <v>122</v>
      </c>
      <c r="N38" s="1">
        <v>0.94791666666666663</v>
      </c>
      <c r="O38" t="s">
        <v>38</v>
      </c>
    </row>
    <row r="39" spans="1:15" x14ac:dyDescent="0.3">
      <c r="A39" t="s">
        <v>80</v>
      </c>
      <c r="B39">
        <v>20260519</v>
      </c>
      <c r="C39" t="s">
        <v>44</v>
      </c>
      <c r="D39" t="s">
        <v>68</v>
      </c>
      <c r="E39" t="s">
        <v>18</v>
      </c>
      <c r="F39">
        <v>39335</v>
      </c>
      <c r="G39">
        <v>53457</v>
      </c>
      <c r="H39">
        <v>1613</v>
      </c>
      <c r="I39">
        <v>181</v>
      </c>
      <c r="J39">
        <v>280</v>
      </c>
      <c r="K39">
        <v>252</v>
      </c>
      <c r="L39">
        <v>0</v>
      </c>
      <c r="M39">
        <v>485</v>
      </c>
      <c r="N39" s="1">
        <v>0.66666666666666663</v>
      </c>
      <c r="O39" t="s">
        <v>30</v>
      </c>
    </row>
    <row r="40" spans="1:15" x14ac:dyDescent="0.3">
      <c r="A40" t="s">
        <v>81</v>
      </c>
      <c r="B40">
        <v>20260519</v>
      </c>
      <c r="C40" t="s">
        <v>40</v>
      </c>
      <c r="D40" t="s">
        <v>36</v>
      </c>
      <c r="E40" t="s">
        <v>41</v>
      </c>
      <c r="F40">
        <v>16907</v>
      </c>
      <c r="G40">
        <v>17975</v>
      </c>
      <c r="H40">
        <v>603</v>
      </c>
      <c r="I40">
        <v>57</v>
      </c>
      <c r="J40">
        <v>120</v>
      </c>
      <c r="K40">
        <v>47</v>
      </c>
      <c r="L40">
        <v>14593</v>
      </c>
      <c r="M40">
        <v>184</v>
      </c>
      <c r="N40" s="1">
        <v>0.94791666666666663</v>
      </c>
      <c r="O40" t="s">
        <v>42</v>
      </c>
    </row>
    <row r="41" spans="1:15" x14ac:dyDescent="0.3">
      <c r="A41" t="s">
        <v>82</v>
      </c>
      <c r="B41">
        <v>20260211</v>
      </c>
      <c r="C41" t="s">
        <v>44</v>
      </c>
      <c r="D41" t="s">
        <v>68</v>
      </c>
      <c r="E41" t="s">
        <v>41</v>
      </c>
      <c r="F41">
        <v>36373</v>
      </c>
      <c r="G41">
        <v>44431</v>
      </c>
      <c r="H41">
        <v>3162</v>
      </c>
      <c r="I41">
        <v>215</v>
      </c>
      <c r="J41">
        <v>509</v>
      </c>
      <c r="K41">
        <v>433</v>
      </c>
      <c r="L41">
        <v>24324</v>
      </c>
      <c r="M41">
        <v>549</v>
      </c>
      <c r="N41" s="1">
        <v>0.92708333333333337</v>
      </c>
      <c r="O41" t="s">
        <v>19</v>
      </c>
    </row>
    <row r="42" spans="1:15" x14ac:dyDescent="0.3">
      <c r="A42" t="s">
        <v>83</v>
      </c>
      <c r="B42">
        <v>20260505</v>
      </c>
      <c r="C42" t="s">
        <v>40</v>
      </c>
      <c r="D42" t="s">
        <v>29</v>
      </c>
      <c r="E42" t="s">
        <v>41</v>
      </c>
      <c r="F42">
        <v>22637</v>
      </c>
      <c r="G42">
        <v>30842</v>
      </c>
      <c r="H42">
        <v>852</v>
      </c>
      <c r="I42">
        <v>82</v>
      </c>
      <c r="J42">
        <v>37</v>
      </c>
      <c r="K42">
        <v>87</v>
      </c>
      <c r="L42">
        <v>11635</v>
      </c>
      <c r="M42">
        <v>382</v>
      </c>
      <c r="N42" s="1">
        <v>0.40625</v>
      </c>
      <c r="O42" t="s">
        <v>53</v>
      </c>
    </row>
    <row r="43" spans="1:15" x14ac:dyDescent="0.3">
      <c r="A43" t="s">
        <v>84</v>
      </c>
      <c r="B43">
        <v>20250616</v>
      </c>
      <c r="C43" t="s">
        <v>40</v>
      </c>
      <c r="D43" t="s">
        <v>17</v>
      </c>
      <c r="E43" t="s">
        <v>51</v>
      </c>
      <c r="F43">
        <v>15013</v>
      </c>
      <c r="G43">
        <v>20606</v>
      </c>
      <c r="H43">
        <v>1222</v>
      </c>
      <c r="I43">
        <v>105</v>
      </c>
      <c r="J43">
        <v>43</v>
      </c>
      <c r="K43">
        <v>154</v>
      </c>
      <c r="L43">
        <v>0</v>
      </c>
      <c r="M43">
        <v>155</v>
      </c>
      <c r="N43" s="1">
        <v>0.48958333333333331</v>
      </c>
    </row>
    <row r="44" spans="1:15" x14ac:dyDescent="0.3">
      <c r="A44" t="s">
        <v>85</v>
      </c>
      <c r="B44">
        <v>20250811</v>
      </c>
      <c r="C44" t="s">
        <v>32</v>
      </c>
      <c r="D44" t="s">
        <v>61</v>
      </c>
      <c r="E44" t="s">
        <v>46</v>
      </c>
      <c r="F44">
        <v>25104</v>
      </c>
      <c r="G44">
        <v>29472</v>
      </c>
      <c r="H44">
        <v>945</v>
      </c>
      <c r="I44">
        <v>95</v>
      </c>
      <c r="J44">
        <v>44</v>
      </c>
      <c r="K44">
        <v>145</v>
      </c>
      <c r="L44">
        <v>15005</v>
      </c>
      <c r="M44">
        <v>62</v>
      </c>
      <c r="N44" s="1">
        <v>0.94791666666666663</v>
      </c>
      <c r="O44" t="s">
        <v>38</v>
      </c>
    </row>
    <row r="45" spans="1:15" x14ac:dyDescent="0.3">
      <c r="A45" t="s">
        <v>86</v>
      </c>
      <c r="B45">
        <v>20260605</v>
      </c>
      <c r="C45" t="s">
        <v>16</v>
      </c>
      <c r="D45" t="s">
        <v>33</v>
      </c>
      <c r="E45" t="s">
        <v>46</v>
      </c>
      <c r="F45">
        <v>53325</v>
      </c>
      <c r="G45">
        <v>77205</v>
      </c>
      <c r="H45">
        <v>2824</v>
      </c>
      <c r="I45">
        <v>190</v>
      </c>
      <c r="J45">
        <v>510</v>
      </c>
      <c r="K45">
        <v>186</v>
      </c>
      <c r="L45">
        <v>35914</v>
      </c>
      <c r="M45">
        <v>381</v>
      </c>
      <c r="N45" s="1">
        <v>0.94791666666666663</v>
      </c>
      <c r="O45" t="s">
        <v>53</v>
      </c>
    </row>
    <row r="46" spans="1:15" x14ac:dyDescent="0.3">
      <c r="A46" t="s">
        <v>87</v>
      </c>
      <c r="B46">
        <v>20260731</v>
      </c>
      <c r="C46" t="s">
        <v>16</v>
      </c>
      <c r="D46" t="s">
        <v>21</v>
      </c>
      <c r="E46" t="s">
        <v>26</v>
      </c>
      <c r="F46">
        <v>23767</v>
      </c>
      <c r="G46">
        <v>30745</v>
      </c>
      <c r="H46">
        <v>1935</v>
      </c>
      <c r="I46">
        <v>157</v>
      </c>
      <c r="J46">
        <v>65</v>
      </c>
      <c r="K46">
        <v>102</v>
      </c>
      <c r="L46">
        <v>15636</v>
      </c>
      <c r="M46">
        <v>70</v>
      </c>
      <c r="N46" s="1">
        <v>0.44791666666666669</v>
      </c>
      <c r="O46" t="s">
        <v>53</v>
      </c>
    </row>
    <row r="47" spans="1:15" x14ac:dyDescent="0.3">
      <c r="A47" t="s">
        <v>88</v>
      </c>
      <c r="B47">
        <v>20251204</v>
      </c>
      <c r="C47" t="s">
        <v>25</v>
      </c>
      <c r="D47" t="s">
        <v>17</v>
      </c>
      <c r="E47" t="s">
        <v>26</v>
      </c>
      <c r="F47">
        <v>6906</v>
      </c>
      <c r="G47">
        <v>7889</v>
      </c>
      <c r="H47">
        <v>411</v>
      </c>
      <c r="I47">
        <v>30</v>
      </c>
      <c r="J47">
        <v>58</v>
      </c>
      <c r="K47">
        <v>64</v>
      </c>
      <c r="L47">
        <v>3947</v>
      </c>
      <c r="M47">
        <v>30</v>
      </c>
      <c r="N47" s="1">
        <v>0.65625</v>
      </c>
      <c r="O47" t="s">
        <v>19</v>
      </c>
    </row>
    <row r="48" spans="1:15" x14ac:dyDescent="0.3">
      <c r="A48" t="s">
        <v>89</v>
      </c>
      <c r="B48">
        <v>20251106</v>
      </c>
      <c r="C48" t="s">
        <v>44</v>
      </c>
      <c r="D48" t="s">
        <v>36</v>
      </c>
      <c r="E48" t="s">
        <v>51</v>
      </c>
      <c r="F48">
        <v>46659</v>
      </c>
      <c r="G48">
        <v>55046</v>
      </c>
      <c r="H48">
        <v>4348</v>
      </c>
      <c r="I48">
        <v>414</v>
      </c>
      <c r="J48">
        <v>585</v>
      </c>
      <c r="K48">
        <v>352</v>
      </c>
      <c r="L48">
        <v>0</v>
      </c>
      <c r="M48">
        <v>776</v>
      </c>
      <c r="N48" s="1">
        <v>0.34375</v>
      </c>
      <c r="O48" t="s">
        <v>47</v>
      </c>
    </row>
    <row r="49" spans="1:15" x14ac:dyDescent="0.3">
      <c r="A49" t="s">
        <v>90</v>
      </c>
      <c r="B49">
        <v>20260926</v>
      </c>
      <c r="C49" t="s">
        <v>16</v>
      </c>
      <c r="D49" t="s">
        <v>29</v>
      </c>
      <c r="E49" t="s">
        <v>46</v>
      </c>
      <c r="F49">
        <v>14720</v>
      </c>
      <c r="G49">
        <v>23989</v>
      </c>
      <c r="H49">
        <v>1507</v>
      </c>
      <c r="I49">
        <v>48</v>
      </c>
      <c r="J49">
        <v>93</v>
      </c>
      <c r="K49">
        <v>228</v>
      </c>
      <c r="L49">
        <v>13046</v>
      </c>
      <c r="M49">
        <v>136</v>
      </c>
      <c r="N49" s="1">
        <v>0.64583333333333337</v>
      </c>
      <c r="O49" t="s">
        <v>19</v>
      </c>
    </row>
    <row r="50" spans="1:15" x14ac:dyDescent="0.3">
      <c r="A50" t="s">
        <v>91</v>
      </c>
      <c r="B50">
        <v>20251231</v>
      </c>
      <c r="C50" t="s">
        <v>40</v>
      </c>
      <c r="D50" t="s">
        <v>17</v>
      </c>
      <c r="E50" t="s">
        <v>46</v>
      </c>
      <c r="F50">
        <v>66908</v>
      </c>
      <c r="G50">
        <v>70941</v>
      </c>
      <c r="H50">
        <v>3153</v>
      </c>
      <c r="I50">
        <v>333</v>
      </c>
      <c r="J50">
        <v>589</v>
      </c>
      <c r="K50">
        <v>497</v>
      </c>
      <c r="L50">
        <v>37076</v>
      </c>
      <c r="M50">
        <v>950</v>
      </c>
      <c r="N50" s="1">
        <v>0.80208333333333337</v>
      </c>
      <c r="O50" t="s">
        <v>19</v>
      </c>
    </row>
    <row r="51" spans="1:15" x14ac:dyDescent="0.3">
      <c r="A51" t="s">
        <v>92</v>
      </c>
      <c r="B51">
        <v>20260802</v>
      </c>
      <c r="C51" t="s">
        <v>40</v>
      </c>
      <c r="D51" t="s">
        <v>17</v>
      </c>
      <c r="E51" t="s">
        <v>41</v>
      </c>
      <c r="F51">
        <v>50411</v>
      </c>
      <c r="G51">
        <v>62353</v>
      </c>
      <c r="H51">
        <v>4113</v>
      </c>
      <c r="I51">
        <v>325</v>
      </c>
      <c r="J51">
        <v>815</v>
      </c>
      <c r="K51">
        <v>350</v>
      </c>
      <c r="L51">
        <v>43516</v>
      </c>
      <c r="M51">
        <v>418</v>
      </c>
      <c r="N51" s="1">
        <v>0.83333333333333337</v>
      </c>
      <c r="O51" t="s">
        <v>27</v>
      </c>
    </row>
    <row r="52" spans="1:15" x14ac:dyDescent="0.3">
      <c r="A52" t="s">
        <v>93</v>
      </c>
      <c r="B52">
        <v>20250115</v>
      </c>
      <c r="C52" t="s">
        <v>40</v>
      </c>
      <c r="D52" t="s">
        <v>17</v>
      </c>
      <c r="E52" t="s">
        <v>41</v>
      </c>
      <c r="F52">
        <v>23601</v>
      </c>
      <c r="G52">
        <v>32562</v>
      </c>
      <c r="H52">
        <v>1800</v>
      </c>
      <c r="I52">
        <v>189</v>
      </c>
      <c r="J52">
        <v>79</v>
      </c>
      <c r="K52">
        <v>147</v>
      </c>
      <c r="L52">
        <v>14469</v>
      </c>
      <c r="M52">
        <v>42</v>
      </c>
      <c r="N52" s="1">
        <v>0.83333333333333337</v>
      </c>
      <c r="O52" t="s">
        <v>30</v>
      </c>
    </row>
    <row r="53" spans="1:15" x14ac:dyDescent="0.3">
      <c r="A53" t="s">
        <v>94</v>
      </c>
      <c r="B53">
        <v>20260904</v>
      </c>
      <c r="C53" t="s">
        <v>16</v>
      </c>
      <c r="D53" t="s">
        <v>61</v>
      </c>
      <c r="E53" t="s">
        <v>46</v>
      </c>
      <c r="F53">
        <v>27063</v>
      </c>
      <c r="G53">
        <v>34417</v>
      </c>
      <c r="H53">
        <v>1998</v>
      </c>
      <c r="I53">
        <v>245</v>
      </c>
      <c r="J53">
        <v>88</v>
      </c>
      <c r="K53">
        <v>141</v>
      </c>
      <c r="L53">
        <v>22581</v>
      </c>
      <c r="M53">
        <v>195</v>
      </c>
      <c r="N53" s="1">
        <v>0.5625</v>
      </c>
      <c r="O53" t="s">
        <v>27</v>
      </c>
    </row>
    <row r="54" spans="1:15" x14ac:dyDescent="0.3">
      <c r="A54" t="s">
        <v>95</v>
      </c>
      <c r="B54">
        <v>20251016</v>
      </c>
      <c r="C54" t="s">
        <v>16</v>
      </c>
      <c r="D54" t="s">
        <v>68</v>
      </c>
      <c r="E54" t="s">
        <v>18</v>
      </c>
      <c r="F54">
        <v>21905</v>
      </c>
      <c r="G54">
        <v>28214</v>
      </c>
      <c r="H54">
        <v>1282</v>
      </c>
      <c r="I54">
        <v>43</v>
      </c>
      <c r="J54">
        <v>154</v>
      </c>
      <c r="K54">
        <v>192</v>
      </c>
      <c r="L54">
        <v>0</v>
      </c>
      <c r="M54">
        <v>111</v>
      </c>
      <c r="N54" s="1">
        <v>0.32291666666666669</v>
      </c>
      <c r="O54" t="s">
        <v>23</v>
      </c>
    </row>
    <row r="55" spans="1:15" x14ac:dyDescent="0.3">
      <c r="A55" t="s">
        <v>96</v>
      </c>
      <c r="B55">
        <v>20260128</v>
      </c>
      <c r="C55" t="s">
        <v>40</v>
      </c>
      <c r="D55" t="s">
        <v>21</v>
      </c>
      <c r="E55" t="s">
        <v>18</v>
      </c>
      <c r="F55">
        <v>33818</v>
      </c>
      <c r="G55">
        <v>47103</v>
      </c>
      <c r="H55">
        <v>909</v>
      </c>
      <c r="I55">
        <v>121</v>
      </c>
      <c r="J55">
        <v>70</v>
      </c>
      <c r="K55">
        <v>122</v>
      </c>
      <c r="L55">
        <v>0</v>
      </c>
      <c r="M55">
        <v>116</v>
      </c>
      <c r="N55" s="1">
        <v>0.69791666666666663</v>
      </c>
      <c r="O55" t="s">
        <v>34</v>
      </c>
    </row>
    <row r="56" spans="1:15" x14ac:dyDescent="0.3">
      <c r="A56" t="s">
        <v>97</v>
      </c>
      <c r="B56">
        <v>20250817</v>
      </c>
      <c r="C56" t="s">
        <v>40</v>
      </c>
      <c r="D56" t="s">
        <v>33</v>
      </c>
      <c r="E56" t="s">
        <v>41</v>
      </c>
      <c r="F56">
        <v>14778</v>
      </c>
      <c r="G56">
        <v>23855</v>
      </c>
      <c r="H56">
        <v>675</v>
      </c>
      <c r="I56">
        <v>42</v>
      </c>
      <c r="J56">
        <v>37</v>
      </c>
      <c r="K56">
        <v>28</v>
      </c>
      <c r="L56">
        <v>8368</v>
      </c>
      <c r="M56">
        <v>159</v>
      </c>
      <c r="N56" s="1">
        <v>0.85416666666666663</v>
      </c>
      <c r="O56" t="s">
        <v>34</v>
      </c>
    </row>
    <row r="57" spans="1:15" x14ac:dyDescent="0.3">
      <c r="A57" t="s">
        <v>98</v>
      </c>
      <c r="B57">
        <v>20260127</v>
      </c>
      <c r="C57" t="s">
        <v>44</v>
      </c>
      <c r="D57" t="s">
        <v>21</v>
      </c>
      <c r="E57" t="s">
        <v>46</v>
      </c>
      <c r="F57">
        <v>36658</v>
      </c>
      <c r="G57">
        <v>57421</v>
      </c>
      <c r="H57">
        <v>2128</v>
      </c>
      <c r="I57">
        <v>196</v>
      </c>
      <c r="J57">
        <v>346</v>
      </c>
      <c r="K57">
        <v>44</v>
      </c>
      <c r="L57">
        <v>24270</v>
      </c>
      <c r="M57">
        <v>159</v>
      </c>
      <c r="N57" s="1">
        <v>0.75</v>
      </c>
      <c r="O57" t="s">
        <v>38</v>
      </c>
    </row>
    <row r="58" spans="1:15" x14ac:dyDescent="0.3">
      <c r="A58" t="s">
        <v>99</v>
      </c>
      <c r="B58">
        <v>20260422</v>
      </c>
      <c r="C58" t="s">
        <v>32</v>
      </c>
      <c r="D58" t="s">
        <v>61</v>
      </c>
      <c r="E58" t="s">
        <v>18</v>
      </c>
      <c r="F58">
        <v>9802</v>
      </c>
      <c r="G58">
        <v>11299</v>
      </c>
      <c r="H58">
        <v>351</v>
      </c>
      <c r="I58">
        <v>41</v>
      </c>
      <c r="J58">
        <v>56</v>
      </c>
      <c r="K58">
        <v>28</v>
      </c>
      <c r="L58">
        <v>0</v>
      </c>
      <c r="M58">
        <v>69</v>
      </c>
      <c r="N58" s="1">
        <v>0.51041666666666663</v>
      </c>
      <c r="O58" t="s">
        <v>23</v>
      </c>
    </row>
    <row r="59" spans="1:15" x14ac:dyDescent="0.3">
      <c r="A59" t="s">
        <v>100</v>
      </c>
      <c r="B59">
        <v>20250825</v>
      </c>
      <c r="C59" t="s">
        <v>44</v>
      </c>
      <c r="D59" t="s">
        <v>21</v>
      </c>
      <c r="E59" t="s">
        <v>46</v>
      </c>
      <c r="F59">
        <v>44943</v>
      </c>
      <c r="G59">
        <v>58814</v>
      </c>
      <c r="H59">
        <v>1319</v>
      </c>
      <c r="I59">
        <v>104</v>
      </c>
      <c r="J59">
        <v>157</v>
      </c>
      <c r="K59">
        <v>168</v>
      </c>
      <c r="L59">
        <v>24181</v>
      </c>
      <c r="M59">
        <v>139</v>
      </c>
      <c r="N59" s="1">
        <v>0.77083333333333337</v>
      </c>
      <c r="O59" t="s">
        <v>27</v>
      </c>
    </row>
    <row r="60" spans="1:15" x14ac:dyDescent="0.3">
      <c r="A60" t="s">
        <v>101</v>
      </c>
      <c r="B60">
        <v>20250819</v>
      </c>
      <c r="C60" t="s">
        <v>16</v>
      </c>
      <c r="D60" t="s">
        <v>17</v>
      </c>
      <c r="E60" t="s">
        <v>41</v>
      </c>
      <c r="F60">
        <v>69183</v>
      </c>
      <c r="G60">
        <v>87864</v>
      </c>
      <c r="H60">
        <v>7727</v>
      </c>
      <c r="I60">
        <v>520</v>
      </c>
      <c r="J60">
        <v>1413</v>
      </c>
      <c r="K60">
        <v>1051</v>
      </c>
      <c r="L60">
        <v>36264</v>
      </c>
      <c r="M60">
        <v>988</v>
      </c>
      <c r="N60" s="1">
        <v>0.82291666666666663</v>
      </c>
      <c r="O60" t="s">
        <v>38</v>
      </c>
    </row>
    <row r="61" spans="1:15" x14ac:dyDescent="0.3">
      <c r="A61" t="s">
        <v>102</v>
      </c>
      <c r="B61">
        <v>20251028</v>
      </c>
      <c r="C61" t="s">
        <v>44</v>
      </c>
      <c r="D61" t="s">
        <v>68</v>
      </c>
      <c r="E61" t="s">
        <v>18</v>
      </c>
      <c r="F61">
        <v>24792</v>
      </c>
      <c r="G61">
        <v>31748</v>
      </c>
      <c r="H61">
        <v>1413</v>
      </c>
      <c r="I61">
        <v>135</v>
      </c>
      <c r="J61">
        <v>44</v>
      </c>
      <c r="K61">
        <v>185</v>
      </c>
      <c r="L61">
        <v>0</v>
      </c>
      <c r="M61">
        <v>293</v>
      </c>
      <c r="N61" s="1">
        <v>0.375</v>
      </c>
      <c r="O61" t="s">
        <v>42</v>
      </c>
    </row>
    <row r="62" spans="1:15" x14ac:dyDescent="0.3">
      <c r="A62" t="s">
        <v>103</v>
      </c>
      <c r="B62">
        <v>20260514</v>
      </c>
      <c r="C62" t="s">
        <v>44</v>
      </c>
      <c r="D62" t="s">
        <v>68</v>
      </c>
      <c r="E62" t="s">
        <v>46</v>
      </c>
      <c r="F62">
        <v>99995</v>
      </c>
      <c r="G62">
        <v>142952</v>
      </c>
      <c r="H62">
        <v>10191</v>
      </c>
      <c r="I62">
        <v>1073</v>
      </c>
      <c r="J62">
        <v>1193</v>
      </c>
      <c r="K62">
        <v>524</v>
      </c>
      <c r="L62">
        <v>45808</v>
      </c>
      <c r="M62">
        <v>208</v>
      </c>
      <c r="N62" s="1">
        <v>0.60416666666666663</v>
      </c>
      <c r="O62" t="s">
        <v>47</v>
      </c>
    </row>
    <row r="63" spans="1:15" x14ac:dyDescent="0.3">
      <c r="A63" t="s">
        <v>104</v>
      </c>
      <c r="B63">
        <v>20251001</v>
      </c>
      <c r="C63" t="s">
        <v>44</v>
      </c>
      <c r="D63" t="s">
        <v>36</v>
      </c>
      <c r="E63" t="s">
        <v>22</v>
      </c>
      <c r="F63">
        <v>10811</v>
      </c>
      <c r="G63">
        <v>14542</v>
      </c>
      <c r="H63">
        <v>339</v>
      </c>
      <c r="I63">
        <v>45</v>
      </c>
      <c r="J63">
        <v>25</v>
      </c>
      <c r="K63">
        <v>52</v>
      </c>
      <c r="L63">
        <v>0</v>
      </c>
      <c r="M63">
        <v>185</v>
      </c>
      <c r="N63" s="1">
        <v>0.70833333333333337</v>
      </c>
      <c r="O63" t="s">
        <v>53</v>
      </c>
    </row>
    <row r="64" spans="1:15" x14ac:dyDescent="0.3">
      <c r="A64" t="s">
        <v>105</v>
      </c>
      <c r="B64">
        <v>20250831</v>
      </c>
      <c r="C64" t="s">
        <v>32</v>
      </c>
      <c r="D64" t="s">
        <v>33</v>
      </c>
      <c r="E64" t="s">
        <v>51</v>
      </c>
      <c r="F64">
        <v>13170</v>
      </c>
      <c r="G64">
        <v>15823</v>
      </c>
      <c r="H64">
        <v>865</v>
      </c>
      <c r="I64">
        <v>82</v>
      </c>
      <c r="J64">
        <v>58</v>
      </c>
      <c r="K64">
        <v>24</v>
      </c>
      <c r="L64">
        <v>0</v>
      </c>
      <c r="M64">
        <v>57</v>
      </c>
      <c r="N64" s="1">
        <v>0.84375</v>
      </c>
      <c r="O64" t="s">
        <v>38</v>
      </c>
    </row>
    <row r="65" spans="1:15" x14ac:dyDescent="0.3">
      <c r="A65" t="s">
        <v>106</v>
      </c>
      <c r="B65">
        <v>20250627</v>
      </c>
      <c r="C65" t="s">
        <v>25</v>
      </c>
      <c r="D65" t="s">
        <v>61</v>
      </c>
      <c r="E65" t="s">
        <v>46</v>
      </c>
      <c r="F65">
        <v>27368</v>
      </c>
      <c r="G65">
        <v>38022</v>
      </c>
      <c r="H65">
        <v>1287</v>
      </c>
      <c r="I65">
        <v>105</v>
      </c>
      <c r="J65">
        <v>143</v>
      </c>
      <c r="K65">
        <v>197</v>
      </c>
      <c r="L65">
        <v>9607</v>
      </c>
      <c r="M65">
        <v>216</v>
      </c>
      <c r="N65" s="1">
        <v>0.47916666666666669</v>
      </c>
      <c r="O65" t="s">
        <v>34</v>
      </c>
    </row>
    <row r="66" spans="1:15" x14ac:dyDescent="0.3">
      <c r="A66" t="s">
        <v>107</v>
      </c>
      <c r="B66">
        <v>20250129</v>
      </c>
      <c r="C66" t="s">
        <v>16</v>
      </c>
      <c r="D66" t="s">
        <v>29</v>
      </c>
      <c r="E66" t="s">
        <v>26</v>
      </c>
      <c r="F66">
        <v>26446</v>
      </c>
      <c r="G66">
        <v>34988</v>
      </c>
      <c r="H66">
        <v>2861</v>
      </c>
      <c r="I66">
        <v>354</v>
      </c>
      <c r="J66">
        <v>127</v>
      </c>
      <c r="K66">
        <v>322</v>
      </c>
      <c r="L66">
        <v>15116</v>
      </c>
      <c r="M66">
        <v>382</v>
      </c>
      <c r="N66" s="1">
        <v>0.53125</v>
      </c>
      <c r="O66" t="s">
        <v>47</v>
      </c>
    </row>
    <row r="67" spans="1:15" x14ac:dyDescent="0.3">
      <c r="A67" t="s">
        <v>108</v>
      </c>
      <c r="B67">
        <v>20260112</v>
      </c>
      <c r="C67" t="s">
        <v>16</v>
      </c>
      <c r="D67" t="s">
        <v>17</v>
      </c>
      <c r="E67" t="s">
        <v>18</v>
      </c>
      <c r="F67">
        <v>49151</v>
      </c>
      <c r="G67">
        <v>77709</v>
      </c>
      <c r="H67">
        <v>4526</v>
      </c>
      <c r="I67">
        <v>497</v>
      </c>
      <c r="J67">
        <v>653</v>
      </c>
      <c r="K67">
        <v>676</v>
      </c>
      <c r="L67">
        <v>0</v>
      </c>
      <c r="M67">
        <v>840</v>
      </c>
      <c r="N67" s="1">
        <v>0.65625</v>
      </c>
      <c r="O67" t="s">
        <v>23</v>
      </c>
    </row>
    <row r="68" spans="1:15" x14ac:dyDescent="0.3">
      <c r="A68" t="s">
        <v>109</v>
      </c>
      <c r="B68">
        <v>20250720</v>
      </c>
      <c r="C68" t="s">
        <v>16</v>
      </c>
      <c r="D68" t="s">
        <v>21</v>
      </c>
      <c r="E68" t="s">
        <v>41</v>
      </c>
      <c r="F68">
        <v>74057</v>
      </c>
      <c r="G68">
        <v>103275</v>
      </c>
      <c r="H68">
        <v>8484</v>
      </c>
      <c r="I68">
        <v>243</v>
      </c>
      <c r="J68">
        <v>1199</v>
      </c>
      <c r="K68">
        <v>713</v>
      </c>
      <c r="L68">
        <v>38259</v>
      </c>
      <c r="M68">
        <v>809</v>
      </c>
      <c r="N68" s="1">
        <v>0.64583333333333337</v>
      </c>
      <c r="O68" t="s">
        <v>53</v>
      </c>
    </row>
    <row r="69" spans="1:15" x14ac:dyDescent="0.3">
      <c r="A69" t="s">
        <v>110</v>
      </c>
      <c r="B69">
        <v>20250612</v>
      </c>
      <c r="C69" t="s">
        <v>16</v>
      </c>
      <c r="D69" t="s">
        <v>68</v>
      </c>
      <c r="E69" t="s">
        <v>46</v>
      </c>
      <c r="F69">
        <v>65081</v>
      </c>
      <c r="G69">
        <v>72838</v>
      </c>
      <c r="H69">
        <v>4949</v>
      </c>
      <c r="I69">
        <v>494</v>
      </c>
      <c r="J69">
        <v>970</v>
      </c>
      <c r="K69">
        <v>436</v>
      </c>
      <c r="L69">
        <v>30315</v>
      </c>
      <c r="M69">
        <v>337</v>
      </c>
      <c r="N69" s="1">
        <v>0.65625</v>
      </c>
      <c r="O69" t="s">
        <v>49</v>
      </c>
    </row>
    <row r="70" spans="1:15" x14ac:dyDescent="0.3">
      <c r="A70" t="s">
        <v>111</v>
      </c>
      <c r="B70">
        <v>20250725</v>
      </c>
      <c r="C70" t="s">
        <v>44</v>
      </c>
      <c r="E70" t="s">
        <v>22</v>
      </c>
      <c r="F70">
        <v>15535</v>
      </c>
      <c r="G70">
        <v>24195</v>
      </c>
      <c r="H70">
        <v>1047</v>
      </c>
      <c r="I70">
        <v>53</v>
      </c>
      <c r="J70">
        <v>94</v>
      </c>
      <c r="K70">
        <v>76</v>
      </c>
      <c r="L70">
        <v>0</v>
      </c>
      <c r="M70">
        <v>72</v>
      </c>
      <c r="N70" s="1">
        <v>0.66666666666666663</v>
      </c>
      <c r="O70" t="s">
        <v>38</v>
      </c>
    </row>
    <row r="71" spans="1:15" x14ac:dyDescent="0.3">
      <c r="A71" t="s">
        <v>112</v>
      </c>
      <c r="B71">
        <v>20250325</v>
      </c>
      <c r="C71" t="s">
        <v>16</v>
      </c>
      <c r="D71" t="s">
        <v>36</v>
      </c>
      <c r="E71" t="s">
        <v>41</v>
      </c>
      <c r="F71">
        <v>28418</v>
      </c>
      <c r="G71">
        <v>45917</v>
      </c>
      <c r="H71">
        <v>3036</v>
      </c>
      <c r="I71">
        <v>268</v>
      </c>
      <c r="J71">
        <v>552</v>
      </c>
      <c r="K71">
        <v>394</v>
      </c>
      <c r="L71">
        <v>12829</v>
      </c>
      <c r="M71">
        <v>30</v>
      </c>
      <c r="N71" s="1">
        <v>0.32291666666666669</v>
      </c>
      <c r="O71" t="s">
        <v>19</v>
      </c>
    </row>
    <row r="72" spans="1:15" x14ac:dyDescent="0.3">
      <c r="A72" t="s">
        <v>113</v>
      </c>
      <c r="B72">
        <v>20260524</v>
      </c>
      <c r="C72" t="s">
        <v>25</v>
      </c>
      <c r="D72" t="s">
        <v>68</v>
      </c>
      <c r="E72" t="s">
        <v>46</v>
      </c>
      <c r="F72">
        <v>19241</v>
      </c>
      <c r="G72">
        <v>24499</v>
      </c>
      <c r="H72">
        <v>1626</v>
      </c>
      <c r="I72">
        <v>180</v>
      </c>
      <c r="J72">
        <v>223</v>
      </c>
      <c r="K72">
        <v>65</v>
      </c>
      <c r="L72">
        <v>17023</v>
      </c>
      <c r="M72">
        <v>149</v>
      </c>
      <c r="N72" s="1">
        <v>0.3125</v>
      </c>
      <c r="O72" t="s">
        <v>34</v>
      </c>
    </row>
    <row r="73" spans="1:15" x14ac:dyDescent="0.3">
      <c r="A73" t="s">
        <v>114</v>
      </c>
      <c r="B73">
        <v>20260813</v>
      </c>
      <c r="C73" t="s">
        <v>44</v>
      </c>
      <c r="D73" t="s">
        <v>36</v>
      </c>
      <c r="E73" t="s">
        <v>26</v>
      </c>
      <c r="F73">
        <v>15849</v>
      </c>
      <c r="G73">
        <v>17830</v>
      </c>
      <c r="H73">
        <v>445</v>
      </c>
      <c r="I73">
        <v>42</v>
      </c>
      <c r="J73">
        <v>46</v>
      </c>
      <c r="K73">
        <v>26</v>
      </c>
      <c r="L73">
        <v>7243</v>
      </c>
      <c r="M73">
        <v>252</v>
      </c>
      <c r="N73" s="1">
        <v>0.44791666666666669</v>
      </c>
      <c r="O73" t="s">
        <v>47</v>
      </c>
    </row>
    <row r="74" spans="1:15" x14ac:dyDescent="0.3">
      <c r="A74" t="s">
        <v>115</v>
      </c>
      <c r="B74">
        <v>20250329</v>
      </c>
      <c r="C74" t="s">
        <v>32</v>
      </c>
      <c r="D74" t="s">
        <v>21</v>
      </c>
      <c r="E74" t="s">
        <v>46</v>
      </c>
      <c r="F74">
        <v>18085</v>
      </c>
      <c r="G74">
        <v>23482</v>
      </c>
      <c r="H74">
        <v>1308</v>
      </c>
      <c r="I74">
        <v>94</v>
      </c>
      <c r="J74">
        <v>70</v>
      </c>
      <c r="K74">
        <v>77</v>
      </c>
      <c r="L74">
        <v>11940</v>
      </c>
      <c r="M74">
        <v>224</v>
      </c>
      <c r="N74" s="1">
        <v>0.375</v>
      </c>
      <c r="O74" t="s">
        <v>53</v>
      </c>
    </row>
    <row r="75" spans="1:15" x14ac:dyDescent="0.3">
      <c r="A75" t="s">
        <v>116</v>
      </c>
      <c r="B75">
        <v>20250111</v>
      </c>
      <c r="C75" t="s">
        <v>44</v>
      </c>
      <c r="D75" t="s">
        <v>17</v>
      </c>
      <c r="E75" t="s">
        <v>18</v>
      </c>
      <c r="F75">
        <v>41648</v>
      </c>
      <c r="G75">
        <v>47256</v>
      </c>
      <c r="H75">
        <v>4851</v>
      </c>
      <c r="I75">
        <v>165</v>
      </c>
      <c r="J75">
        <v>557</v>
      </c>
      <c r="K75">
        <v>494</v>
      </c>
      <c r="L75">
        <v>0</v>
      </c>
      <c r="M75">
        <v>617</v>
      </c>
      <c r="N75" s="1">
        <v>0.75</v>
      </c>
      <c r="O75" t="s">
        <v>30</v>
      </c>
    </row>
    <row r="76" spans="1:15" x14ac:dyDescent="0.3">
      <c r="A76" t="s">
        <v>117</v>
      </c>
      <c r="B76">
        <v>20260703</v>
      </c>
      <c r="C76" t="s">
        <v>44</v>
      </c>
      <c r="D76" t="s">
        <v>68</v>
      </c>
      <c r="E76" t="s">
        <v>51</v>
      </c>
      <c r="F76">
        <v>36860</v>
      </c>
      <c r="G76">
        <v>51020</v>
      </c>
      <c r="H76">
        <v>3541</v>
      </c>
      <c r="I76">
        <v>399</v>
      </c>
      <c r="J76">
        <v>366</v>
      </c>
      <c r="K76">
        <v>285</v>
      </c>
      <c r="L76">
        <v>0</v>
      </c>
      <c r="M76">
        <v>187</v>
      </c>
      <c r="N76" s="1">
        <v>0.8125</v>
      </c>
      <c r="O76" t="s">
        <v>23</v>
      </c>
    </row>
    <row r="77" spans="1:15" x14ac:dyDescent="0.3">
      <c r="A77" t="s">
        <v>118</v>
      </c>
      <c r="B77">
        <v>20260729</v>
      </c>
      <c r="C77" t="s">
        <v>25</v>
      </c>
      <c r="D77" t="s">
        <v>33</v>
      </c>
      <c r="E77" t="s">
        <v>26</v>
      </c>
      <c r="F77">
        <v>9842</v>
      </c>
      <c r="G77">
        <v>13846</v>
      </c>
      <c r="H77">
        <v>852</v>
      </c>
      <c r="I77">
        <v>75</v>
      </c>
      <c r="J77">
        <v>57</v>
      </c>
      <c r="K77">
        <v>47</v>
      </c>
      <c r="L77">
        <v>8847</v>
      </c>
      <c r="M77">
        <v>64</v>
      </c>
      <c r="N77" s="1">
        <v>0.79166666666666663</v>
      </c>
      <c r="O77" t="s">
        <v>27</v>
      </c>
    </row>
    <row r="78" spans="1:15" x14ac:dyDescent="0.3">
      <c r="A78" t="s">
        <v>119</v>
      </c>
      <c r="B78">
        <v>20251023</v>
      </c>
      <c r="C78" t="s">
        <v>16</v>
      </c>
      <c r="D78" t="s">
        <v>61</v>
      </c>
      <c r="E78" t="s">
        <v>26</v>
      </c>
      <c r="F78">
        <v>35055</v>
      </c>
      <c r="G78">
        <v>53523</v>
      </c>
      <c r="H78">
        <v>1121</v>
      </c>
      <c r="I78">
        <v>101</v>
      </c>
      <c r="J78">
        <v>100</v>
      </c>
      <c r="K78">
        <v>159</v>
      </c>
      <c r="L78">
        <v>15208</v>
      </c>
      <c r="M78">
        <v>128</v>
      </c>
      <c r="N78" s="1">
        <v>0.4375</v>
      </c>
      <c r="O78" t="s">
        <v>38</v>
      </c>
    </row>
    <row r="79" spans="1:15" x14ac:dyDescent="0.3">
      <c r="A79" t="s">
        <v>120</v>
      </c>
      <c r="B79">
        <v>20250105</v>
      </c>
      <c r="C79" t="s">
        <v>44</v>
      </c>
      <c r="D79" t="s">
        <v>21</v>
      </c>
      <c r="E79" t="s">
        <v>18</v>
      </c>
      <c r="F79">
        <v>25792</v>
      </c>
      <c r="G79">
        <v>35503</v>
      </c>
      <c r="H79">
        <v>952</v>
      </c>
      <c r="I79">
        <v>92</v>
      </c>
      <c r="J79">
        <v>77</v>
      </c>
      <c r="K79">
        <v>96</v>
      </c>
      <c r="L79">
        <v>0</v>
      </c>
      <c r="M79">
        <v>426</v>
      </c>
      <c r="N79" s="1">
        <v>0.80208333333333337</v>
      </c>
      <c r="O79" t="s">
        <v>19</v>
      </c>
    </row>
    <row r="80" spans="1:15" x14ac:dyDescent="0.3">
      <c r="A80" t="s">
        <v>121</v>
      </c>
      <c r="B80">
        <v>20250501</v>
      </c>
      <c r="C80" t="s">
        <v>16</v>
      </c>
      <c r="D80" t="s">
        <v>21</v>
      </c>
      <c r="E80" t="s">
        <v>46</v>
      </c>
      <c r="F80">
        <v>63778</v>
      </c>
      <c r="G80">
        <v>77760</v>
      </c>
      <c r="H80">
        <v>1975</v>
      </c>
      <c r="I80">
        <v>244</v>
      </c>
      <c r="J80">
        <v>386</v>
      </c>
      <c r="K80">
        <v>244</v>
      </c>
      <c r="L80">
        <v>56333</v>
      </c>
      <c r="M80">
        <v>478</v>
      </c>
      <c r="N80" s="1">
        <v>0.55208333333333337</v>
      </c>
      <c r="O80" t="s">
        <v>19</v>
      </c>
    </row>
    <row r="81" spans="1:15" x14ac:dyDescent="0.3">
      <c r="A81" t="s">
        <v>122</v>
      </c>
      <c r="B81">
        <v>20260901</v>
      </c>
      <c r="C81" t="s">
        <v>25</v>
      </c>
      <c r="D81" t="s">
        <v>61</v>
      </c>
      <c r="E81" t="s">
        <v>46</v>
      </c>
      <c r="F81">
        <v>22760</v>
      </c>
      <c r="G81">
        <v>37481</v>
      </c>
      <c r="H81">
        <v>2640</v>
      </c>
      <c r="I81">
        <v>157</v>
      </c>
      <c r="J81">
        <v>112</v>
      </c>
      <c r="K81">
        <v>276</v>
      </c>
      <c r="M81">
        <v>123</v>
      </c>
      <c r="N81" s="1">
        <v>0.73958333333333337</v>
      </c>
      <c r="O81" t="s">
        <v>27</v>
      </c>
    </row>
    <row r="82" spans="1:15" x14ac:dyDescent="0.3">
      <c r="A82" t="s">
        <v>123</v>
      </c>
      <c r="B82">
        <v>20250610</v>
      </c>
      <c r="C82" t="s">
        <v>16</v>
      </c>
      <c r="D82" t="s">
        <v>61</v>
      </c>
      <c r="E82" t="s">
        <v>46</v>
      </c>
      <c r="F82">
        <v>54329</v>
      </c>
      <c r="G82">
        <v>85225</v>
      </c>
      <c r="H82">
        <v>1796</v>
      </c>
      <c r="I82">
        <v>130</v>
      </c>
      <c r="J82">
        <v>323</v>
      </c>
      <c r="K82">
        <v>181</v>
      </c>
      <c r="L82">
        <v>30966</v>
      </c>
      <c r="M82">
        <v>425</v>
      </c>
      <c r="N82" s="1">
        <v>0.66666666666666663</v>
      </c>
      <c r="O82" t="s">
        <v>53</v>
      </c>
    </row>
    <row r="83" spans="1:15" x14ac:dyDescent="0.3">
      <c r="A83" t="s">
        <v>124</v>
      </c>
      <c r="B83">
        <v>20250423</v>
      </c>
      <c r="C83" t="s">
        <v>16</v>
      </c>
      <c r="D83" t="s">
        <v>17</v>
      </c>
      <c r="E83" t="s">
        <v>51</v>
      </c>
      <c r="F83">
        <v>16531</v>
      </c>
      <c r="G83">
        <v>26275</v>
      </c>
      <c r="H83">
        <v>1330</v>
      </c>
      <c r="I83">
        <v>38</v>
      </c>
      <c r="J83">
        <v>109</v>
      </c>
      <c r="K83">
        <v>157</v>
      </c>
      <c r="L83">
        <v>0</v>
      </c>
      <c r="M83">
        <v>273</v>
      </c>
      <c r="N83" s="1">
        <v>0.9375</v>
      </c>
      <c r="O83" t="s">
        <v>42</v>
      </c>
    </row>
    <row r="84" spans="1:15" x14ac:dyDescent="0.3">
      <c r="A84" t="s">
        <v>125</v>
      </c>
      <c r="B84">
        <v>20251127</v>
      </c>
      <c r="C84" t="s">
        <v>25</v>
      </c>
      <c r="D84" t="s">
        <v>36</v>
      </c>
      <c r="E84" t="s">
        <v>18</v>
      </c>
      <c r="F84">
        <v>6960</v>
      </c>
      <c r="G84">
        <v>8530</v>
      </c>
      <c r="H84">
        <v>448</v>
      </c>
      <c r="I84">
        <v>31</v>
      </c>
      <c r="J84">
        <v>64</v>
      </c>
      <c r="K84">
        <v>13</v>
      </c>
      <c r="L84">
        <v>0</v>
      </c>
      <c r="M84">
        <v>46</v>
      </c>
      <c r="N84" s="1">
        <v>0.61458333333333337</v>
      </c>
      <c r="O84" t="s">
        <v>42</v>
      </c>
    </row>
    <row r="85" spans="1:15" x14ac:dyDescent="0.3">
      <c r="A85" t="s">
        <v>126</v>
      </c>
      <c r="B85">
        <v>20250925</v>
      </c>
      <c r="C85" t="s">
        <v>16</v>
      </c>
      <c r="D85" t="s">
        <v>68</v>
      </c>
      <c r="E85" t="s">
        <v>22</v>
      </c>
      <c r="F85">
        <v>28609</v>
      </c>
      <c r="G85">
        <v>33616</v>
      </c>
      <c r="H85">
        <v>3354</v>
      </c>
      <c r="I85">
        <v>229</v>
      </c>
      <c r="J85">
        <v>504</v>
      </c>
      <c r="K85">
        <v>149</v>
      </c>
      <c r="L85">
        <v>0</v>
      </c>
      <c r="M85">
        <v>324</v>
      </c>
      <c r="N85" s="1">
        <v>0.84375</v>
      </c>
      <c r="O85" t="s">
        <v>19</v>
      </c>
    </row>
    <row r="86" spans="1:15" x14ac:dyDescent="0.3">
      <c r="A86" t="s">
        <v>127</v>
      </c>
      <c r="B86">
        <v>20251027</v>
      </c>
      <c r="C86" t="s">
        <v>32</v>
      </c>
      <c r="D86" t="s">
        <v>29</v>
      </c>
      <c r="E86" t="s">
        <v>51</v>
      </c>
      <c r="F86">
        <v>9363</v>
      </c>
      <c r="G86">
        <v>13617</v>
      </c>
      <c r="H86">
        <v>1034</v>
      </c>
      <c r="I86">
        <v>50</v>
      </c>
      <c r="J86">
        <v>86</v>
      </c>
      <c r="K86">
        <v>51</v>
      </c>
      <c r="L86">
        <v>0</v>
      </c>
      <c r="M86">
        <v>58</v>
      </c>
      <c r="N86" s="1">
        <v>0.6875</v>
      </c>
      <c r="O86" t="s">
        <v>19</v>
      </c>
    </row>
    <row r="87" spans="1:15" x14ac:dyDescent="0.3">
      <c r="A87" t="s">
        <v>128</v>
      </c>
      <c r="B87">
        <v>20260208</v>
      </c>
      <c r="C87" t="s">
        <v>16</v>
      </c>
      <c r="D87" t="s">
        <v>17</v>
      </c>
      <c r="E87" t="s">
        <v>41</v>
      </c>
      <c r="F87">
        <v>78955</v>
      </c>
      <c r="G87">
        <v>126097</v>
      </c>
      <c r="H87">
        <v>7143</v>
      </c>
      <c r="I87">
        <v>749</v>
      </c>
      <c r="J87">
        <v>952</v>
      </c>
      <c r="K87">
        <v>482</v>
      </c>
      <c r="L87">
        <v>30726</v>
      </c>
      <c r="M87">
        <v>417</v>
      </c>
      <c r="N87" s="1">
        <v>0.73958333333333337</v>
      </c>
      <c r="O87" t="s">
        <v>23</v>
      </c>
    </row>
    <row r="88" spans="1:15" x14ac:dyDescent="0.3">
      <c r="A88" t="s">
        <v>129</v>
      </c>
      <c r="B88">
        <v>20260422</v>
      </c>
      <c r="C88" t="s">
        <v>44</v>
      </c>
      <c r="D88" t="s">
        <v>36</v>
      </c>
      <c r="E88" t="s">
        <v>18</v>
      </c>
      <c r="F88">
        <v>86055</v>
      </c>
      <c r="G88">
        <v>140938</v>
      </c>
      <c r="H88">
        <v>3926</v>
      </c>
      <c r="I88">
        <v>274</v>
      </c>
      <c r="J88">
        <v>351</v>
      </c>
      <c r="K88">
        <v>185</v>
      </c>
      <c r="L88">
        <v>0</v>
      </c>
      <c r="M88">
        <v>1333</v>
      </c>
      <c r="N88" s="1">
        <v>0.41666666666666669</v>
      </c>
      <c r="O88" t="s">
        <v>34</v>
      </c>
    </row>
    <row r="89" spans="1:15" x14ac:dyDescent="0.3">
      <c r="A89" t="s">
        <v>130</v>
      </c>
      <c r="B89">
        <v>20260517</v>
      </c>
      <c r="C89" t="s">
        <v>25</v>
      </c>
      <c r="D89" t="s">
        <v>33</v>
      </c>
      <c r="E89" t="s">
        <v>26</v>
      </c>
      <c r="F89">
        <v>10700</v>
      </c>
      <c r="G89">
        <v>16157</v>
      </c>
      <c r="H89">
        <v>1029</v>
      </c>
      <c r="I89">
        <v>115</v>
      </c>
      <c r="J89">
        <v>34</v>
      </c>
      <c r="K89">
        <v>105</v>
      </c>
      <c r="L89">
        <v>7080</v>
      </c>
      <c r="M89">
        <v>59</v>
      </c>
      <c r="N89" s="1">
        <v>0.57291666666666663</v>
      </c>
      <c r="O89" t="s">
        <v>23</v>
      </c>
    </row>
    <row r="90" spans="1:15" x14ac:dyDescent="0.3">
      <c r="A90" t="s">
        <v>131</v>
      </c>
      <c r="B90">
        <v>20260505</v>
      </c>
      <c r="C90" t="s">
        <v>16</v>
      </c>
      <c r="D90" t="s">
        <v>33</v>
      </c>
      <c r="E90" t="s">
        <v>51</v>
      </c>
      <c r="F90">
        <v>33212</v>
      </c>
      <c r="G90">
        <v>49192</v>
      </c>
      <c r="H90">
        <v>3619</v>
      </c>
      <c r="I90">
        <v>107</v>
      </c>
      <c r="J90">
        <v>186</v>
      </c>
      <c r="K90">
        <v>373</v>
      </c>
      <c r="L90">
        <v>0</v>
      </c>
      <c r="M90">
        <v>222</v>
      </c>
      <c r="N90" s="1">
        <v>0.64583333333333337</v>
      </c>
      <c r="O90" t="s">
        <v>53</v>
      </c>
    </row>
    <row r="91" spans="1:15" x14ac:dyDescent="0.3">
      <c r="A91" t="s">
        <v>132</v>
      </c>
      <c r="B91">
        <v>20250810</v>
      </c>
      <c r="C91" t="s">
        <v>16</v>
      </c>
      <c r="D91" t="s">
        <v>61</v>
      </c>
      <c r="E91" t="s">
        <v>46</v>
      </c>
      <c r="F91">
        <v>59584</v>
      </c>
      <c r="G91">
        <v>86744</v>
      </c>
      <c r="H91">
        <v>2451</v>
      </c>
      <c r="I91">
        <v>155</v>
      </c>
      <c r="J91">
        <v>294</v>
      </c>
      <c r="K91">
        <v>215</v>
      </c>
      <c r="L91">
        <v>31894</v>
      </c>
      <c r="M91">
        <v>256</v>
      </c>
      <c r="N91" s="1">
        <v>0.34375</v>
      </c>
      <c r="O91" t="s">
        <v>23</v>
      </c>
    </row>
    <row r="92" spans="1:15" x14ac:dyDescent="0.3">
      <c r="A92" t="s">
        <v>133</v>
      </c>
      <c r="B92">
        <v>20260421</v>
      </c>
      <c r="C92" t="s">
        <v>32</v>
      </c>
      <c r="D92" t="s">
        <v>33</v>
      </c>
      <c r="E92" t="s">
        <v>26</v>
      </c>
      <c r="F92">
        <v>5186</v>
      </c>
      <c r="G92">
        <v>7906</v>
      </c>
      <c r="H92">
        <v>437</v>
      </c>
      <c r="I92">
        <v>42</v>
      </c>
      <c r="J92">
        <v>80</v>
      </c>
      <c r="K92">
        <v>25</v>
      </c>
      <c r="L92">
        <v>2396</v>
      </c>
      <c r="M92">
        <v>71</v>
      </c>
      <c r="N92" s="1">
        <v>0.78125</v>
      </c>
      <c r="O92" t="s">
        <v>47</v>
      </c>
    </row>
    <row r="93" spans="1:15" x14ac:dyDescent="0.3">
      <c r="A93" t="s">
        <v>134</v>
      </c>
      <c r="B93">
        <v>20250120</v>
      </c>
      <c r="C93" t="s">
        <v>32</v>
      </c>
      <c r="D93" t="s">
        <v>21</v>
      </c>
      <c r="E93" t="s">
        <v>46</v>
      </c>
      <c r="F93">
        <v>13756</v>
      </c>
      <c r="G93">
        <v>16296</v>
      </c>
      <c r="H93">
        <v>924</v>
      </c>
      <c r="I93">
        <v>111</v>
      </c>
      <c r="J93">
        <v>130</v>
      </c>
      <c r="K93">
        <v>34</v>
      </c>
      <c r="L93">
        <v>11262</v>
      </c>
      <c r="M93">
        <v>185</v>
      </c>
      <c r="N93" s="1">
        <v>0.875</v>
      </c>
      <c r="O93" t="s">
        <v>23</v>
      </c>
    </row>
    <row r="94" spans="1:15" x14ac:dyDescent="0.3">
      <c r="A94" t="s">
        <v>135</v>
      </c>
      <c r="B94">
        <v>20251214</v>
      </c>
      <c r="C94" t="s">
        <v>32</v>
      </c>
      <c r="D94" t="s">
        <v>36</v>
      </c>
      <c r="E94" t="s">
        <v>51</v>
      </c>
      <c r="F94">
        <v>10552</v>
      </c>
      <c r="G94">
        <v>16607</v>
      </c>
      <c r="H94">
        <v>837</v>
      </c>
      <c r="I94">
        <v>51</v>
      </c>
      <c r="J94">
        <v>149</v>
      </c>
      <c r="K94">
        <v>77</v>
      </c>
      <c r="L94">
        <v>0</v>
      </c>
      <c r="M94">
        <v>104</v>
      </c>
      <c r="N94" s="1">
        <v>0.82291666666666663</v>
      </c>
      <c r="O94" t="s">
        <v>34</v>
      </c>
    </row>
    <row r="95" spans="1:15" x14ac:dyDescent="0.3">
      <c r="A95" t="s">
        <v>136</v>
      </c>
      <c r="B95">
        <v>20251022</v>
      </c>
      <c r="C95" t="s">
        <v>25</v>
      </c>
      <c r="D95" t="s">
        <v>21</v>
      </c>
      <c r="E95" t="s">
        <v>51</v>
      </c>
      <c r="F95">
        <v>12305</v>
      </c>
      <c r="G95">
        <v>15793</v>
      </c>
      <c r="H95">
        <v>321</v>
      </c>
      <c r="I95">
        <v>25</v>
      </c>
      <c r="J95">
        <v>24</v>
      </c>
      <c r="K95">
        <v>7</v>
      </c>
      <c r="L95">
        <v>0</v>
      </c>
      <c r="M95">
        <v>214</v>
      </c>
      <c r="N95" s="1">
        <v>0.55208333333333337</v>
      </c>
      <c r="O95" t="s">
        <v>34</v>
      </c>
    </row>
    <row r="96" spans="1:15" x14ac:dyDescent="0.3">
      <c r="A96" t="s">
        <v>137</v>
      </c>
      <c r="B96">
        <v>20250304</v>
      </c>
      <c r="C96" t="s">
        <v>40</v>
      </c>
      <c r="D96" t="s">
        <v>61</v>
      </c>
      <c r="E96" t="s">
        <v>51</v>
      </c>
      <c r="F96">
        <v>24824</v>
      </c>
      <c r="G96">
        <v>29101</v>
      </c>
      <c r="H96">
        <v>717</v>
      </c>
      <c r="I96">
        <v>63</v>
      </c>
      <c r="J96">
        <v>142</v>
      </c>
      <c r="K96">
        <v>74</v>
      </c>
      <c r="L96">
        <v>0</v>
      </c>
      <c r="M96">
        <v>339</v>
      </c>
      <c r="N96" s="1">
        <v>0.76041666666666663</v>
      </c>
      <c r="O96" t="s">
        <v>30</v>
      </c>
    </row>
    <row r="97" spans="1:15" x14ac:dyDescent="0.3">
      <c r="A97" t="s">
        <v>138</v>
      </c>
      <c r="B97">
        <v>20260518</v>
      </c>
      <c r="C97" t="s">
        <v>16</v>
      </c>
      <c r="D97" t="s">
        <v>61</v>
      </c>
      <c r="E97" t="s">
        <v>46</v>
      </c>
      <c r="F97">
        <v>20379</v>
      </c>
      <c r="G97">
        <v>27441</v>
      </c>
      <c r="H97">
        <v>1402</v>
      </c>
      <c r="I97">
        <v>66</v>
      </c>
      <c r="J97">
        <v>185</v>
      </c>
      <c r="K97">
        <v>116</v>
      </c>
      <c r="L97">
        <v>7805</v>
      </c>
      <c r="M97">
        <v>364</v>
      </c>
      <c r="N97" s="1">
        <v>0.5625</v>
      </c>
      <c r="O97" t="s">
        <v>23</v>
      </c>
    </row>
    <row r="98" spans="1:15" x14ac:dyDescent="0.3">
      <c r="A98" t="s">
        <v>139</v>
      </c>
      <c r="B98">
        <v>20260414</v>
      </c>
      <c r="C98" t="s">
        <v>40</v>
      </c>
      <c r="D98" t="s">
        <v>33</v>
      </c>
      <c r="E98" t="s">
        <v>22</v>
      </c>
      <c r="F98">
        <v>12231</v>
      </c>
      <c r="G98">
        <v>15689</v>
      </c>
      <c r="H98">
        <v>728</v>
      </c>
      <c r="I98">
        <v>61</v>
      </c>
      <c r="J98">
        <v>21</v>
      </c>
      <c r="K98">
        <v>81</v>
      </c>
      <c r="L98">
        <v>0</v>
      </c>
      <c r="M98">
        <v>17</v>
      </c>
      <c r="N98" s="1">
        <v>0.51041666666666663</v>
      </c>
      <c r="O98" t="s">
        <v>38</v>
      </c>
    </row>
    <row r="99" spans="1:15" x14ac:dyDescent="0.3">
      <c r="A99" t="s">
        <v>140</v>
      </c>
      <c r="B99">
        <v>20260318</v>
      </c>
      <c r="C99" t="s">
        <v>25</v>
      </c>
      <c r="D99" t="s">
        <v>36</v>
      </c>
      <c r="E99" t="s">
        <v>18</v>
      </c>
      <c r="F99">
        <v>7749</v>
      </c>
      <c r="G99">
        <v>10634</v>
      </c>
      <c r="H99">
        <v>344</v>
      </c>
      <c r="I99">
        <v>40</v>
      </c>
      <c r="J99">
        <v>29</v>
      </c>
      <c r="K99">
        <v>47</v>
      </c>
      <c r="L99">
        <v>0</v>
      </c>
      <c r="M99">
        <v>133</v>
      </c>
      <c r="N99" s="1">
        <v>0.65625</v>
      </c>
      <c r="O99" t="s">
        <v>49</v>
      </c>
    </row>
    <row r="100" spans="1:15" x14ac:dyDescent="0.3">
      <c r="A100" t="s">
        <v>141</v>
      </c>
      <c r="B100">
        <v>20260609</v>
      </c>
      <c r="C100" t="s">
        <v>16</v>
      </c>
      <c r="D100" t="s">
        <v>36</v>
      </c>
      <c r="E100" t="s">
        <v>18</v>
      </c>
      <c r="F100">
        <v>15751</v>
      </c>
      <c r="G100">
        <v>17839</v>
      </c>
      <c r="H100">
        <v>1765</v>
      </c>
      <c r="I100">
        <v>163</v>
      </c>
      <c r="J100">
        <v>122</v>
      </c>
      <c r="K100">
        <v>57</v>
      </c>
      <c r="L100">
        <v>0</v>
      </c>
      <c r="M100">
        <v>92</v>
      </c>
      <c r="N100" s="1">
        <v>0.54166666666666663</v>
      </c>
      <c r="O100" t="s">
        <v>30</v>
      </c>
    </row>
    <row r="101" spans="1:15" x14ac:dyDescent="0.3">
      <c r="A101" t="s">
        <v>142</v>
      </c>
      <c r="B101">
        <v>20251030</v>
      </c>
      <c r="C101" t="s">
        <v>44</v>
      </c>
      <c r="D101" t="s">
        <v>17</v>
      </c>
      <c r="E101" t="s">
        <v>46</v>
      </c>
      <c r="F101">
        <v>93606</v>
      </c>
      <c r="G101">
        <v>141284</v>
      </c>
      <c r="H101">
        <v>8855</v>
      </c>
      <c r="I101">
        <v>1104</v>
      </c>
      <c r="J101">
        <v>350</v>
      </c>
      <c r="K101">
        <v>925</v>
      </c>
      <c r="L101">
        <v>60111</v>
      </c>
      <c r="M101">
        <v>298</v>
      </c>
      <c r="N101" s="1">
        <v>0.70833333333333337</v>
      </c>
      <c r="O101" t="s">
        <v>19</v>
      </c>
    </row>
    <row r="102" spans="1:15" x14ac:dyDescent="0.3">
      <c r="A102" t="s">
        <v>143</v>
      </c>
      <c r="B102">
        <v>20260320</v>
      </c>
      <c r="C102" t="s">
        <v>16</v>
      </c>
      <c r="D102" t="s">
        <v>36</v>
      </c>
      <c r="E102" t="s">
        <v>41</v>
      </c>
      <c r="F102">
        <v>26922</v>
      </c>
      <c r="G102">
        <v>32532</v>
      </c>
      <c r="H102">
        <v>1775</v>
      </c>
      <c r="I102">
        <v>193</v>
      </c>
      <c r="J102">
        <v>68</v>
      </c>
      <c r="K102">
        <v>79</v>
      </c>
      <c r="L102">
        <v>20784</v>
      </c>
      <c r="M102">
        <v>64</v>
      </c>
      <c r="N102" s="1">
        <v>0.45833333333333331</v>
      </c>
      <c r="O102" t="s">
        <v>30</v>
      </c>
    </row>
    <row r="103" spans="1:15" x14ac:dyDescent="0.3">
      <c r="A103" t="s">
        <v>144</v>
      </c>
      <c r="B103">
        <v>20260701</v>
      </c>
      <c r="C103" t="s">
        <v>40</v>
      </c>
      <c r="D103" t="s">
        <v>36</v>
      </c>
      <c r="E103" t="s">
        <v>18</v>
      </c>
      <c r="F103">
        <v>13492</v>
      </c>
      <c r="G103">
        <v>22064</v>
      </c>
      <c r="H103">
        <v>435</v>
      </c>
      <c r="I103">
        <v>32</v>
      </c>
      <c r="J103">
        <v>79</v>
      </c>
      <c r="K103">
        <v>17</v>
      </c>
      <c r="L103">
        <v>0</v>
      </c>
      <c r="M103">
        <v>76</v>
      </c>
      <c r="N103" s="1">
        <v>0.46875</v>
      </c>
      <c r="O103" t="s">
        <v>23</v>
      </c>
    </row>
    <row r="104" spans="1:15" x14ac:dyDescent="0.3">
      <c r="A104" t="s">
        <v>145</v>
      </c>
      <c r="B104">
        <v>20260405</v>
      </c>
      <c r="C104" t="s">
        <v>32</v>
      </c>
      <c r="D104" t="s">
        <v>29</v>
      </c>
      <c r="E104" t="s">
        <v>41</v>
      </c>
      <c r="F104">
        <v>10539</v>
      </c>
      <c r="G104">
        <v>11701</v>
      </c>
      <c r="H104">
        <v>615</v>
      </c>
      <c r="I104">
        <v>74</v>
      </c>
      <c r="J104">
        <v>113</v>
      </c>
      <c r="K104">
        <v>69</v>
      </c>
      <c r="L104">
        <v>7752</v>
      </c>
      <c r="M104">
        <v>12</v>
      </c>
      <c r="N104" s="1">
        <v>0.32291666666666669</v>
      </c>
      <c r="O104" t="s">
        <v>27</v>
      </c>
    </row>
    <row r="105" spans="1:15" x14ac:dyDescent="0.3">
      <c r="A105" t="s">
        <v>146</v>
      </c>
      <c r="B105">
        <v>20251125</v>
      </c>
      <c r="C105" t="s">
        <v>44</v>
      </c>
      <c r="D105" t="s">
        <v>61</v>
      </c>
      <c r="E105" t="s">
        <v>46</v>
      </c>
      <c r="F105">
        <v>77350</v>
      </c>
      <c r="G105">
        <v>105282</v>
      </c>
      <c r="H105">
        <v>8353</v>
      </c>
      <c r="I105">
        <v>1036</v>
      </c>
      <c r="J105">
        <v>1507</v>
      </c>
      <c r="K105">
        <v>1320</v>
      </c>
      <c r="L105">
        <v>32239</v>
      </c>
      <c r="M105">
        <v>1316</v>
      </c>
      <c r="N105" s="1">
        <v>0.35416666666666669</v>
      </c>
      <c r="O105" t="s">
        <v>27</v>
      </c>
    </row>
    <row r="106" spans="1:15" x14ac:dyDescent="0.3">
      <c r="A106" t="s">
        <v>147</v>
      </c>
      <c r="B106">
        <v>20260701</v>
      </c>
      <c r="C106" t="s">
        <v>25</v>
      </c>
      <c r="D106" t="s">
        <v>36</v>
      </c>
      <c r="E106" t="s">
        <v>26</v>
      </c>
      <c r="F106">
        <v>10693</v>
      </c>
      <c r="G106">
        <v>11586</v>
      </c>
      <c r="H106">
        <v>549</v>
      </c>
      <c r="I106">
        <v>27</v>
      </c>
      <c r="J106">
        <v>45</v>
      </c>
      <c r="K106">
        <v>31</v>
      </c>
      <c r="L106">
        <v>4656</v>
      </c>
      <c r="M106">
        <v>165</v>
      </c>
      <c r="N106" s="1">
        <v>0.625</v>
      </c>
      <c r="O106" t="s">
        <v>42</v>
      </c>
    </row>
    <row r="107" spans="1:15" x14ac:dyDescent="0.3">
      <c r="A107" t="s">
        <v>148</v>
      </c>
      <c r="B107">
        <v>20250216</v>
      </c>
      <c r="C107" t="s">
        <v>16</v>
      </c>
      <c r="D107" t="s">
        <v>21</v>
      </c>
      <c r="E107" t="s">
        <v>41</v>
      </c>
      <c r="F107">
        <v>55308</v>
      </c>
      <c r="G107">
        <v>70157</v>
      </c>
      <c r="H107">
        <v>2151</v>
      </c>
      <c r="I107">
        <v>287</v>
      </c>
      <c r="J107">
        <v>105</v>
      </c>
      <c r="K107">
        <v>49</v>
      </c>
      <c r="L107">
        <v>47245</v>
      </c>
      <c r="M107">
        <v>161</v>
      </c>
      <c r="N107" s="1">
        <v>0.66666666666666663</v>
      </c>
      <c r="O107" t="s">
        <v>38</v>
      </c>
    </row>
    <row r="108" spans="1:15" x14ac:dyDescent="0.3">
      <c r="A108" t="s">
        <v>149</v>
      </c>
      <c r="B108">
        <v>20251101</v>
      </c>
      <c r="C108" t="s">
        <v>16</v>
      </c>
      <c r="D108" t="s">
        <v>33</v>
      </c>
      <c r="E108" t="s">
        <v>41</v>
      </c>
      <c r="F108">
        <v>77089</v>
      </c>
      <c r="G108">
        <v>82139</v>
      </c>
      <c r="H108">
        <v>6118</v>
      </c>
      <c r="I108">
        <v>264</v>
      </c>
      <c r="J108">
        <v>1098</v>
      </c>
      <c r="K108">
        <v>973</v>
      </c>
      <c r="L108">
        <v>33013</v>
      </c>
      <c r="M108">
        <v>927</v>
      </c>
      <c r="N108" s="1">
        <v>0.35416666666666669</v>
      </c>
      <c r="O108" t="s">
        <v>34</v>
      </c>
    </row>
    <row r="109" spans="1:15" x14ac:dyDescent="0.3">
      <c r="A109" t="s">
        <v>150</v>
      </c>
      <c r="B109">
        <v>20251213</v>
      </c>
      <c r="C109" t="s">
        <v>44</v>
      </c>
      <c r="D109" t="s">
        <v>33</v>
      </c>
      <c r="E109" t="s">
        <v>41</v>
      </c>
      <c r="F109">
        <v>49633</v>
      </c>
      <c r="G109">
        <v>67835</v>
      </c>
      <c r="H109">
        <v>2708</v>
      </c>
      <c r="I109">
        <v>276</v>
      </c>
      <c r="J109">
        <v>94</v>
      </c>
      <c r="K109">
        <v>362</v>
      </c>
      <c r="L109">
        <v>19252</v>
      </c>
      <c r="M109">
        <v>636</v>
      </c>
      <c r="N109" s="1">
        <v>0.82291666666666663</v>
      </c>
      <c r="O109" t="s">
        <v>38</v>
      </c>
    </row>
    <row r="110" spans="1:15" x14ac:dyDescent="0.3">
      <c r="A110" t="s">
        <v>151</v>
      </c>
      <c r="B110">
        <v>20260717</v>
      </c>
      <c r="C110" t="s">
        <v>44</v>
      </c>
      <c r="D110" t="s">
        <v>36</v>
      </c>
      <c r="E110" t="s">
        <v>18</v>
      </c>
      <c r="F110">
        <v>31528</v>
      </c>
      <c r="G110">
        <v>36722</v>
      </c>
      <c r="H110">
        <v>2502</v>
      </c>
      <c r="I110">
        <v>81</v>
      </c>
      <c r="J110">
        <v>145</v>
      </c>
      <c r="K110">
        <v>329</v>
      </c>
      <c r="L110">
        <v>0</v>
      </c>
      <c r="M110">
        <v>149</v>
      </c>
      <c r="N110" s="1">
        <v>0.71875</v>
      </c>
      <c r="O110" t="s">
        <v>42</v>
      </c>
    </row>
    <row r="111" spans="1:15" x14ac:dyDescent="0.3">
      <c r="A111" t="s">
        <v>152</v>
      </c>
      <c r="B111">
        <v>20250916</v>
      </c>
      <c r="C111" t="s">
        <v>16</v>
      </c>
      <c r="D111" t="s">
        <v>21</v>
      </c>
      <c r="E111" t="s">
        <v>41</v>
      </c>
      <c r="F111">
        <v>50277</v>
      </c>
      <c r="G111">
        <v>73231</v>
      </c>
      <c r="H111">
        <v>4832</v>
      </c>
      <c r="I111">
        <v>531</v>
      </c>
      <c r="J111">
        <v>856</v>
      </c>
      <c r="K111">
        <v>147</v>
      </c>
      <c r="L111">
        <v>32635</v>
      </c>
      <c r="M111">
        <v>71</v>
      </c>
      <c r="N111" s="1">
        <v>0.3125</v>
      </c>
      <c r="O111" t="s">
        <v>47</v>
      </c>
    </row>
    <row r="112" spans="1:15" x14ac:dyDescent="0.3">
      <c r="A112" t="s">
        <v>153</v>
      </c>
      <c r="B112">
        <v>20260304</v>
      </c>
      <c r="C112" t="s">
        <v>44</v>
      </c>
      <c r="D112" t="s">
        <v>36</v>
      </c>
      <c r="E112" t="s">
        <v>26</v>
      </c>
      <c r="F112">
        <v>49394</v>
      </c>
      <c r="G112">
        <v>80687</v>
      </c>
      <c r="H112">
        <v>2727</v>
      </c>
      <c r="I112">
        <v>344</v>
      </c>
      <c r="J112">
        <v>268</v>
      </c>
      <c r="K112">
        <v>417</v>
      </c>
      <c r="L112">
        <v>22346</v>
      </c>
      <c r="M112">
        <v>727</v>
      </c>
      <c r="N112" s="1">
        <v>0.72916666666666663</v>
      </c>
      <c r="O112" t="s">
        <v>30</v>
      </c>
    </row>
    <row r="113" spans="1:15" x14ac:dyDescent="0.3">
      <c r="A113" t="s">
        <v>154</v>
      </c>
      <c r="B113">
        <v>20250108</v>
      </c>
      <c r="C113" t="s">
        <v>32</v>
      </c>
      <c r="D113" t="s">
        <v>29</v>
      </c>
      <c r="E113" t="s">
        <v>18</v>
      </c>
      <c r="F113">
        <v>3427</v>
      </c>
      <c r="G113">
        <v>4947</v>
      </c>
      <c r="H113">
        <v>311</v>
      </c>
      <c r="I113">
        <v>10</v>
      </c>
      <c r="J113">
        <v>59</v>
      </c>
      <c r="K113">
        <v>29</v>
      </c>
      <c r="L113">
        <v>0</v>
      </c>
      <c r="M113">
        <v>60</v>
      </c>
      <c r="N113" s="1">
        <v>0.38541666666666669</v>
      </c>
      <c r="O113" t="s">
        <v>30</v>
      </c>
    </row>
    <row r="114" spans="1:15" x14ac:dyDescent="0.3">
      <c r="A114" t="s">
        <v>155</v>
      </c>
      <c r="B114">
        <v>20260121</v>
      </c>
      <c r="C114" t="s">
        <v>40</v>
      </c>
      <c r="D114" t="s">
        <v>68</v>
      </c>
      <c r="E114" t="s">
        <v>22</v>
      </c>
      <c r="F114">
        <v>12662</v>
      </c>
      <c r="G114">
        <v>20293</v>
      </c>
      <c r="H114">
        <v>716</v>
      </c>
      <c r="J114">
        <v>55</v>
      </c>
      <c r="K114">
        <v>56</v>
      </c>
      <c r="L114">
        <v>0</v>
      </c>
      <c r="M114">
        <v>172</v>
      </c>
      <c r="N114" s="1">
        <v>0.36458333333333331</v>
      </c>
      <c r="O114" t="s">
        <v>19</v>
      </c>
    </row>
    <row r="115" spans="1:15" x14ac:dyDescent="0.3">
      <c r="A115" t="s">
        <v>156</v>
      </c>
      <c r="B115">
        <v>20260209</v>
      </c>
      <c r="C115" t="s">
        <v>40</v>
      </c>
      <c r="D115" t="s">
        <v>33</v>
      </c>
      <c r="E115" t="s">
        <v>51</v>
      </c>
      <c r="F115">
        <v>10204</v>
      </c>
      <c r="G115">
        <v>15007</v>
      </c>
      <c r="H115">
        <v>1020</v>
      </c>
      <c r="I115">
        <v>118</v>
      </c>
      <c r="J115">
        <v>39</v>
      </c>
      <c r="K115">
        <v>109</v>
      </c>
      <c r="L115">
        <v>0</v>
      </c>
      <c r="M115">
        <v>128</v>
      </c>
      <c r="N115" s="1">
        <v>0.57291666666666663</v>
      </c>
      <c r="O115" t="s">
        <v>19</v>
      </c>
    </row>
    <row r="116" spans="1:15" x14ac:dyDescent="0.3">
      <c r="A116" t="s">
        <v>157</v>
      </c>
      <c r="B116">
        <v>20260803</v>
      </c>
      <c r="C116" t="s">
        <v>16</v>
      </c>
      <c r="D116" t="s">
        <v>17</v>
      </c>
      <c r="E116" t="s">
        <v>26</v>
      </c>
      <c r="F116">
        <v>12004</v>
      </c>
      <c r="G116">
        <v>13849</v>
      </c>
      <c r="H116">
        <v>631</v>
      </c>
      <c r="I116">
        <v>69</v>
      </c>
      <c r="J116">
        <v>35</v>
      </c>
      <c r="K116">
        <v>25</v>
      </c>
      <c r="L116">
        <v>10516</v>
      </c>
      <c r="M116">
        <v>165</v>
      </c>
      <c r="N116" s="1">
        <v>0.625</v>
      </c>
      <c r="O116" t="s">
        <v>23</v>
      </c>
    </row>
    <row r="117" spans="1:15" x14ac:dyDescent="0.3">
      <c r="A117" t="s">
        <v>158</v>
      </c>
      <c r="B117">
        <v>20260715</v>
      </c>
      <c r="C117" t="s">
        <v>16</v>
      </c>
      <c r="D117" t="s">
        <v>17</v>
      </c>
      <c r="E117" t="s">
        <v>46</v>
      </c>
      <c r="F117">
        <v>10772</v>
      </c>
      <c r="G117">
        <v>16589</v>
      </c>
      <c r="H117">
        <v>1152</v>
      </c>
      <c r="I117">
        <v>127</v>
      </c>
      <c r="J117">
        <v>201</v>
      </c>
      <c r="K117">
        <v>164</v>
      </c>
      <c r="L117">
        <v>5633</v>
      </c>
      <c r="M117">
        <v>46</v>
      </c>
      <c r="N117" s="1">
        <v>0.42708333333333331</v>
      </c>
      <c r="O117" t="s">
        <v>38</v>
      </c>
    </row>
    <row r="118" spans="1:15" x14ac:dyDescent="0.3">
      <c r="A118" t="s">
        <v>159</v>
      </c>
      <c r="B118">
        <v>20250616</v>
      </c>
      <c r="C118" t="s">
        <v>16</v>
      </c>
      <c r="D118" t="s">
        <v>68</v>
      </c>
      <c r="E118" t="s">
        <v>22</v>
      </c>
      <c r="F118">
        <v>22876</v>
      </c>
      <c r="G118">
        <v>26733</v>
      </c>
      <c r="H118">
        <v>2688</v>
      </c>
      <c r="I118">
        <v>242</v>
      </c>
      <c r="J118">
        <v>211</v>
      </c>
      <c r="K118">
        <v>68</v>
      </c>
      <c r="L118">
        <v>0</v>
      </c>
      <c r="M118">
        <v>86</v>
      </c>
      <c r="N118" s="1">
        <v>0.76041666666666663</v>
      </c>
      <c r="O118" t="s">
        <v>38</v>
      </c>
    </row>
    <row r="119" spans="1:15" x14ac:dyDescent="0.3">
      <c r="A119" t="s">
        <v>160</v>
      </c>
      <c r="B119">
        <v>20260930</v>
      </c>
      <c r="C119" t="s">
        <v>40</v>
      </c>
      <c r="D119" t="s">
        <v>21</v>
      </c>
      <c r="E119" t="s">
        <v>51</v>
      </c>
      <c r="F119">
        <v>20102</v>
      </c>
      <c r="G119">
        <v>29263</v>
      </c>
      <c r="H119">
        <v>1518</v>
      </c>
      <c r="I119">
        <v>191</v>
      </c>
      <c r="J119">
        <v>120</v>
      </c>
      <c r="K119">
        <v>62</v>
      </c>
      <c r="L119">
        <v>0</v>
      </c>
      <c r="M119">
        <v>80</v>
      </c>
      <c r="N119" s="1">
        <v>0.375</v>
      </c>
      <c r="O119" t="s">
        <v>53</v>
      </c>
    </row>
    <row r="120" spans="1:15" x14ac:dyDescent="0.3">
      <c r="A120" t="s">
        <v>161</v>
      </c>
      <c r="B120">
        <v>20251110</v>
      </c>
      <c r="C120" t="s">
        <v>44</v>
      </c>
      <c r="D120" t="s">
        <v>61</v>
      </c>
      <c r="E120" t="s">
        <v>18</v>
      </c>
      <c r="F120">
        <v>42633</v>
      </c>
      <c r="G120">
        <v>60761</v>
      </c>
      <c r="H120">
        <v>2154</v>
      </c>
      <c r="I120">
        <v>245</v>
      </c>
      <c r="J120">
        <v>329</v>
      </c>
      <c r="K120">
        <v>146</v>
      </c>
      <c r="L120">
        <v>0</v>
      </c>
      <c r="M120">
        <v>290</v>
      </c>
      <c r="N120" s="1">
        <v>0.30208333333333331</v>
      </c>
      <c r="O120" t="s">
        <v>42</v>
      </c>
    </row>
    <row r="121" spans="1:15" x14ac:dyDescent="0.3">
      <c r="A121" t="s">
        <v>162</v>
      </c>
      <c r="B121">
        <v>20251005</v>
      </c>
      <c r="C121" t="s">
        <v>32</v>
      </c>
      <c r="D121" t="s">
        <v>21</v>
      </c>
      <c r="E121" t="s">
        <v>46</v>
      </c>
      <c r="F121">
        <v>15250</v>
      </c>
      <c r="G121">
        <v>20708</v>
      </c>
      <c r="H121">
        <v>841</v>
      </c>
      <c r="I121">
        <v>40</v>
      </c>
      <c r="J121">
        <v>25</v>
      </c>
      <c r="K121">
        <v>89</v>
      </c>
      <c r="L121">
        <v>7006</v>
      </c>
      <c r="M121">
        <v>26</v>
      </c>
      <c r="N121" s="1">
        <v>0.41666666666666669</v>
      </c>
      <c r="O121" t="s">
        <v>19</v>
      </c>
    </row>
    <row r="122" spans="1:15" x14ac:dyDescent="0.3">
      <c r="A122" t="s">
        <v>163</v>
      </c>
      <c r="B122">
        <v>20250114</v>
      </c>
      <c r="C122" t="s">
        <v>16</v>
      </c>
      <c r="D122" t="s">
        <v>21</v>
      </c>
      <c r="E122" t="s">
        <v>26</v>
      </c>
      <c r="F122">
        <v>42594</v>
      </c>
      <c r="G122">
        <v>53577</v>
      </c>
      <c r="H122">
        <v>4677</v>
      </c>
      <c r="I122">
        <v>564</v>
      </c>
      <c r="J122">
        <v>613</v>
      </c>
      <c r="K122">
        <v>243</v>
      </c>
      <c r="L122">
        <v>33799</v>
      </c>
      <c r="M122">
        <v>687</v>
      </c>
      <c r="N122" s="1">
        <v>0.53125</v>
      </c>
      <c r="O122" t="s">
        <v>27</v>
      </c>
    </row>
    <row r="123" spans="1:15" x14ac:dyDescent="0.3">
      <c r="A123" t="s">
        <v>164</v>
      </c>
      <c r="B123">
        <v>20260106</v>
      </c>
      <c r="C123" t="s">
        <v>25</v>
      </c>
      <c r="D123" t="s">
        <v>33</v>
      </c>
      <c r="E123" t="s">
        <v>46</v>
      </c>
      <c r="F123">
        <v>27290</v>
      </c>
      <c r="G123">
        <v>44014</v>
      </c>
      <c r="H123">
        <v>1421</v>
      </c>
      <c r="I123">
        <v>67</v>
      </c>
      <c r="J123">
        <v>80</v>
      </c>
      <c r="K123">
        <v>180</v>
      </c>
      <c r="L123">
        <v>14200</v>
      </c>
      <c r="M123">
        <v>443</v>
      </c>
      <c r="N123" s="1">
        <v>0.66666666666666663</v>
      </c>
      <c r="O123" t="s">
        <v>19</v>
      </c>
    </row>
    <row r="124" spans="1:15" x14ac:dyDescent="0.3">
      <c r="A124" t="s">
        <v>165</v>
      </c>
      <c r="B124">
        <v>20250327</v>
      </c>
      <c r="C124" t="s">
        <v>32</v>
      </c>
      <c r="D124" t="s">
        <v>33</v>
      </c>
      <c r="E124" t="s">
        <v>26</v>
      </c>
      <c r="F124">
        <v>8128</v>
      </c>
      <c r="G124">
        <v>10769</v>
      </c>
      <c r="H124">
        <v>352</v>
      </c>
      <c r="I124">
        <v>45</v>
      </c>
      <c r="J124">
        <v>53</v>
      </c>
      <c r="K124">
        <v>29</v>
      </c>
      <c r="L124">
        <v>4988</v>
      </c>
      <c r="M124">
        <v>91</v>
      </c>
      <c r="N124" s="1">
        <v>0.48958333333333331</v>
      </c>
      <c r="O124" t="s">
        <v>30</v>
      </c>
    </row>
    <row r="125" spans="1:15" x14ac:dyDescent="0.3">
      <c r="A125" t="s">
        <v>166</v>
      </c>
      <c r="B125">
        <v>20250927</v>
      </c>
      <c r="C125" t="s">
        <v>25</v>
      </c>
      <c r="E125" t="s">
        <v>26</v>
      </c>
      <c r="F125">
        <v>12055</v>
      </c>
      <c r="G125">
        <v>14425</v>
      </c>
      <c r="H125">
        <v>657</v>
      </c>
      <c r="I125">
        <v>36</v>
      </c>
      <c r="J125">
        <v>27</v>
      </c>
      <c r="K125">
        <v>36</v>
      </c>
      <c r="L125">
        <v>5421</v>
      </c>
      <c r="M125">
        <v>110</v>
      </c>
      <c r="N125" s="1">
        <v>0.8125</v>
      </c>
      <c r="O125" t="s">
        <v>49</v>
      </c>
    </row>
    <row r="126" spans="1:15" x14ac:dyDescent="0.3">
      <c r="A126" t="s">
        <v>167</v>
      </c>
      <c r="B126">
        <v>20260326</v>
      </c>
      <c r="C126" t="s">
        <v>25</v>
      </c>
      <c r="D126" t="s">
        <v>17</v>
      </c>
      <c r="E126" t="s">
        <v>51</v>
      </c>
      <c r="F126">
        <v>13724</v>
      </c>
      <c r="G126">
        <v>15569</v>
      </c>
      <c r="H126">
        <v>539</v>
      </c>
      <c r="I126">
        <v>43</v>
      </c>
      <c r="J126">
        <v>34</v>
      </c>
      <c r="K126">
        <v>17</v>
      </c>
      <c r="L126">
        <v>0</v>
      </c>
      <c r="M126">
        <v>176</v>
      </c>
      <c r="N126" s="1">
        <v>0.88541666666666663</v>
      </c>
      <c r="O126" t="s">
        <v>47</v>
      </c>
    </row>
    <row r="127" spans="1:15" x14ac:dyDescent="0.3">
      <c r="A127" t="s">
        <v>168</v>
      </c>
      <c r="B127">
        <v>20251223</v>
      </c>
      <c r="C127" t="s">
        <v>44</v>
      </c>
      <c r="D127" t="s">
        <v>17</v>
      </c>
      <c r="E127" t="s">
        <v>46</v>
      </c>
      <c r="F127">
        <v>34995</v>
      </c>
      <c r="G127">
        <v>46956</v>
      </c>
      <c r="H127">
        <v>3554</v>
      </c>
      <c r="I127">
        <v>186</v>
      </c>
      <c r="J127">
        <v>429</v>
      </c>
      <c r="K127">
        <v>246</v>
      </c>
      <c r="L127">
        <v>16642</v>
      </c>
      <c r="M127">
        <v>432</v>
      </c>
      <c r="N127" s="1">
        <v>0.41666666666666669</v>
      </c>
      <c r="O127" t="s">
        <v>49</v>
      </c>
    </row>
    <row r="128" spans="1:15" x14ac:dyDescent="0.3">
      <c r="A128" t="s">
        <v>169</v>
      </c>
      <c r="B128">
        <v>20260927</v>
      </c>
      <c r="C128" t="s">
        <v>16</v>
      </c>
      <c r="D128" t="s">
        <v>21</v>
      </c>
      <c r="E128" t="s">
        <v>51</v>
      </c>
      <c r="F128">
        <v>27326</v>
      </c>
      <c r="G128">
        <v>36765</v>
      </c>
      <c r="H128">
        <v>1300</v>
      </c>
      <c r="I128">
        <v>109</v>
      </c>
      <c r="J128">
        <v>142</v>
      </c>
      <c r="K128">
        <v>61</v>
      </c>
      <c r="L128">
        <v>0</v>
      </c>
      <c r="M128">
        <v>165</v>
      </c>
      <c r="N128" s="1">
        <v>0.57291666666666663</v>
      </c>
      <c r="O128" t="s">
        <v>19</v>
      </c>
    </row>
    <row r="129" spans="1:15" x14ac:dyDescent="0.3">
      <c r="A129" t="s">
        <v>170</v>
      </c>
      <c r="B129">
        <v>20260825</v>
      </c>
      <c r="C129" t="s">
        <v>40</v>
      </c>
      <c r="D129" t="s">
        <v>33</v>
      </c>
      <c r="E129" t="s">
        <v>26</v>
      </c>
      <c r="F129">
        <v>24524</v>
      </c>
      <c r="G129">
        <v>30393</v>
      </c>
      <c r="H129">
        <v>1373</v>
      </c>
      <c r="I129">
        <v>105</v>
      </c>
      <c r="J129">
        <v>209</v>
      </c>
      <c r="K129">
        <v>92</v>
      </c>
      <c r="L129">
        <v>10500</v>
      </c>
      <c r="M129">
        <v>262</v>
      </c>
      <c r="N129" s="1">
        <v>0.92708333333333337</v>
      </c>
      <c r="O129" t="s">
        <v>27</v>
      </c>
    </row>
    <row r="130" spans="1:15" x14ac:dyDescent="0.3">
      <c r="A130" t="s">
        <v>171</v>
      </c>
      <c r="B130">
        <v>20260619</v>
      </c>
      <c r="C130" t="s">
        <v>16</v>
      </c>
      <c r="D130" t="s">
        <v>33</v>
      </c>
      <c r="E130" t="s">
        <v>18</v>
      </c>
      <c r="F130">
        <v>21024</v>
      </c>
      <c r="G130">
        <v>28691</v>
      </c>
      <c r="H130">
        <v>604</v>
      </c>
      <c r="I130">
        <v>26</v>
      </c>
      <c r="J130">
        <v>98</v>
      </c>
      <c r="K130">
        <v>52</v>
      </c>
      <c r="L130">
        <v>0</v>
      </c>
      <c r="M130">
        <v>47</v>
      </c>
      <c r="N130" s="1">
        <v>0.38541666666666669</v>
      </c>
      <c r="O130" t="s">
        <v>23</v>
      </c>
    </row>
    <row r="131" spans="1:15" x14ac:dyDescent="0.3">
      <c r="A131" t="s">
        <v>172</v>
      </c>
      <c r="B131">
        <v>20251225</v>
      </c>
      <c r="C131" t="s">
        <v>40</v>
      </c>
      <c r="E131" t="s">
        <v>51</v>
      </c>
      <c r="F131">
        <v>57075</v>
      </c>
      <c r="G131">
        <v>82102</v>
      </c>
      <c r="H131">
        <v>4719</v>
      </c>
      <c r="I131">
        <v>239</v>
      </c>
      <c r="J131">
        <v>393</v>
      </c>
      <c r="K131">
        <v>689</v>
      </c>
      <c r="L131">
        <v>0</v>
      </c>
      <c r="M131">
        <v>622</v>
      </c>
      <c r="N131" s="1">
        <v>0.41666666666666669</v>
      </c>
      <c r="O131" t="s">
        <v>19</v>
      </c>
    </row>
    <row r="132" spans="1:15" x14ac:dyDescent="0.3">
      <c r="A132" t="s">
        <v>173</v>
      </c>
      <c r="B132">
        <v>20260915</v>
      </c>
      <c r="C132" t="s">
        <v>40</v>
      </c>
      <c r="D132" t="s">
        <v>17</v>
      </c>
      <c r="E132" t="s">
        <v>41</v>
      </c>
      <c r="F132">
        <v>10322</v>
      </c>
      <c r="G132">
        <v>12796</v>
      </c>
      <c r="H132">
        <v>440</v>
      </c>
      <c r="I132">
        <v>58</v>
      </c>
      <c r="J132">
        <v>75</v>
      </c>
      <c r="K132">
        <v>25</v>
      </c>
      <c r="L132">
        <v>8195</v>
      </c>
      <c r="M132">
        <v>183</v>
      </c>
      <c r="N132" s="1">
        <v>0.73958333333333337</v>
      </c>
      <c r="O132" t="s">
        <v>53</v>
      </c>
    </row>
    <row r="133" spans="1:15" x14ac:dyDescent="0.3">
      <c r="A133" t="s">
        <v>174</v>
      </c>
      <c r="B133">
        <v>20251009</v>
      </c>
      <c r="C133" t="s">
        <v>25</v>
      </c>
      <c r="D133" t="s">
        <v>61</v>
      </c>
      <c r="E133" t="s">
        <v>51</v>
      </c>
      <c r="F133">
        <v>10412</v>
      </c>
      <c r="G133">
        <v>11010</v>
      </c>
      <c r="H133">
        <v>381</v>
      </c>
      <c r="I133">
        <v>42</v>
      </c>
      <c r="J133">
        <v>51</v>
      </c>
      <c r="K133">
        <v>17</v>
      </c>
      <c r="L133">
        <v>0</v>
      </c>
      <c r="M133">
        <v>122</v>
      </c>
      <c r="N133" s="1">
        <v>0.40625</v>
      </c>
      <c r="O133" t="s">
        <v>53</v>
      </c>
    </row>
    <row r="134" spans="1:15" x14ac:dyDescent="0.3">
      <c r="A134" t="s">
        <v>175</v>
      </c>
      <c r="B134">
        <v>20250424</v>
      </c>
      <c r="C134" t="s">
        <v>44</v>
      </c>
      <c r="D134" t="s">
        <v>17</v>
      </c>
      <c r="E134" t="s">
        <v>51</v>
      </c>
      <c r="F134">
        <v>74435</v>
      </c>
      <c r="G134">
        <v>94461</v>
      </c>
      <c r="H134">
        <v>7459</v>
      </c>
      <c r="I134">
        <v>531</v>
      </c>
      <c r="J134">
        <v>1349</v>
      </c>
      <c r="K134">
        <v>1031</v>
      </c>
      <c r="L134">
        <v>0</v>
      </c>
      <c r="M134">
        <v>1227</v>
      </c>
      <c r="N134" s="1">
        <v>0.86458333333333337</v>
      </c>
      <c r="O134" t="s">
        <v>38</v>
      </c>
    </row>
    <row r="135" spans="1:15" x14ac:dyDescent="0.3">
      <c r="A135" t="s">
        <v>176</v>
      </c>
      <c r="B135">
        <v>20260123</v>
      </c>
      <c r="C135" t="s">
        <v>16</v>
      </c>
      <c r="D135" t="s">
        <v>33</v>
      </c>
      <c r="E135" t="s">
        <v>46</v>
      </c>
      <c r="F135">
        <v>74093</v>
      </c>
      <c r="G135">
        <v>101415</v>
      </c>
      <c r="H135">
        <v>4077</v>
      </c>
      <c r="I135">
        <v>123</v>
      </c>
      <c r="J135">
        <v>138</v>
      </c>
      <c r="K135">
        <v>219</v>
      </c>
      <c r="L135">
        <v>40646</v>
      </c>
      <c r="M135">
        <v>180</v>
      </c>
      <c r="N135" s="1">
        <v>0.51041666666666663</v>
      </c>
      <c r="O135" t="s">
        <v>27</v>
      </c>
    </row>
    <row r="136" spans="1:15" x14ac:dyDescent="0.3">
      <c r="A136" t="s">
        <v>177</v>
      </c>
      <c r="B136">
        <v>20260423</v>
      </c>
      <c r="C136" t="s">
        <v>16</v>
      </c>
      <c r="D136" t="s">
        <v>21</v>
      </c>
      <c r="E136" t="s">
        <v>26</v>
      </c>
      <c r="F136">
        <v>47191</v>
      </c>
      <c r="G136">
        <v>60846</v>
      </c>
      <c r="H136">
        <v>5128</v>
      </c>
      <c r="I136">
        <v>385</v>
      </c>
      <c r="J136">
        <v>511</v>
      </c>
      <c r="K136">
        <v>590</v>
      </c>
      <c r="L136">
        <v>24505</v>
      </c>
      <c r="M136">
        <v>237</v>
      </c>
      <c r="N136" s="1">
        <v>0.6875</v>
      </c>
      <c r="O136" t="s">
        <v>53</v>
      </c>
    </row>
    <row r="137" spans="1:15" x14ac:dyDescent="0.3">
      <c r="A137" t="s">
        <v>178</v>
      </c>
      <c r="B137">
        <v>20260419</v>
      </c>
      <c r="C137" t="s">
        <v>44</v>
      </c>
      <c r="D137" t="s">
        <v>68</v>
      </c>
      <c r="E137" t="s">
        <v>26</v>
      </c>
      <c r="F137">
        <v>36007</v>
      </c>
      <c r="G137">
        <v>53543</v>
      </c>
      <c r="H137">
        <v>4111</v>
      </c>
      <c r="I137">
        <v>283</v>
      </c>
      <c r="J137">
        <v>720</v>
      </c>
      <c r="K137">
        <v>525</v>
      </c>
      <c r="L137">
        <v>13511</v>
      </c>
      <c r="M137">
        <v>238</v>
      </c>
      <c r="N137" s="1">
        <v>0.79166666666666663</v>
      </c>
      <c r="O137" t="s">
        <v>42</v>
      </c>
    </row>
    <row r="138" spans="1:15" x14ac:dyDescent="0.3">
      <c r="A138" t="s">
        <v>179</v>
      </c>
      <c r="B138">
        <v>20260708</v>
      </c>
      <c r="C138" t="s">
        <v>40</v>
      </c>
      <c r="D138" t="s">
        <v>36</v>
      </c>
      <c r="E138" t="s">
        <v>46</v>
      </c>
      <c r="F138">
        <v>18086</v>
      </c>
      <c r="G138">
        <v>24794</v>
      </c>
      <c r="H138">
        <v>1320</v>
      </c>
      <c r="I138">
        <v>70</v>
      </c>
      <c r="J138">
        <v>79</v>
      </c>
      <c r="K138">
        <v>33</v>
      </c>
      <c r="L138">
        <v>10724</v>
      </c>
      <c r="M138">
        <v>191</v>
      </c>
      <c r="N138" s="1">
        <v>0.5625</v>
      </c>
      <c r="O138" t="s">
        <v>23</v>
      </c>
    </row>
    <row r="139" spans="1:15" x14ac:dyDescent="0.3">
      <c r="A139" t="s">
        <v>180</v>
      </c>
      <c r="B139">
        <v>20250409</v>
      </c>
      <c r="C139" t="s">
        <v>25</v>
      </c>
      <c r="D139" t="s">
        <v>33</v>
      </c>
      <c r="E139" t="s">
        <v>26</v>
      </c>
      <c r="F139">
        <v>7809</v>
      </c>
      <c r="G139">
        <v>10157</v>
      </c>
      <c r="H139">
        <v>204</v>
      </c>
      <c r="I139">
        <v>5</v>
      </c>
      <c r="J139">
        <v>8</v>
      </c>
      <c r="K139">
        <v>11</v>
      </c>
      <c r="L139">
        <v>5466</v>
      </c>
      <c r="M139">
        <v>45</v>
      </c>
      <c r="N139" s="1">
        <v>0.61458333333333337</v>
      </c>
      <c r="O139" t="s">
        <v>19</v>
      </c>
    </row>
    <row r="140" spans="1:15" x14ac:dyDescent="0.3">
      <c r="A140" t="s">
        <v>181</v>
      </c>
      <c r="B140">
        <v>20260929</v>
      </c>
      <c r="C140" t="s">
        <v>32</v>
      </c>
      <c r="E140" t="s">
        <v>22</v>
      </c>
      <c r="F140">
        <v>2041</v>
      </c>
      <c r="G140">
        <v>2925</v>
      </c>
      <c r="H140">
        <v>169</v>
      </c>
      <c r="I140">
        <v>15</v>
      </c>
      <c r="J140">
        <v>6</v>
      </c>
      <c r="K140">
        <v>24</v>
      </c>
      <c r="L140">
        <v>0</v>
      </c>
      <c r="M140">
        <v>14</v>
      </c>
      <c r="N140" s="1">
        <v>0.32291666666666669</v>
      </c>
      <c r="O140" t="s">
        <v>47</v>
      </c>
    </row>
    <row r="141" spans="1:15" x14ac:dyDescent="0.3">
      <c r="A141" t="s">
        <v>182</v>
      </c>
      <c r="B141">
        <v>20251206</v>
      </c>
      <c r="C141" t="s">
        <v>40</v>
      </c>
      <c r="D141" t="s">
        <v>33</v>
      </c>
      <c r="E141" t="s">
        <v>41</v>
      </c>
      <c r="F141">
        <v>37556</v>
      </c>
      <c r="G141">
        <v>53029</v>
      </c>
      <c r="H141">
        <v>2431</v>
      </c>
      <c r="I141">
        <v>236</v>
      </c>
      <c r="J141">
        <v>171</v>
      </c>
      <c r="K141">
        <v>333</v>
      </c>
      <c r="L141">
        <v>17213</v>
      </c>
      <c r="M141">
        <v>318</v>
      </c>
      <c r="N141" s="1">
        <v>0.45833333333333331</v>
      </c>
      <c r="O141" t="s">
        <v>34</v>
      </c>
    </row>
    <row r="142" spans="1:15" x14ac:dyDescent="0.3">
      <c r="A142" t="s">
        <v>183</v>
      </c>
      <c r="B142">
        <v>20250311</v>
      </c>
      <c r="C142" t="s">
        <v>32</v>
      </c>
      <c r="D142" t="s">
        <v>29</v>
      </c>
      <c r="E142" t="s">
        <v>18</v>
      </c>
      <c r="F142">
        <v>18656</v>
      </c>
      <c r="G142">
        <v>30245</v>
      </c>
      <c r="H142">
        <v>2016</v>
      </c>
      <c r="I142">
        <v>208</v>
      </c>
      <c r="J142">
        <v>64</v>
      </c>
      <c r="K142">
        <v>112</v>
      </c>
      <c r="L142">
        <v>0</v>
      </c>
      <c r="M142">
        <v>249</v>
      </c>
      <c r="N142" s="1">
        <v>0.82291666666666663</v>
      </c>
      <c r="O142" t="s">
        <v>49</v>
      </c>
    </row>
    <row r="143" spans="1:15" x14ac:dyDescent="0.3">
      <c r="A143" t="s">
        <v>184</v>
      </c>
      <c r="B143">
        <v>20260824</v>
      </c>
      <c r="C143" t="s">
        <v>44</v>
      </c>
      <c r="D143" t="s">
        <v>68</v>
      </c>
      <c r="E143" t="s">
        <v>18</v>
      </c>
      <c r="F143">
        <v>49728</v>
      </c>
      <c r="G143">
        <v>72217</v>
      </c>
      <c r="H143">
        <v>4564</v>
      </c>
      <c r="I143">
        <v>352</v>
      </c>
      <c r="J143">
        <v>660</v>
      </c>
      <c r="K143">
        <v>354</v>
      </c>
      <c r="L143">
        <v>0</v>
      </c>
      <c r="M143">
        <v>749</v>
      </c>
      <c r="N143" s="1">
        <v>0.3125</v>
      </c>
      <c r="O143" t="s">
        <v>38</v>
      </c>
    </row>
    <row r="144" spans="1:15" x14ac:dyDescent="0.3">
      <c r="A144" t="s">
        <v>185</v>
      </c>
      <c r="B144">
        <v>20260505</v>
      </c>
      <c r="C144" t="s">
        <v>16</v>
      </c>
      <c r="D144" t="s">
        <v>17</v>
      </c>
      <c r="E144" t="s">
        <v>18</v>
      </c>
      <c r="F144">
        <v>19489</v>
      </c>
      <c r="G144">
        <v>30599</v>
      </c>
      <c r="H144">
        <v>2247</v>
      </c>
      <c r="I144">
        <v>139</v>
      </c>
      <c r="J144">
        <v>124</v>
      </c>
      <c r="K144">
        <v>170</v>
      </c>
      <c r="L144">
        <v>0</v>
      </c>
      <c r="M144">
        <v>46</v>
      </c>
      <c r="N144" s="1">
        <v>0.44791666666666669</v>
      </c>
      <c r="O144" t="s">
        <v>42</v>
      </c>
    </row>
    <row r="145" spans="1:15" x14ac:dyDescent="0.3">
      <c r="A145" t="s">
        <v>186</v>
      </c>
      <c r="B145">
        <v>20250905</v>
      </c>
      <c r="C145" t="s">
        <v>32</v>
      </c>
      <c r="D145" t="s">
        <v>21</v>
      </c>
      <c r="E145" t="s">
        <v>41</v>
      </c>
      <c r="F145">
        <v>6034</v>
      </c>
      <c r="G145">
        <v>7016</v>
      </c>
      <c r="H145">
        <v>205</v>
      </c>
      <c r="I145">
        <v>7</v>
      </c>
      <c r="J145">
        <v>12</v>
      </c>
      <c r="K145">
        <v>11</v>
      </c>
      <c r="L145">
        <v>3650</v>
      </c>
      <c r="M145">
        <v>71</v>
      </c>
      <c r="N145" s="1">
        <v>0.66666666666666663</v>
      </c>
      <c r="O145" t="s">
        <v>27</v>
      </c>
    </row>
    <row r="146" spans="1:15" x14ac:dyDescent="0.3">
      <c r="A146" t="s">
        <v>187</v>
      </c>
      <c r="B146">
        <v>20250815</v>
      </c>
      <c r="C146" t="s">
        <v>25</v>
      </c>
      <c r="D146" t="s">
        <v>61</v>
      </c>
      <c r="E146" t="s">
        <v>26</v>
      </c>
      <c r="F146">
        <v>7372</v>
      </c>
      <c r="G146">
        <v>11032</v>
      </c>
      <c r="H146">
        <v>208</v>
      </c>
      <c r="I146">
        <v>21</v>
      </c>
      <c r="J146">
        <v>27</v>
      </c>
      <c r="K146">
        <v>7</v>
      </c>
      <c r="L146">
        <v>6150</v>
      </c>
      <c r="M146">
        <v>55</v>
      </c>
      <c r="N146" s="1">
        <v>0.39583333333333331</v>
      </c>
      <c r="O146" t="s">
        <v>38</v>
      </c>
    </row>
    <row r="147" spans="1:15" x14ac:dyDescent="0.3">
      <c r="A147" t="s">
        <v>188</v>
      </c>
      <c r="B147">
        <v>20260213</v>
      </c>
      <c r="C147" t="s">
        <v>25</v>
      </c>
      <c r="D147" t="s">
        <v>29</v>
      </c>
      <c r="E147" t="s">
        <v>41</v>
      </c>
      <c r="F147">
        <v>20269</v>
      </c>
      <c r="G147">
        <v>28922</v>
      </c>
      <c r="H147">
        <v>2013</v>
      </c>
      <c r="I147">
        <v>219</v>
      </c>
      <c r="J147">
        <v>338</v>
      </c>
      <c r="K147">
        <v>65</v>
      </c>
      <c r="L147">
        <v>12223</v>
      </c>
      <c r="M147">
        <v>151</v>
      </c>
      <c r="N147" s="1">
        <v>0.65625</v>
      </c>
      <c r="O147" t="s">
        <v>47</v>
      </c>
    </row>
    <row r="148" spans="1:15" x14ac:dyDescent="0.3">
      <c r="A148" t="s">
        <v>189</v>
      </c>
      <c r="B148">
        <v>20250612</v>
      </c>
      <c r="C148" t="s">
        <v>32</v>
      </c>
      <c r="D148" t="s">
        <v>33</v>
      </c>
      <c r="E148" t="s">
        <v>41</v>
      </c>
      <c r="F148">
        <v>5078</v>
      </c>
      <c r="G148">
        <v>6654</v>
      </c>
      <c r="H148">
        <v>205</v>
      </c>
      <c r="I148">
        <v>10</v>
      </c>
      <c r="J148">
        <v>37</v>
      </c>
      <c r="K148">
        <v>6</v>
      </c>
      <c r="L148">
        <v>2213</v>
      </c>
      <c r="M148">
        <v>31</v>
      </c>
      <c r="N148" s="1">
        <v>0.51041666666666663</v>
      </c>
      <c r="O148" t="s">
        <v>23</v>
      </c>
    </row>
    <row r="149" spans="1:15" x14ac:dyDescent="0.3">
      <c r="A149" t="s">
        <v>190</v>
      </c>
      <c r="B149">
        <v>20260529</v>
      </c>
      <c r="C149" t="s">
        <v>16</v>
      </c>
      <c r="D149" t="s">
        <v>33</v>
      </c>
      <c r="E149" t="s">
        <v>46</v>
      </c>
      <c r="F149">
        <v>8895</v>
      </c>
      <c r="G149">
        <v>10194</v>
      </c>
      <c r="H149">
        <v>338</v>
      </c>
      <c r="I149">
        <v>31</v>
      </c>
      <c r="J149">
        <v>44</v>
      </c>
      <c r="K149">
        <v>46</v>
      </c>
      <c r="L149">
        <v>6494</v>
      </c>
      <c r="M149">
        <v>157</v>
      </c>
      <c r="N149" s="1">
        <v>0.44791666666666669</v>
      </c>
      <c r="O149" t="s">
        <v>47</v>
      </c>
    </row>
    <row r="150" spans="1:15" x14ac:dyDescent="0.3">
      <c r="A150" t="s">
        <v>191</v>
      </c>
      <c r="B150">
        <v>20250331</v>
      </c>
      <c r="C150" t="s">
        <v>25</v>
      </c>
      <c r="D150" t="s">
        <v>29</v>
      </c>
      <c r="E150" t="s">
        <v>41</v>
      </c>
      <c r="F150">
        <v>21024</v>
      </c>
      <c r="G150">
        <v>34288</v>
      </c>
      <c r="H150">
        <v>1327</v>
      </c>
      <c r="I150">
        <v>156</v>
      </c>
      <c r="J150">
        <v>197</v>
      </c>
      <c r="K150">
        <v>108</v>
      </c>
      <c r="L150">
        <v>11067</v>
      </c>
      <c r="M150">
        <v>289</v>
      </c>
      <c r="N150" s="1">
        <v>0.84375</v>
      </c>
      <c r="O150" t="s">
        <v>49</v>
      </c>
    </row>
    <row r="151" spans="1:15" x14ac:dyDescent="0.3">
      <c r="A151" t="s">
        <v>192</v>
      </c>
      <c r="B151">
        <v>20250918</v>
      </c>
      <c r="C151" t="s">
        <v>44</v>
      </c>
      <c r="D151" t="s">
        <v>61</v>
      </c>
      <c r="E151" t="s">
        <v>51</v>
      </c>
      <c r="F151">
        <v>20526</v>
      </c>
      <c r="G151">
        <v>23111</v>
      </c>
      <c r="H151">
        <v>1563</v>
      </c>
      <c r="I151">
        <v>64</v>
      </c>
      <c r="J151">
        <v>208</v>
      </c>
      <c r="K151">
        <v>145</v>
      </c>
      <c r="L151">
        <v>0</v>
      </c>
      <c r="M151">
        <v>26</v>
      </c>
      <c r="N151" s="1">
        <v>0.58333333333333337</v>
      </c>
      <c r="O151" t="s">
        <v>49</v>
      </c>
    </row>
    <row r="152" spans="1:15" x14ac:dyDescent="0.3">
      <c r="A152" t="s">
        <v>193</v>
      </c>
      <c r="B152">
        <v>20260416</v>
      </c>
      <c r="C152" t="s">
        <v>25</v>
      </c>
      <c r="D152" t="s">
        <v>21</v>
      </c>
      <c r="E152" t="s">
        <v>46</v>
      </c>
      <c r="F152">
        <v>22833</v>
      </c>
      <c r="G152">
        <v>33843</v>
      </c>
      <c r="H152">
        <v>1928</v>
      </c>
      <c r="I152">
        <v>243</v>
      </c>
      <c r="J152">
        <v>300</v>
      </c>
      <c r="K152">
        <v>102</v>
      </c>
      <c r="L152">
        <v>13951</v>
      </c>
      <c r="M152">
        <v>188</v>
      </c>
      <c r="N152" s="1">
        <v>0.59375</v>
      </c>
      <c r="O152" t="s">
        <v>53</v>
      </c>
    </row>
    <row r="153" spans="1:15" x14ac:dyDescent="0.3">
      <c r="A153" t="s">
        <v>194</v>
      </c>
      <c r="B153">
        <v>20260122</v>
      </c>
      <c r="C153" t="s">
        <v>44</v>
      </c>
      <c r="D153" t="s">
        <v>29</v>
      </c>
      <c r="E153" t="s">
        <v>18</v>
      </c>
      <c r="F153">
        <v>40086</v>
      </c>
      <c r="G153">
        <v>51179</v>
      </c>
      <c r="H153">
        <v>4622</v>
      </c>
      <c r="I153">
        <v>539</v>
      </c>
      <c r="J153">
        <v>623</v>
      </c>
      <c r="K153">
        <v>306</v>
      </c>
      <c r="L153">
        <v>0</v>
      </c>
      <c r="M153">
        <v>551</v>
      </c>
      <c r="N153" s="1">
        <v>0.61458333333333337</v>
      </c>
      <c r="O153" t="s">
        <v>34</v>
      </c>
    </row>
    <row r="154" spans="1:15" x14ac:dyDescent="0.3">
      <c r="A154" t="s">
        <v>195</v>
      </c>
      <c r="B154">
        <v>20250114</v>
      </c>
      <c r="C154" t="s">
        <v>40</v>
      </c>
      <c r="D154" t="s">
        <v>21</v>
      </c>
      <c r="E154" t="s">
        <v>51</v>
      </c>
      <c r="F154">
        <v>23042</v>
      </c>
      <c r="G154">
        <v>31714</v>
      </c>
      <c r="H154">
        <v>2258</v>
      </c>
      <c r="I154">
        <v>221</v>
      </c>
      <c r="J154">
        <v>159</v>
      </c>
      <c r="K154">
        <v>262</v>
      </c>
      <c r="L154">
        <v>0</v>
      </c>
      <c r="M154">
        <v>129</v>
      </c>
      <c r="N154" s="1">
        <v>0.33333333333333331</v>
      </c>
      <c r="O154" t="s">
        <v>27</v>
      </c>
    </row>
    <row r="155" spans="1:15" x14ac:dyDescent="0.3">
      <c r="A155" t="s">
        <v>196</v>
      </c>
      <c r="B155">
        <v>20260513</v>
      </c>
      <c r="C155" t="s">
        <v>44</v>
      </c>
      <c r="D155" t="s">
        <v>29</v>
      </c>
      <c r="E155" t="s">
        <v>22</v>
      </c>
      <c r="F155">
        <v>24362</v>
      </c>
      <c r="G155">
        <v>29179</v>
      </c>
      <c r="H155">
        <v>2434</v>
      </c>
      <c r="I155">
        <v>270</v>
      </c>
      <c r="J155">
        <v>182</v>
      </c>
      <c r="K155">
        <v>351</v>
      </c>
      <c r="L155">
        <v>0</v>
      </c>
      <c r="M155">
        <v>288</v>
      </c>
      <c r="N155" s="1">
        <v>0.83333333333333337</v>
      </c>
      <c r="O155" t="s">
        <v>53</v>
      </c>
    </row>
    <row r="156" spans="1:15" x14ac:dyDescent="0.3">
      <c r="A156" t="s">
        <v>197</v>
      </c>
      <c r="B156">
        <v>20251128</v>
      </c>
      <c r="C156" t="s">
        <v>16</v>
      </c>
      <c r="D156" t="s">
        <v>33</v>
      </c>
      <c r="E156" t="s">
        <v>46</v>
      </c>
      <c r="F156">
        <v>14125</v>
      </c>
      <c r="G156">
        <v>16394</v>
      </c>
      <c r="H156">
        <v>1488</v>
      </c>
      <c r="I156">
        <v>161</v>
      </c>
      <c r="J156">
        <v>162</v>
      </c>
      <c r="K156">
        <v>167</v>
      </c>
      <c r="L156">
        <v>5718</v>
      </c>
      <c r="M156">
        <v>121</v>
      </c>
      <c r="N156" s="1">
        <v>0.90625</v>
      </c>
      <c r="O156" t="s">
        <v>23</v>
      </c>
    </row>
    <row r="157" spans="1:15" x14ac:dyDescent="0.3">
      <c r="A157" t="s">
        <v>198</v>
      </c>
      <c r="B157">
        <v>20260202</v>
      </c>
      <c r="C157" t="s">
        <v>44</v>
      </c>
      <c r="D157" t="s">
        <v>68</v>
      </c>
      <c r="E157" t="s">
        <v>41</v>
      </c>
      <c r="F157">
        <v>274700</v>
      </c>
      <c r="G157">
        <v>415865</v>
      </c>
      <c r="H157">
        <v>26525</v>
      </c>
      <c r="I157">
        <v>2425</v>
      </c>
      <c r="J157">
        <v>3754</v>
      </c>
      <c r="K157">
        <v>2031</v>
      </c>
      <c r="L157">
        <v>228011</v>
      </c>
      <c r="M157">
        <v>3129</v>
      </c>
      <c r="N157" s="1">
        <v>0.41666666666666669</v>
      </c>
      <c r="O157" t="s">
        <v>34</v>
      </c>
    </row>
    <row r="158" spans="1:15" x14ac:dyDescent="0.3">
      <c r="A158" t="s">
        <v>199</v>
      </c>
      <c r="B158">
        <v>20251122</v>
      </c>
      <c r="C158" t="s">
        <v>40</v>
      </c>
      <c r="D158" t="s">
        <v>36</v>
      </c>
      <c r="E158" t="s">
        <v>41</v>
      </c>
      <c r="F158">
        <v>94986</v>
      </c>
      <c r="G158">
        <v>128969</v>
      </c>
      <c r="H158">
        <v>6127</v>
      </c>
      <c r="I158">
        <v>371</v>
      </c>
      <c r="J158">
        <v>484</v>
      </c>
      <c r="K158">
        <v>175</v>
      </c>
      <c r="L158">
        <v>36045</v>
      </c>
      <c r="M158">
        <v>380</v>
      </c>
      <c r="N158" s="1">
        <v>0.44791666666666669</v>
      </c>
      <c r="O158" t="s">
        <v>27</v>
      </c>
    </row>
    <row r="159" spans="1:15" x14ac:dyDescent="0.3">
      <c r="A159" t="s">
        <v>200</v>
      </c>
      <c r="B159">
        <v>20251004</v>
      </c>
      <c r="C159" t="s">
        <v>40</v>
      </c>
      <c r="D159" t="s">
        <v>21</v>
      </c>
      <c r="E159" t="s">
        <v>41</v>
      </c>
      <c r="F159">
        <v>28832</v>
      </c>
      <c r="G159">
        <v>36470</v>
      </c>
      <c r="H159">
        <v>2240</v>
      </c>
      <c r="I159">
        <v>228</v>
      </c>
      <c r="J159">
        <v>268</v>
      </c>
      <c r="K159">
        <v>95</v>
      </c>
      <c r="L159">
        <v>13554</v>
      </c>
      <c r="M159">
        <v>315</v>
      </c>
      <c r="N159" s="1">
        <v>0.46875</v>
      </c>
      <c r="O159" t="s">
        <v>19</v>
      </c>
    </row>
    <row r="160" spans="1:15" x14ac:dyDescent="0.3">
      <c r="A160" t="s">
        <v>201</v>
      </c>
      <c r="B160">
        <v>20260204</v>
      </c>
      <c r="C160" t="s">
        <v>16</v>
      </c>
      <c r="D160" t="s">
        <v>61</v>
      </c>
      <c r="E160" t="s">
        <v>26</v>
      </c>
      <c r="F160">
        <v>15595</v>
      </c>
      <c r="G160">
        <v>25307</v>
      </c>
      <c r="H160">
        <v>1756</v>
      </c>
      <c r="I160">
        <v>132</v>
      </c>
      <c r="J160">
        <v>152</v>
      </c>
      <c r="K160">
        <v>74</v>
      </c>
      <c r="L160">
        <v>9578</v>
      </c>
      <c r="M160">
        <v>60</v>
      </c>
      <c r="N160" s="1">
        <v>0.35416666666666669</v>
      </c>
      <c r="O160" t="s">
        <v>47</v>
      </c>
    </row>
    <row r="161" spans="1:15" x14ac:dyDescent="0.3">
      <c r="A161" t="s">
        <v>202</v>
      </c>
      <c r="B161">
        <v>20250427</v>
      </c>
      <c r="C161" t="s">
        <v>16</v>
      </c>
      <c r="D161" t="s">
        <v>61</v>
      </c>
      <c r="E161" t="s">
        <v>18</v>
      </c>
      <c r="F161">
        <v>11844</v>
      </c>
      <c r="G161">
        <v>19383</v>
      </c>
      <c r="H161">
        <v>571</v>
      </c>
      <c r="I161">
        <v>31</v>
      </c>
      <c r="J161">
        <v>35</v>
      </c>
      <c r="K161">
        <v>61</v>
      </c>
      <c r="L161">
        <v>0</v>
      </c>
      <c r="M161">
        <v>154</v>
      </c>
      <c r="N161" s="1">
        <v>0.51041666666666663</v>
      </c>
      <c r="O161" t="s">
        <v>34</v>
      </c>
    </row>
    <row r="162" spans="1:15" x14ac:dyDescent="0.3">
      <c r="A162" t="s">
        <v>203</v>
      </c>
      <c r="B162">
        <v>20251222</v>
      </c>
      <c r="C162" t="s">
        <v>25</v>
      </c>
      <c r="D162" t="s">
        <v>33</v>
      </c>
      <c r="E162" t="s">
        <v>18</v>
      </c>
      <c r="F162">
        <v>13758</v>
      </c>
      <c r="G162">
        <v>16454</v>
      </c>
      <c r="H162">
        <v>1243</v>
      </c>
      <c r="I162">
        <v>130</v>
      </c>
      <c r="J162">
        <v>96</v>
      </c>
      <c r="K162">
        <v>85</v>
      </c>
      <c r="L162">
        <v>0</v>
      </c>
      <c r="M162">
        <v>242</v>
      </c>
      <c r="N162" s="1">
        <v>0.73958333333333337</v>
      </c>
      <c r="O162" t="s">
        <v>19</v>
      </c>
    </row>
    <row r="163" spans="1:15" x14ac:dyDescent="0.3">
      <c r="A163" t="s">
        <v>204</v>
      </c>
      <c r="B163">
        <v>20251222</v>
      </c>
      <c r="C163" t="s">
        <v>16</v>
      </c>
      <c r="D163" t="s">
        <v>33</v>
      </c>
      <c r="E163" t="s">
        <v>46</v>
      </c>
      <c r="F163">
        <v>33651</v>
      </c>
      <c r="G163">
        <v>43494</v>
      </c>
      <c r="H163">
        <v>1579</v>
      </c>
      <c r="I163">
        <v>74</v>
      </c>
      <c r="J163">
        <v>283</v>
      </c>
      <c r="K163">
        <v>242</v>
      </c>
      <c r="L163">
        <v>23240</v>
      </c>
      <c r="M163">
        <v>77</v>
      </c>
      <c r="N163" s="1">
        <v>0.84375</v>
      </c>
      <c r="O163" t="s">
        <v>34</v>
      </c>
    </row>
    <row r="164" spans="1:15" x14ac:dyDescent="0.3">
      <c r="A164" t="s">
        <v>205</v>
      </c>
      <c r="B164">
        <v>20250507</v>
      </c>
      <c r="C164" t="s">
        <v>40</v>
      </c>
      <c r="D164" t="s">
        <v>33</v>
      </c>
      <c r="E164" t="s">
        <v>18</v>
      </c>
      <c r="F164">
        <v>14129</v>
      </c>
      <c r="G164">
        <v>22983</v>
      </c>
      <c r="H164">
        <v>1108</v>
      </c>
      <c r="I164">
        <v>75</v>
      </c>
      <c r="J164">
        <v>96</v>
      </c>
      <c r="K164">
        <v>159</v>
      </c>
      <c r="L164">
        <v>0</v>
      </c>
      <c r="M164">
        <v>105</v>
      </c>
      <c r="N164" s="1">
        <v>0.36458333333333331</v>
      </c>
      <c r="O164" t="s">
        <v>38</v>
      </c>
    </row>
    <row r="165" spans="1:15" x14ac:dyDescent="0.3">
      <c r="A165" t="s">
        <v>206</v>
      </c>
      <c r="B165">
        <v>20250122</v>
      </c>
      <c r="C165" t="s">
        <v>40</v>
      </c>
      <c r="D165" t="s">
        <v>36</v>
      </c>
      <c r="E165" t="s">
        <v>51</v>
      </c>
      <c r="F165">
        <v>22058</v>
      </c>
      <c r="G165">
        <v>31708</v>
      </c>
      <c r="H165">
        <v>1360</v>
      </c>
      <c r="I165">
        <v>92</v>
      </c>
      <c r="J165">
        <v>153</v>
      </c>
      <c r="K165">
        <v>65</v>
      </c>
      <c r="L165">
        <v>0</v>
      </c>
      <c r="M165">
        <v>374</v>
      </c>
      <c r="N165" s="1">
        <v>0.67708333333333337</v>
      </c>
      <c r="O165" t="s">
        <v>34</v>
      </c>
    </row>
    <row r="166" spans="1:15" x14ac:dyDescent="0.3">
      <c r="A166" t="s">
        <v>207</v>
      </c>
      <c r="B166">
        <v>20260630</v>
      </c>
      <c r="C166" t="s">
        <v>25</v>
      </c>
      <c r="D166" t="s">
        <v>61</v>
      </c>
      <c r="E166" t="s">
        <v>41</v>
      </c>
      <c r="F166">
        <v>21240</v>
      </c>
      <c r="G166">
        <v>27935</v>
      </c>
      <c r="H166">
        <v>1262</v>
      </c>
      <c r="I166">
        <v>85</v>
      </c>
      <c r="J166">
        <v>99</v>
      </c>
      <c r="K166">
        <v>194</v>
      </c>
      <c r="L166">
        <v>8203</v>
      </c>
      <c r="M166">
        <v>226</v>
      </c>
      <c r="N166" s="1">
        <v>0.91666666666666663</v>
      </c>
      <c r="O166" t="s">
        <v>23</v>
      </c>
    </row>
    <row r="167" spans="1:15" x14ac:dyDescent="0.3">
      <c r="A167" t="s">
        <v>208</v>
      </c>
      <c r="B167">
        <v>20260827</v>
      </c>
      <c r="C167" t="s">
        <v>16</v>
      </c>
      <c r="D167" t="s">
        <v>36</v>
      </c>
      <c r="E167" t="s">
        <v>41</v>
      </c>
      <c r="F167">
        <v>17601</v>
      </c>
      <c r="G167">
        <v>28433</v>
      </c>
      <c r="H167">
        <v>542</v>
      </c>
      <c r="I167">
        <v>34</v>
      </c>
      <c r="J167">
        <v>80</v>
      </c>
      <c r="K167">
        <v>68</v>
      </c>
      <c r="L167">
        <v>11238</v>
      </c>
      <c r="M167">
        <v>23</v>
      </c>
      <c r="N167" s="1">
        <v>0.70833333333333337</v>
      </c>
      <c r="O167" t="s">
        <v>38</v>
      </c>
    </row>
    <row r="168" spans="1:15" x14ac:dyDescent="0.3">
      <c r="A168" t="s">
        <v>209</v>
      </c>
      <c r="B168">
        <v>20250417</v>
      </c>
      <c r="C168" t="s">
        <v>16</v>
      </c>
      <c r="D168" t="s">
        <v>33</v>
      </c>
      <c r="E168" t="s">
        <v>18</v>
      </c>
      <c r="F168">
        <v>23919</v>
      </c>
      <c r="G168">
        <v>35010</v>
      </c>
      <c r="H168">
        <v>2655</v>
      </c>
      <c r="I168">
        <v>131</v>
      </c>
      <c r="J168">
        <v>115</v>
      </c>
      <c r="K168">
        <v>147</v>
      </c>
      <c r="L168">
        <v>0</v>
      </c>
      <c r="M168">
        <v>158</v>
      </c>
      <c r="N168" s="1">
        <v>0.75</v>
      </c>
      <c r="O168" t="s">
        <v>47</v>
      </c>
    </row>
    <row r="169" spans="1:15" x14ac:dyDescent="0.3">
      <c r="A169" t="s">
        <v>210</v>
      </c>
      <c r="B169">
        <v>20250403</v>
      </c>
      <c r="C169" t="s">
        <v>40</v>
      </c>
      <c r="D169" t="s">
        <v>17</v>
      </c>
      <c r="E169" t="s">
        <v>41</v>
      </c>
      <c r="F169">
        <v>7806</v>
      </c>
      <c r="G169">
        <v>8777</v>
      </c>
      <c r="H169">
        <v>586</v>
      </c>
      <c r="I169">
        <v>42</v>
      </c>
      <c r="J169">
        <v>80</v>
      </c>
      <c r="K169">
        <v>20</v>
      </c>
      <c r="L169">
        <v>4452</v>
      </c>
      <c r="M169">
        <v>130</v>
      </c>
      <c r="N169" s="1">
        <v>0.88541666666666663</v>
      </c>
      <c r="O169" t="s">
        <v>42</v>
      </c>
    </row>
    <row r="170" spans="1:15" x14ac:dyDescent="0.3">
      <c r="A170" t="s">
        <v>211</v>
      </c>
      <c r="B170">
        <v>20260812</v>
      </c>
      <c r="C170" t="s">
        <v>16</v>
      </c>
      <c r="D170" t="s">
        <v>36</v>
      </c>
      <c r="E170" t="s">
        <v>51</v>
      </c>
      <c r="F170">
        <v>22918</v>
      </c>
      <c r="G170">
        <v>28221</v>
      </c>
      <c r="H170">
        <v>2237</v>
      </c>
      <c r="I170">
        <v>272</v>
      </c>
      <c r="J170">
        <v>139</v>
      </c>
      <c r="K170">
        <v>122</v>
      </c>
      <c r="L170">
        <v>0</v>
      </c>
      <c r="M170">
        <v>248</v>
      </c>
      <c r="N170" s="1">
        <v>0.3125</v>
      </c>
      <c r="O170" t="s">
        <v>53</v>
      </c>
    </row>
    <row r="171" spans="1:15" x14ac:dyDescent="0.3">
      <c r="A171" t="s">
        <v>212</v>
      </c>
      <c r="B171">
        <v>20250721</v>
      </c>
      <c r="C171" t="s">
        <v>32</v>
      </c>
      <c r="D171" t="s">
        <v>61</v>
      </c>
      <c r="E171" t="s">
        <v>22</v>
      </c>
      <c r="F171">
        <v>5811</v>
      </c>
      <c r="G171">
        <v>6796</v>
      </c>
      <c r="H171">
        <v>484</v>
      </c>
      <c r="I171">
        <v>21</v>
      </c>
      <c r="J171">
        <v>75</v>
      </c>
      <c r="K171">
        <v>10</v>
      </c>
      <c r="L171">
        <v>0</v>
      </c>
      <c r="M171">
        <v>55</v>
      </c>
      <c r="N171" s="1">
        <v>0.79166666666666663</v>
      </c>
      <c r="O171" t="s">
        <v>53</v>
      </c>
    </row>
    <row r="172" spans="1:15" x14ac:dyDescent="0.3">
      <c r="A172" t="s">
        <v>213</v>
      </c>
      <c r="B172">
        <v>20260907</v>
      </c>
      <c r="C172" t="s">
        <v>40</v>
      </c>
      <c r="D172" t="s">
        <v>17</v>
      </c>
      <c r="E172" t="s">
        <v>46</v>
      </c>
      <c r="F172">
        <v>22004</v>
      </c>
      <c r="G172">
        <v>25739</v>
      </c>
      <c r="H172">
        <v>657</v>
      </c>
      <c r="I172">
        <v>79</v>
      </c>
      <c r="J172">
        <v>109</v>
      </c>
      <c r="K172">
        <v>30</v>
      </c>
      <c r="L172">
        <v>11003</v>
      </c>
      <c r="M172">
        <v>322</v>
      </c>
      <c r="N172" s="1">
        <v>0.70833333333333337</v>
      </c>
      <c r="O172" t="s">
        <v>23</v>
      </c>
    </row>
    <row r="173" spans="1:15" x14ac:dyDescent="0.3">
      <c r="A173" t="s">
        <v>214</v>
      </c>
      <c r="B173">
        <v>20260921</v>
      </c>
      <c r="C173" t="s">
        <v>32</v>
      </c>
      <c r="D173" t="s">
        <v>21</v>
      </c>
      <c r="E173" t="s">
        <v>26</v>
      </c>
      <c r="F173">
        <v>13169</v>
      </c>
      <c r="G173">
        <v>15326</v>
      </c>
      <c r="H173">
        <v>1481</v>
      </c>
      <c r="I173">
        <v>59</v>
      </c>
      <c r="J173">
        <v>238</v>
      </c>
      <c r="K173">
        <v>221</v>
      </c>
      <c r="L173">
        <v>4665</v>
      </c>
      <c r="M173">
        <v>43</v>
      </c>
      <c r="N173" s="1">
        <v>0.66666666666666663</v>
      </c>
      <c r="O173" t="s">
        <v>42</v>
      </c>
    </row>
    <row r="174" spans="1:15" x14ac:dyDescent="0.3">
      <c r="A174" t="s">
        <v>215</v>
      </c>
      <c r="B174">
        <v>20250808</v>
      </c>
      <c r="C174" t="s">
        <v>32</v>
      </c>
      <c r="D174" t="s">
        <v>61</v>
      </c>
      <c r="E174" t="s">
        <v>18</v>
      </c>
      <c r="F174">
        <v>14402</v>
      </c>
      <c r="G174">
        <v>16258</v>
      </c>
      <c r="H174">
        <v>1699</v>
      </c>
      <c r="I174">
        <v>134</v>
      </c>
      <c r="J174">
        <v>117</v>
      </c>
      <c r="K174">
        <v>168</v>
      </c>
      <c r="L174">
        <v>0</v>
      </c>
      <c r="M174">
        <v>107</v>
      </c>
      <c r="N174" s="1">
        <v>0.44791666666666669</v>
      </c>
      <c r="O174" t="s">
        <v>38</v>
      </c>
    </row>
    <row r="175" spans="1:15" x14ac:dyDescent="0.3">
      <c r="A175" t="s">
        <v>216</v>
      </c>
      <c r="B175">
        <v>20250711</v>
      </c>
      <c r="C175" t="s">
        <v>25</v>
      </c>
      <c r="D175" t="s">
        <v>29</v>
      </c>
      <c r="E175" t="s">
        <v>51</v>
      </c>
      <c r="F175">
        <v>12592</v>
      </c>
      <c r="G175">
        <v>19737</v>
      </c>
      <c r="H175">
        <v>1098</v>
      </c>
      <c r="I175">
        <v>64</v>
      </c>
      <c r="J175">
        <v>70</v>
      </c>
      <c r="K175">
        <v>26</v>
      </c>
      <c r="L175">
        <v>0</v>
      </c>
      <c r="M175">
        <v>224</v>
      </c>
      <c r="N175" s="1">
        <v>0.29166666666666669</v>
      </c>
      <c r="O175" t="s">
        <v>49</v>
      </c>
    </row>
    <row r="176" spans="1:15" x14ac:dyDescent="0.3">
      <c r="A176" t="s">
        <v>217</v>
      </c>
      <c r="B176">
        <v>20250608</v>
      </c>
      <c r="C176" t="s">
        <v>25</v>
      </c>
      <c r="D176" t="s">
        <v>17</v>
      </c>
      <c r="E176" t="s">
        <v>41</v>
      </c>
      <c r="F176">
        <v>14554</v>
      </c>
      <c r="G176">
        <v>22928</v>
      </c>
      <c r="H176">
        <v>1223</v>
      </c>
      <c r="I176">
        <v>155</v>
      </c>
      <c r="J176">
        <v>206</v>
      </c>
      <c r="K176">
        <v>150</v>
      </c>
      <c r="L176">
        <v>12588</v>
      </c>
      <c r="M176">
        <v>110</v>
      </c>
      <c r="N176" s="1">
        <v>0.35416666666666669</v>
      </c>
      <c r="O176" t="s">
        <v>53</v>
      </c>
    </row>
    <row r="177" spans="1:15" x14ac:dyDescent="0.3">
      <c r="A177" t="s">
        <v>218</v>
      </c>
      <c r="B177">
        <v>20250428</v>
      </c>
      <c r="C177" t="s">
        <v>32</v>
      </c>
      <c r="D177" t="s">
        <v>61</v>
      </c>
      <c r="E177" t="s">
        <v>51</v>
      </c>
      <c r="F177">
        <v>22309</v>
      </c>
      <c r="G177">
        <v>27518</v>
      </c>
      <c r="H177">
        <v>1654</v>
      </c>
      <c r="I177">
        <v>229</v>
      </c>
      <c r="J177">
        <v>213</v>
      </c>
      <c r="K177">
        <v>133</v>
      </c>
      <c r="L177">
        <v>0</v>
      </c>
      <c r="M177">
        <v>173</v>
      </c>
      <c r="N177" s="1">
        <v>0.57291666666666663</v>
      </c>
      <c r="O177" t="s">
        <v>47</v>
      </c>
    </row>
    <row r="178" spans="1:15" x14ac:dyDescent="0.3">
      <c r="A178" t="s">
        <v>219</v>
      </c>
      <c r="B178">
        <v>20250118</v>
      </c>
      <c r="C178" t="s">
        <v>25</v>
      </c>
      <c r="D178" t="s">
        <v>33</v>
      </c>
      <c r="E178" t="s">
        <v>46</v>
      </c>
      <c r="F178">
        <v>19564</v>
      </c>
      <c r="G178">
        <v>31487</v>
      </c>
      <c r="H178">
        <v>816</v>
      </c>
      <c r="I178">
        <v>31</v>
      </c>
      <c r="J178">
        <v>35</v>
      </c>
      <c r="K178">
        <v>20</v>
      </c>
      <c r="L178">
        <v>12720</v>
      </c>
      <c r="M178">
        <v>311</v>
      </c>
      <c r="N178" s="1">
        <v>0.58333333333333337</v>
      </c>
      <c r="O178" t="s">
        <v>27</v>
      </c>
    </row>
    <row r="179" spans="1:15" x14ac:dyDescent="0.3">
      <c r="A179" t="s">
        <v>220</v>
      </c>
      <c r="B179">
        <v>20260712</v>
      </c>
      <c r="C179" t="s">
        <v>32</v>
      </c>
      <c r="D179" t="s">
        <v>68</v>
      </c>
      <c r="E179" t="s">
        <v>26</v>
      </c>
      <c r="F179">
        <v>16026</v>
      </c>
      <c r="G179">
        <v>21697</v>
      </c>
      <c r="H179">
        <v>1798</v>
      </c>
      <c r="I179">
        <v>51</v>
      </c>
      <c r="J179">
        <v>109</v>
      </c>
      <c r="K179">
        <v>173</v>
      </c>
      <c r="L179">
        <v>11334</v>
      </c>
      <c r="M179">
        <v>29</v>
      </c>
      <c r="N179" s="1">
        <v>0.38541666666666669</v>
      </c>
      <c r="O179" t="s">
        <v>30</v>
      </c>
    </row>
    <row r="180" spans="1:15" x14ac:dyDescent="0.3">
      <c r="A180" t="s">
        <v>221</v>
      </c>
      <c r="B180">
        <v>20250328</v>
      </c>
      <c r="C180" t="s">
        <v>32</v>
      </c>
      <c r="D180" t="s">
        <v>17</v>
      </c>
      <c r="E180" t="s">
        <v>51</v>
      </c>
      <c r="F180">
        <v>6521</v>
      </c>
      <c r="G180">
        <v>8539</v>
      </c>
      <c r="H180">
        <v>490</v>
      </c>
      <c r="I180">
        <v>48</v>
      </c>
      <c r="J180">
        <v>61</v>
      </c>
      <c r="K180">
        <v>25</v>
      </c>
      <c r="L180">
        <v>0</v>
      </c>
      <c r="M180">
        <v>43</v>
      </c>
      <c r="N180" s="1">
        <v>0.42708333333333331</v>
      </c>
      <c r="O180" t="s">
        <v>53</v>
      </c>
    </row>
    <row r="181" spans="1:15" x14ac:dyDescent="0.3">
      <c r="A181" t="s">
        <v>222</v>
      </c>
      <c r="B181">
        <v>20250410</v>
      </c>
      <c r="C181" t="s">
        <v>32</v>
      </c>
      <c r="D181" t="s">
        <v>17</v>
      </c>
      <c r="E181" t="s">
        <v>46</v>
      </c>
      <c r="F181">
        <v>8930</v>
      </c>
      <c r="G181">
        <v>9605</v>
      </c>
      <c r="H181">
        <v>327</v>
      </c>
      <c r="I181">
        <v>20</v>
      </c>
      <c r="J181">
        <v>58</v>
      </c>
      <c r="K181">
        <v>12</v>
      </c>
      <c r="L181">
        <v>7363</v>
      </c>
      <c r="M181">
        <v>85</v>
      </c>
      <c r="N181" s="1">
        <v>0.875</v>
      </c>
      <c r="O181" t="s">
        <v>30</v>
      </c>
    </row>
    <row r="182" spans="1:15" x14ac:dyDescent="0.3">
      <c r="A182" t="s">
        <v>223</v>
      </c>
      <c r="B182">
        <v>20260902</v>
      </c>
      <c r="C182" t="s">
        <v>25</v>
      </c>
      <c r="D182" t="s">
        <v>21</v>
      </c>
      <c r="E182" t="s">
        <v>41</v>
      </c>
      <c r="F182">
        <v>11869</v>
      </c>
      <c r="G182">
        <v>19094</v>
      </c>
      <c r="H182">
        <v>1404</v>
      </c>
      <c r="I182">
        <v>83</v>
      </c>
      <c r="J182">
        <v>226</v>
      </c>
      <c r="K182">
        <v>136</v>
      </c>
      <c r="L182">
        <v>10000</v>
      </c>
      <c r="M182">
        <v>146</v>
      </c>
      <c r="N182" s="1">
        <v>0.94791666666666663</v>
      </c>
      <c r="O182" t="s">
        <v>30</v>
      </c>
    </row>
    <row r="183" spans="1:15" x14ac:dyDescent="0.3">
      <c r="A183" t="s">
        <v>224</v>
      </c>
      <c r="B183">
        <v>20260331</v>
      </c>
      <c r="C183" t="s">
        <v>44</v>
      </c>
      <c r="D183" t="s">
        <v>36</v>
      </c>
      <c r="E183" t="s">
        <v>18</v>
      </c>
      <c r="F183">
        <v>25698</v>
      </c>
      <c r="G183">
        <v>41738</v>
      </c>
      <c r="H183">
        <v>1639</v>
      </c>
      <c r="I183">
        <v>107</v>
      </c>
      <c r="J183">
        <v>192</v>
      </c>
      <c r="K183">
        <v>82</v>
      </c>
      <c r="L183">
        <v>0</v>
      </c>
      <c r="M183">
        <v>295</v>
      </c>
      <c r="N183" s="1">
        <v>0.63541666666666663</v>
      </c>
      <c r="O183" t="s">
        <v>47</v>
      </c>
    </row>
    <row r="184" spans="1:15" x14ac:dyDescent="0.3">
      <c r="A184" t="s">
        <v>225</v>
      </c>
      <c r="B184">
        <v>20250601</v>
      </c>
      <c r="C184" t="s">
        <v>25</v>
      </c>
      <c r="D184" t="s">
        <v>36</v>
      </c>
      <c r="E184" t="s">
        <v>18</v>
      </c>
      <c r="F184">
        <v>22379</v>
      </c>
      <c r="G184">
        <v>29308</v>
      </c>
      <c r="H184">
        <v>2101</v>
      </c>
      <c r="I184">
        <v>73</v>
      </c>
      <c r="J184">
        <v>199</v>
      </c>
      <c r="K184">
        <v>101</v>
      </c>
      <c r="L184">
        <v>0</v>
      </c>
      <c r="M184">
        <v>46</v>
      </c>
      <c r="N184" s="1">
        <v>0.3125</v>
      </c>
      <c r="O184" t="s">
        <v>30</v>
      </c>
    </row>
    <row r="185" spans="1:15" x14ac:dyDescent="0.3">
      <c r="A185" t="s">
        <v>226</v>
      </c>
      <c r="B185">
        <v>20260929</v>
      </c>
      <c r="C185" t="s">
        <v>32</v>
      </c>
      <c r="D185" t="s">
        <v>21</v>
      </c>
      <c r="E185" t="s">
        <v>41</v>
      </c>
      <c r="F185">
        <v>8159</v>
      </c>
      <c r="G185">
        <v>9089</v>
      </c>
      <c r="H185">
        <v>744</v>
      </c>
      <c r="I185">
        <v>96</v>
      </c>
      <c r="J185">
        <v>92</v>
      </c>
      <c r="K185">
        <v>70</v>
      </c>
      <c r="L185">
        <v>4629</v>
      </c>
      <c r="M185">
        <v>13</v>
      </c>
      <c r="N185" s="1">
        <v>0.66666666666666663</v>
      </c>
      <c r="O185" t="s">
        <v>23</v>
      </c>
    </row>
    <row r="186" spans="1:15" x14ac:dyDescent="0.3">
      <c r="A186" t="s">
        <v>227</v>
      </c>
      <c r="B186">
        <v>20260209</v>
      </c>
      <c r="C186" t="s">
        <v>44</v>
      </c>
      <c r="D186" t="s">
        <v>68</v>
      </c>
      <c r="E186" t="s">
        <v>41</v>
      </c>
      <c r="F186">
        <v>27926</v>
      </c>
      <c r="G186">
        <v>42208</v>
      </c>
      <c r="H186">
        <v>3082</v>
      </c>
      <c r="I186">
        <v>416</v>
      </c>
      <c r="J186">
        <v>207</v>
      </c>
      <c r="K186">
        <v>456</v>
      </c>
      <c r="L186">
        <v>21104</v>
      </c>
      <c r="M186">
        <v>453</v>
      </c>
      <c r="N186" s="1">
        <v>0.34375</v>
      </c>
      <c r="O186" t="s">
        <v>47</v>
      </c>
    </row>
    <row r="187" spans="1:15" x14ac:dyDescent="0.3">
      <c r="A187" t="s">
        <v>228</v>
      </c>
      <c r="B187">
        <v>20250322</v>
      </c>
      <c r="C187" t="s">
        <v>40</v>
      </c>
      <c r="D187" t="s">
        <v>61</v>
      </c>
      <c r="E187" t="s">
        <v>18</v>
      </c>
      <c r="F187">
        <v>10648</v>
      </c>
      <c r="G187">
        <v>14631</v>
      </c>
      <c r="H187">
        <v>273</v>
      </c>
      <c r="I187">
        <v>37</v>
      </c>
      <c r="J187">
        <v>23</v>
      </c>
      <c r="K187">
        <v>32</v>
      </c>
      <c r="L187">
        <v>0</v>
      </c>
      <c r="M187">
        <v>66</v>
      </c>
      <c r="N187" s="1">
        <v>0.33333333333333331</v>
      </c>
      <c r="O187" t="s">
        <v>49</v>
      </c>
    </row>
    <row r="188" spans="1:15" x14ac:dyDescent="0.3">
      <c r="A188" t="s">
        <v>229</v>
      </c>
      <c r="B188">
        <v>20250325</v>
      </c>
      <c r="C188" t="s">
        <v>40</v>
      </c>
      <c r="D188" t="s">
        <v>29</v>
      </c>
      <c r="E188" t="s">
        <v>18</v>
      </c>
      <c r="F188">
        <v>25369</v>
      </c>
      <c r="G188">
        <v>37834</v>
      </c>
      <c r="H188">
        <v>2173</v>
      </c>
      <c r="I188">
        <v>179</v>
      </c>
      <c r="J188">
        <v>180</v>
      </c>
      <c r="K188">
        <v>268</v>
      </c>
      <c r="L188">
        <v>0</v>
      </c>
      <c r="M188">
        <v>58</v>
      </c>
      <c r="N188" s="1">
        <v>0.84375</v>
      </c>
      <c r="O188" t="s">
        <v>38</v>
      </c>
    </row>
    <row r="189" spans="1:15" x14ac:dyDescent="0.3">
      <c r="A189" t="s">
        <v>230</v>
      </c>
      <c r="B189">
        <v>20250512</v>
      </c>
      <c r="C189" t="s">
        <v>40</v>
      </c>
      <c r="D189" t="s">
        <v>33</v>
      </c>
      <c r="E189" t="s">
        <v>46</v>
      </c>
      <c r="F189">
        <v>31580</v>
      </c>
      <c r="G189">
        <v>34207</v>
      </c>
      <c r="H189">
        <v>883</v>
      </c>
      <c r="I189">
        <v>92</v>
      </c>
      <c r="J189">
        <v>78</v>
      </c>
      <c r="K189">
        <v>58</v>
      </c>
      <c r="L189">
        <v>20927</v>
      </c>
      <c r="M189">
        <v>320</v>
      </c>
      <c r="N189" s="1">
        <v>0.80208333333333337</v>
      </c>
      <c r="O189" t="s">
        <v>42</v>
      </c>
    </row>
    <row r="190" spans="1:15" x14ac:dyDescent="0.3">
      <c r="A190" t="s">
        <v>231</v>
      </c>
      <c r="B190">
        <v>20251113</v>
      </c>
      <c r="C190" t="s">
        <v>40</v>
      </c>
      <c r="D190" t="s">
        <v>17</v>
      </c>
      <c r="E190" t="s">
        <v>18</v>
      </c>
      <c r="F190">
        <v>20771</v>
      </c>
      <c r="G190">
        <v>27474</v>
      </c>
      <c r="H190">
        <v>2325</v>
      </c>
      <c r="I190">
        <v>254</v>
      </c>
      <c r="J190">
        <v>94</v>
      </c>
      <c r="K190">
        <v>311</v>
      </c>
      <c r="L190">
        <v>0</v>
      </c>
      <c r="M190">
        <v>199</v>
      </c>
      <c r="N190" s="1">
        <v>0.73958333333333337</v>
      </c>
      <c r="O190" t="s">
        <v>49</v>
      </c>
    </row>
    <row r="191" spans="1:15" x14ac:dyDescent="0.3">
      <c r="A191" t="s">
        <v>232</v>
      </c>
      <c r="B191">
        <v>20251114</v>
      </c>
      <c r="C191" t="s">
        <v>40</v>
      </c>
      <c r="D191" t="s">
        <v>61</v>
      </c>
      <c r="E191" t="s">
        <v>41</v>
      </c>
      <c r="F191">
        <v>23035</v>
      </c>
      <c r="G191">
        <v>28165</v>
      </c>
      <c r="H191">
        <v>1350</v>
      </c>
      <c r="I191">
        <v>76</v>
      </c>
      <c r="J191">
        <v>234</v>
      </c>
      <c r="K191">
        <v>141</v>
      </c>
      <c r="L191">
        <v>9932</v>
      </c>
      <c r="M191">
        <v>99</v>
      </c>
      <c r="N191" s="1">
        <v>0.375</v>
      </c>
      <c r="O191" t="s">
        <v>27</v>
      </c>
    </row>
    <row r="192" spans="1:15" x14ac:dyDescent="0.3">
      <c r="A192" t="s">
        <v>233</v>
      </c>
      <c r="B192">
        <v>20251029</v>
      </c>
      <c r="C192" t="s">
        <v>44</v>
      </c>
      <c r="D192" t="s">
        <v>61</v>
      </c>
      <c r="E192" t="s">
        <v>26</v>
      </c>
      <c r="F192">
        <v>32396</v>
      </c>
      <c r="G192">
        <v>40069</v>
      </c>
      <c r="H192">
        <v>1515</v>
      </c>
      <c r="I192">
        <v>95</v>
      </c>
      <c r="J192">
        <v>232</v>
      </c>
      <c r="K192">
        <v>152</v>
      </c>
      <c r="L192">
        <v>28743</v>
      </c>
      <c r="M192">
        <v>100</v>
      </c>
      <c r="N192" s="1">
        <v>0.57291666666666663</v>
      </c>
      <c r="O192" t="s">
        <v>42</v>
      </c>
    </row>
    <row r="193" spans="1:15" x14ac:dyDescent="0.3">
      <c r="A193" t="s">
        <v>234</v>
      </c>
      <c r="B193">
        <v>20251030</v>
      </c>
      <c r="C193" t="s">
        <v>32</v>
      </c>
      <c r="D193" t="s">
        <v>68</v>
      </c>
      <c r="E193" t="s">
        <v>26</v>
      </c>
      <c r="F193">
        <v>7131</v>
      </c>
      <c r="G193">
        <v>11764</v>
      </c>
      <c r="H193">
        <v>229</v>
      </c>
      <c r="I193">
        <v>13</v>
      </c>
      <c r="J193">
        <v>21</v>
      </c>
      <c r="K193">
        <v>33</v>
      </c>
      <c r="L193">
        <v>4311</v>
      </c>
      <c r="M193">
        <v>51</v>
      </c>
      <c r="N193" s="1">
        <v>0.4375</v>
      </c>
      <c r="O193" t="s">
        <v>38</v>
      </c>
    </row>
    <row r="194" spans="1:15" x14ac:dyDescent="0.3">
      <c r="A194" t="s">
        <v>235</v>
      </c>
      <c r="B194">
        <v>20250914</v>
      </c>
      <c r="C194" t="s">
        <v>40</v>
      </c>
      <c r="D194" t="s">
        <v>68</v>
      </c>
      <c r="E194" t="s">
        <v>46</v>
      </c>
      <c r="F194">
        <v>10853</v>
      </c>
      <c r="G194">
        <v>17568</v>
      </c>
      <c r="H194">
        <v>965</v>
      </c>
      <c r="I194">
        <v>68</v>
      </c>
      <c r="J194">
        <v>137</v>
      </c>
      <c r="K194">
        <v>114</v>
      </c>
      <c r="L194">
        <v>8625</v>
      </c>
      <c r="M194">
        <v>101</v>
      </c>
      <c r="N194" s="1">
        <v>0.52083333333333337</v>
      </c>
      <c r="O194" t="s">
        <v>27</v>
      </c>
    </row>
    <row r="195" spans="1:15" x14ac:dyDescent="0.3">
      <c r="A195" t="s">
        <v>236</v>
      </c>
      <c r="B195">
        <v>20260912</v>
      </c>
      <c r="C195" t="s">
        <v>16</v>
      </c>
      <c r="D195" t="s">
        <v>21</v>
      </c>
      <c r="E195" t="s">
        <v>46</v>
      </c>
      <c r="F195">
        <v>24952</v>
      </c>
      <c r="G195">
        <v>34808</v>
      </c>
      <c r="H195">
        <v>2114</v>
      </c>
      <c r="I195">
        <v>198</v>
      </c>
      <c r="K195">
        <v>336</v>
      </c>
      <c r="M195">
        <v>113</v>
      </c>
      <c r="N195" s="1">
        <v>0.86458333333333337</v>
      </c>
      <c r="O195" t="s">
        <v>34</v>
      </c>
    </row>
    <row r="196" spans="1:15" x14ac:dyDescent="0.3">
      <c r="A196" t="s">
        <v>237</v>
      </c>
      <c r="B196">
        <v>20260608</v>
      </c>
      <c r="C196" t="s">
        <v>40</v>
      </c>
      <c r="D196" t="s">
        <v>29</v>
      </c>
      <c r="E196" t="s">
        <v>26</v>
      </c>
      <c r="F196">
        <v>10772</v>
      </c>
      <c r="G196">
        <v>14530</v>
      </c>
      <c r="H196">
        <v>1172</v>
      </c>
      <c r="I196">
        <v>40</v>
      </c>
      <c r="J196">
        <v>158</v>
      </c>
      <c r="K196">
        <v>125</v>
      </c>
      <c r="L196">
        <v>9589</v>
      </c>
      <c r="M196">
        <v>179</v>
      </c>
      <c r="N196" s="1">
        <v>0.63541666666666663</v>
      </c>
      <c r="O196" t="s">
        <v>19</v>
      </c>
    </row>
    <row r="197" spans="1:15" x14ac:dyDescent="0.3">
      <c r="A197" t="s">
        <v>238</v>
      </c>
      <c r="B197">
        <v>20260528</v>
      </c>
      <c r="C197" t="s">
        <v>16</v>
      </c>
      <c r="D197" t="s">
        <v>21</v>
      </c>
      <c r="E197" t="s">
        <v>41</v>
      </c>
      <c r="F197">
        <v>27708</v>
      </c>
      <c r="G197">
        <v>43811</v>
      </c>
      <c r="H197">
        <v>2968</v>
      </c>
      <c r="I197">
        <v>239</v>
      </c>
      <c r="J197">
        <v>201</v>
      </c>
      <c r="K197">
        <v>281</v>
      </c>
      <c r="L197">
        <v>19293</v>
      </c>
      <c r="M197">
        <v>225</v>
      </c>
      <c r="N197" s="1">
        <v>0.55208333333333337</v>
      </c>
      <c r="O197" t="s">
        <v>38</v>
      </c>
    </row>
    <row r="198" spans="1:15" x14ac:dyDescent="0.3">
      <c r="A198" t="s">
        <v>239</v>
      </c>
      <c r="B198">
        <v>20260109</v>
      </c>
      <c r="C198" t="s">
        <v>40</v>
      </c>
      <c r="D198" t="s">
        <v>61</v>
      </c>
      <c r="E198" t="s">
        <v>41</v>
      </c>
      <c r="F198">
        <v>19186</v>
      </c>
      <c r="G198">
        <v>28372</v>
      </c>
      <c r="H198">
        <v>647</v>
      </c>
      <c r="I198">
        <v>70</v>
      </c>
      <c r="J198">
        <v>104</v>
      </c>
      <c r="K198">
        <v>32</v>
      </c>
      <c r="L198">
        <v>8685</v>
      </c>
      <c r="M198">
        <v>241</v>
      </c>
      <c r="N198" s="1">
        <v>0.92708333333333337</v>
      </c>
      <c r="O198" t="s">
        <v>53</v>
      </c>
    </row>
    <row r="199" spans="1:15" x14ac:dyDescent="0.3">
      <c r="A199" t="s">
        <v>240</v>
      </c>
      <c r="B199">
        <v>20250427</v>
      </c>
      <c r="C199" t="s">
        <v>32</v>
      </c>
      <c r="D199" t="s">
        <v>29</v>
      </c>
      <c r="E199" t="s">
        <v>18</v>
      </c>
      <c r="F199">
        <v>9762</v>
      </c>
      <c r="G199">
        <v>13491</v>
      </c>
      <c r="H199">
        <v>956</v>
      </c>
      <c r="I199">
        <v>100</v>
      </c>
      <c r="J199">
        <v>100</v>
      </c>
      <c r="K199">
        <v>86</v>
      </c>
      <c r="L199">
        <v>0</v>
      </c>
      <c r="M199">
        <v>60</v>
      </c>
      <c r="N199" s="1">
        <v>0.48958333333333331</v>
      </c>
      <c r="O199" t="s">
        <v>38</v>
      </c>
    </row>
    <row r="200" spans="1:15" x14ac:dyDescent="0.3">
      <c r="A200" t="s">
        <v>241</v>
      </c>
      <c r="B200">
        <v>20250222</v>
      </c>
      <c r="C200" t="s">
        <v>32</v>
      </c>
      <c r="D200" t="s">
        <v>61</v>
      </c>
      <c r="E200" t="s">
        <v>46</v>
      </c>
      <c r="F200">
        <v>15609</v>
      </c>
      <c r="G200">
        <v>17062</v>
      </c>
      <c r="H200">
        <v>1122</v>
      </c>
      <c r="I200">
        <v>63</v>
      </c>
      <c r="J200">
        <v>180</v>
      </c>
      <c r="K200">
        <v>80</v>
      </c>
      <c r="L200">
        <v>13548</v>
      </c>
      <c r="M200">
        <v>242</v>
      </c>
      <c r="N200" s="1">
        <v>0.8125</v>
      </c>
      <c r="O200" t="s">
        <v>30</v>
      </c>
    </row>
    <row r="201" spans="1:15" x14ac:dyDescent="0.3">
      <c r="A201" t="s">
        <v>242</v>
      </c>
      <c r="B201">
        <v>20250113</v>
      </c>
      <c r="C201" t="s">
        <v>25</v>
      </c>
      <c r="D201" t="s">
        <v>29</v>
      </c>
      <c r="E201" t="s">
        <v>51</v>
      </c>
      <c r="F201">
        <v>14244</v>
      </c>
      <c r="G201">
        <v>17683</v>
      </c>
      <c r="H201">
        <v>844</v>
      </c>
      <c r="I201">
        <v>25</v>
      </c>
      <c r="J201">
        <v>78</v>
      </c>
      <c r="K201">
        <v>109</v>
      </c>
      <c r="L201">
        <v>0</v>
      </c>
      <c r="M201">
        <v>89</v>
      </c>
      <c r="N201" s="1">
        <v>0.35416666666666669</v>
      </c>
      <c r="O201" t="s">
        <v>53</v>
      </c>
    </row>
    <row r="202" spans="1:15" x14ac:dyDescent="0.3">
      <c r="A202" t="s">
        <v>243</v>
      </c>
      <c r="B202">
        <v>20250817</v>
      </c>
      <c r="C202" t="s">
        <v>16</v>
      </c>
      <c r="D202" t="s">
        <v>61</v>
      </c>
      <c r="E202" t="s">
        <v>51</v>
      </c>
      <c r="F202">
        <v>34780</v>
      </c>
      <c r="G202">
        <v>47325</v>
      </c>
      <c r="H202">
        <v>2384</v>
      </c>
      <c r="I202">
        <v>190</v>
      </c>
      <c r="J202">
        <v>415</v>
      </c>
      <c r="K202">
        <v>300</v>
      </c>
      <c r="L202">
        <v>0</v>
      </c>
      <c r="M202">
        <v>38</v>
      </c>
      <c r="N202" s="1">
        <v>0.83333333333333337</v>
      </c>
      <c r="O202" t="s">
        <v>30</v>
      </c>
    </row>
    <row r="203" spans="1:15" x14ac:dyDescent="0.3">
      <c r="A203" t="s">
        <v>244</v>
      </c>
      <c r="B203">
        <v>20250421</v>
      </c>
      <c r="C203" t="s">
        <v>32</v>
      </c>
      <c r="D203" t="s">
        <v>17</v>
      </c>
      <c r="E203" t="s">
        <v>46</v>
      </c>
      <c r="F203">
        <v>12469</v>
      </c>
      <c r="G203">
        <v>20368</v>
      </c>
      <c r="H203">
        <v>762</v>
      </c>
      <c r="I203">
        <v>94</v>
      </c>
      <c r="J203">
        <v>139</v>
      </c>
      <c r="K203">
        <v>25</v>
      </c>
      <c r="L203">
        <v>5376</v>
      </c>
      <c r="M203">
        <v>164</v>
      </c>
      <c r="N203" s="1">
        <v>0.61458333333333337</v>
      </c>
      <c r="O203" t="s">
        <v>38</v>
      </c>
    </row>
    <row r="204" spans="1:15" x14ac:dyDescent="0.3">
      <c r="A204" t="s">
        <v>245</v>
      </c>
      <c r="B204">
        <v>20260129</v>
      </c>
      <c r="C204" t="s">
        <v>32</v>
      </c>
      <c r="D204" t="s">
        <v>36</v>
      </c>
      <c r="E204" t="s">
        <v>26</v>
      </c>
      <c r="F204">
        <v>2069</v>
      </c>
      <c r="G204">
        <v>2529</v>
      </c>
      <c r="H204">
        <v>235</v>
      </c>
      <c r="I204">
        <v>23</v>
      </c>
      <c r="J204">
        <v>34</v>
      </c>
      <c r="K204">
        <v>25</v>
      </c>
      <c r="L204">
        <v>1249</v>
      </c>
      <c r="M204">
        <v>7</v>
      </c>
      <c r="N204" s="1">
        <v>0.625</v>
      </c>
      <c r="O204" t="s">
        <v>38</v>
      </c>
    </row>
    <row r="205" spans="1:15" x14ac:dyDescent="0.3">
      <c r="A205" t="s">
        <v>246</v>
      </c>
      <c r="B205">
        <v>20250227</v>
      </c>
      <c r="C205" t="s">
        <v>25</v>
      </c>
      <c r="D205" t="s">
        <v>61</v>
      </c>
      <c r="E205" t="s">
        <v>41</v>
      </c>
      <c r="F205">
        <v>20095</v>
      </c>
      <c r="G205">
        <v>30574</v>
      </c>
      <c r="H205">
        <v>2011</v>
      </c>
      <c r="I205">
        <v>240</v>
      </c>
      <c r="J205">
        <v>109</v>
      </c>
      <c r="K205">
        <v>157</v>
      </c>
      <c r="L205">
        <v>8376</v>
      </c>
      <c r="M205">
        <v>132</v>
      </c>
      <c r="N205" s="1">
        <v>0.6875</v>
      </c>
      <c r="O205" t="s">
        <v>23</v>
      </c>
    </row>
    <row r="206" spans="1:15" x14ac:dyDescent="0.3">
      <c r="A206" t="s">
        <v>247</v>
      </c>
      <c r="B206">
        <v>20251204</v>
      </c>
      <c r="C206" t="s">
        <v>40</v>
      </c>
      <c r="D206" t="s">
        <v>68</v>
      </c>
      <c r="E206" t="s">
        <v>22</v>
      </c>
      <c r="F206">
        <v>6302</v>
      </c>
      <c r="G206">
        <v>10332</v>
      </c>
      <c r="H206">
        <v>529</v>
      </c>
      <c r="I206">
        <v>62</v>
      </c>
      <c r="J206">
        <v>98</v>
      </c>
      <c r="K206">
        <v>31</v>
      </c>
      <c r="L206">
        <v>0</v>
      </c>
      <c r="M206">
        <v>92</v>
      </c>
      <c r="N206" s="1">
        <v>0.90625</v>
      </c>
      <c r="O206" t="s">
        <v>53</v>
      </c>
    </row>
    <row r="207" spans="1:15" x14ac:dyDescent="0.3">
      <c r="A207" t="s">
        <v>248</v>
      </c>
      <c r="B207">
        <v>20250507</v>
      </c>
      <c r="C207" t="s">
        <v>16</v>
      </c>
      <c r="D207" t="s">
        <v>17</v>
      </c>
      <c r="E207" t="s">
        <v>41</v>
      </c>
      <c r="F207">
        <v>52179</v>
      </c>
      <c r="G207">
        <v>73369</v>
      </c>
      <c r="H207">
        <v>2980</v>
      </c>
      <c r="I207">
        <v>96</v>
      </c>
      <c r="J207">
        <v>572</v>
      </c>
      <c r="K207">
        <v>441</v>
      </c>
      <c r="L207">
        <v>28538</v>
      </c>
      <c r="M207">
        <v>86</v>
      </c>
      <c r="N207" s="1">
        <v>0.5</v>
      </c>
      <c r="O207" t="s">
        <v>38</v>
      </c>
    </row>
    <row r="208" spans="1:15" x14ac:dyDescent="0.3">
      <c r="A208" t="s">
        <v>249</v>
      </c>
      <c r="B208">
        <v>20260929</v>
      </c>
      <c r="C208" t="s">
        <v>16</v>
      </c>
      <c r="D208" t="s">
        <v>17</v>
      </c>
      <c r="E208" t="s">
        <v>46</v>
      </c>
      <c r="F208">
        <v>42448</v>
      </c>
      <c r="G208">
        <v>65120</v>
      </c>
      <c r="H208">
        <v>2436</v>
      </c>
      <c r="I208">
        <v>299</v>
      </c>
      <c r="J208">
        <v>332</v>
      </c>
      <c r="K208">
        <v>239</v>
      </c>
      <c r="L208">
        <v>36595</v>
      </c>
      <c r="M208">
        <v>103</v>
      </c>
      <c r="N208" s="1">
        <v>0.84375</v>
      </c>
      <c r="O208" t="s">
        <v>53</v>
      </c>
    </row>
    <row r="209" spans="1:15" x14ac:dyDescent="0.3">
      <c r="A209" t="s">
        <v>250</v>
      </c>
      <c r="B209">
        <v>20250610</v>
      </c>
      <c r="C209" t="s">
        <v>25</v>
      </c>
      <c r="D209" t="s">
        <v>36</v>
      </c>
      <c r="E209" t="s">
        <v>46</v>
      </c>
      <c r="F209">
        <v>21470</v>
      </c>
      <c r="G209">
        <v>34739</v>
      </c>
      <c r="H209">
        <v>1456</v>
      </c>
      <c r="I209">
        <v>83</v>
      </c>
      <c r="J209">
        <v>121</v>
      </c>
      <c r="K209">
        <v>36</v>
      </c>
      <c r="L209">
        <v>15000</v>
      </c>
      <c r="M209">
        <v>321</v>
      </c>
      <c r="N209" s="1">
        <v>0.88541666666666663</v>
      </c>
      <c r="O209" t="s">
        <v>34</v>
      </c>
    </row>
    <row r="210" spans="1:15" x14ac:dyDescent="0.3">
      <c r="A210" t="s">
        <v>251</v>
      </c>
      <c r="B210">
        <v>20260328</v>
      </c>
      <c r="C210" t="s">
        <v>44</v>
      </c>
      <c r="D210" t="s">
        <v>17</v>
      </c>
      <c r="E210" t="s">
        <v>41</v>
      </c>
      <c r="F210">
        <v>69982</v>
      </c>
      <c r="G210">
        <v>78386</v>
      </c>
      <c r="H210">
        <v>2887</v>
      </c>
      <c r="I210">
        <v>356</v>
      </c>
      <c r="K210">
        <v>200</v>
      </c>
      <c r="L210">
        <v>62323</v>
      </c>
      <c r="M210">
        <v>568</v>
      </c>
      <c r="N210" s="1">
        <v>0.40625</v>
      </c>
      <c r="O210" t="s">
        <v>27</v>
      </c>
    </row>
    <row r="211" spans="1:15" x14ac:dyDescent="0.3">
      <c r="A211" t="s">
        <v>252</v>
      </c>
      <c r="B211">
        <v>20250916</v>
      </c>
      <c r="C211" t="s">
        <v>40</v>
      </c>
      <c r="D211" t="s">
        <v>33</v>
      </c>
      <c r="E211" t="s">
        <v>18</v>
      </c>
      <c r="F211">
        <v>23974</v>
      </c>
      <c r="G211">
        <v>33137</v>
      </c>
      <c r="H211">
        <v>928</v>
      </c>
      <c r="I211">
        <v>76</v>
      </c>
      <c r="J211">
        <v>155</v>
      </c>
      <c r="K211">
        <v>142</v>
      </c>
      <c r="L211">
        <v>0</v>
      </c>
      <c r="M211">
        <v>262</v>
      </c>
      <c r="N211" s="1">
        <v>0.8125</v>
      </c>
      <c r="O211" t="s">
        <v>23</v>
      </c>
    </row>
    <row r="212" spans="1:15" x14ac:dyDescent="0.3">
      <c r="A212" t="s">
        <v>253</v>
      </c>
      <c r="B212">
        <v>20250316</v>
      </c>
      <c r="C212" t="s">
        <v>44</v>
      </c>
      <c r="D212" t="s">
        <v>21</v>
      </c>
      <c r="E212" t="s">
        <v>18</v>
      </c>
      <c r="F212">
        <v>94212</v>
      </c>
      <c r="G212">
        <v>109679</v>
      </c>
      <c r="H212">
        <v>10251</v>
      </c>
      <c r="I212">
        <v>494</v>
      </c>
      <c r="J212">
        <v>1703</v>
      </c>
      <c r="K212">
        <v>1613</v>
      </c>
      <c r="L212">
        <v>0</v>
      </c>
      <c r="M212">
        <v>1518</v>
      </c>
      <c r="N212" s="1">
        <v>0.80208333333333337</v>
      </c>
      <c r="O212" t="s">
        <v>30</v>
      </c>
    </row>
    <row r="213" spans="1:15" x14ac:dyDescent="0.3">
      <c r="A213" t="s">
        <v>254</v>
      </c>
      <c r="B213">
        <v>20250409</v>
      </c>
      <c r="C213" t="s">
        <v>16</v>
      </c>
      <c r="D213" t="s">
        <v>21</v>
      </c>
      <c r="E213" t="s">
        <v>26</v>
      </c>
      <c r="F213">
        <v>34923</v>
      </c>
      <c r="G213">
        <v>41851</v>
      </c>
      <c r="H213">
        <v>2703</v>
      </c>
      <c r="I213">
        <v>297</v>
      </c>
      <c r="J213">
        <v>360</v>
      </c>
      <c r="K213">
        <v>431</v>
      </c>
      <c r="L213">
        <v>28258</v>
      </c>
      <c r="M213">
        <v>129</v>
      </c>
      <c r="N213" s="1">
        <v>0.65625</v>
      </c>
      <c r="O213" t="s">
        <v>53</v>
      </c>
    </row>
    <row r="214" spans="1:15" x14ac:dyDescent="0.3">
      <c r="A214" t="s">
        <v>255</v>
      </c>
      <c r="B214">
        <v>20250506</v>
      </c>
      <c r="C214" t="s">
        <v>16</v>
      </c>
      <c r="D214" t="s">
        <v>21</v>
      </c>
      <c r="E214" t="s">
        <v>46</v>
      </c>
      <c r="F214">
        <v>96118</v>
      </c>
      <c r="G214">
        <v>158316</v>
      </c>
      <c r="H214">
        <v>2855</v>
      </c>
      <c r="I214">
        <v>310</v>
      </c>
      <c r="J214">
        <v>136</v>
      </c>
      <c r="K214">
        <v>368</v>
      </c>
      <c r="L214">
        <v>80435</v>
      </c>
      <c r="M214">
        <v>1631</v>
      </c>
      <c r="N214" s="1">
        <v>0.72916666666666663</v>
      </c>
      <c r="O214" t="s">
        <v>38</v>
      </c>
    </row>
    <row r="215" spans="1:15" x14ac:dyDescent="0.3">
      <c r="A215" t="s">
        <v>256</v>
      </c>
      <c r="B215">
        <v>20251215</v>
      </c>
      <c r="C215" t="s">
        <v>16</v>
      </c>
      <c r="D215" t="s">
        <v>21</v>
      </c>
      <c r="E215" t="s">
        <v>51</v>
      </c>
      <c r="F215">
        <v>15823</v>
      </c>
      <c r="G215">
        <v>21686</v>
      </c>
      <c r="H215">
        <v>639</v>
      </c>
      <c r="I215">
        <v>41</v>
      </c>
      <c r="J215">
        <v>93</v>
      </c>
      <c r="K215">
        <v>55</v>
      </c>
      <c r="L215">
        <v>0</v>
      </c>
      <c r="M215">
        <v>212</v>
      </c>
      <c r="N215" s="1">
        <v>0.375</v>
      </c>
      <c r="O215" t="s">
        <v>38</v>
      </c>
    </row>
    <row r="216" spans="1:15" x14ac:dyDescent="0.3">
      <c r="A216" t="s">
        <v>257</v>
      </c>
      <c r="B216">
        <v>20260817</v>
      </c>
      <c r="C216" t="s">
        <v>16</v>
      </c>
      <c r="D216" t="s">
        <v>68</v>
      </c>
      <c r="E216" t="s">
        <v>46</v>
      </c>
      <c r="F216">
        <v>18545</v>
      </c>
      <c r="G216">
        <v>20611</v>
      </c>
      <c r="H216">
        <v>565</v>
      </c>
      <c r="I216">
        <v>23</v>
      </c>
      <c r="J216">
        <v>100</v>
      </c>
      <c r="K216">
        <v>28</v>
      </c>
      <c r="L216">
        <v>7160</v>
      </c>
      <c r="M216">
        <v>73</v>
      </c>
      <c r="N216" s="1">
        <v>0.35416666666666669</v>
      </c>
      <c r="O216" t="s">
        <v>53</v>
      </c>
    </row>
    <row r="217" spans="1:15" x14ac:dyDescent="0.3">
      <c r="A217" t="s">
        <v>258</v>
      </c>
      <c r="B217">
        <v>20250720</v>
      </c>
      <c r="C217" t="s">
        <v>40</v>
      </c>
      <c r="D217" t="s">
        <v>36</v>
      </c>
      <c r="E217" t="s">
        <v>18</v>
      </c>
      <c r="F217">
        <v>11347</v>
      </c>
      <c r="G217">
        <v>18392</v>
      </c>
      <c r="H217">
        <v>667</v>
      </c>
      <c r="I217">
        <v>63</v>
      </c>
      <c r="J217">
        <v>49</v>
      </c>
      <c r="K217">
        <v>42</v>
      </c>
      <c r="L217">
        <v>0</v>
      </c>
      <c r="M217">
        <v>43</v>
      </c>
      <c r="N217" s="1">
        <v>0.71875</v>
      </c>
      <c r="O217" t="s">
        <v>38</v>
      </c>
    </row>
    <row r="218" spans="1:15" x14ac:dyDescent="0.3">
      <c r="A218" t="s">
        <v>259</v>
      </c>
      <c r="B218">
        <v>20260801</v>
      </c>
      <c r="C218" t="s">
        <v>40</v>
      </c>
      <c r="D218" t="s">
        <v>17</v>
      </c>
      <c r="E218" t="s">
        <v>41</v>
      </c>
      <c r="F218">
        <v>14124</v>
      </c>
      <c r="G218">
        <v>16580</v>
      </c>
      <c r="H218">
        <v>1325</v>
      </c>
      <c r="I218">
        <v>53</v>
      </c>
      <c r="J218">
        <v>153</v>
      </c>
      <c r="K218">
        <v>122</v>
      </c>
      <c r="L218">
        <v>8030</v>
      </c>
      <c r="M218">
        <v>55</v>
      </c>
      <c r="N218" s="1">
        <v>0.66666666666666663</v>
      </c>
      <c r="O218" t="s">
        <v>19</v>
      </c>
    </row>
    <row r="219" spans="1:15" x14ac:dyDescent="0.3">
      <c r="A219" t="s">
        <v>260</v>
      </c>
      <c r="B219">
        <v>20260317</v>
      </c>
      <c r="C219" t="s">
        <v>40</v>
      </c>
      <c r="D219" t="s">
        <v>61</v>
      </c>
      <c r="E219" t="s">
        <v>41</v>
      </c>
      <c r="F219">
        <v>36217</v>
      </c>
      <c r="G219">
        <v>51277</v>
      </c>
      <c r="H219">
        <v>4074</v>
      </c>
      <c r="I219">
        <v>372</v>
      </c>
      <c r="J219">
        <v>125</v>
      </c>
      <c r="K219">
        <v>250</v>
      </c>
      <c r="L219">
        <v>24844</v>
      </c>
      <c r="M219">
        <v>151</v>
      </c>
      <c r="N219" s="1">
        <v>0.60416666666666663</v>
      </c>
      <c r="O219" t="s">
        <v>38</v>
      </c>
    </row>
    <row r="220" spans="1:15" x14ac:dyDescent="0.3">
      <c r="A220" t="s">
        <v>261</v>
      </c>
      <c r="B220">
        <v>20260223</v>
      </c>
      <c r="C220" t="s">
        <v>32</v>
      </c>
      <c r="D220" t="s">
        <v>36</v>
      </c>
      <c r="E220" t="s">
        <v>26</v>
      </c>
      <c r="F220">
        <v>7065</v>
      </c>
      <c r="G220">
        <v>8496</v>
      </c>
      <c r="H220">
        <v>273</v>
      </c>
      <c r="I220">
        <v>34</v>
      </c>
      <c r="J220">
        <v>19</v>
      </c>
      <c r="K220">
        <v>40</v>
      </c>
      <c r="L220">
        <v>6008</v>
      </c>
      <c r="M220">
        <v>38</v>
      </c>
      <c r="N220" s="1">
        <v>0.89583333333333337</v>
      </c>
      <c r="O220" t="s">
        <v>47</v>
      </c>
    </row>
    <row r="221" spans="1:15" x14ac:dyDescent="0.3">
      <c r="A221" t="s">
        <v>262</v>
      </c>
      <c r="B221">
        <v>20250526</v>
      </c>
      <c r="C221" t="s">
        <v>16</v>
      </c>
      <c r="D221" t="s">
        <v>17</v>
      </c>
      <c r="E221" t="s">
        <v>46</v>
      </c>
      <c r="F221">
        <v>30331</v>
      </c>
      <c r="G221">
        <v>37051</v>
      </c>
      <c r="H221">
        <v>2389</v>
      </c>
      <c r="I221">
        <v>254</v>
      </c>
      <c r="J221">
        <v>114</v>
      </c>
      <c r="K221">
        <v>213</v>
      </c>
      <c r="L221">
        <v>14872</v>
      </c>
      <c r="M221">
        <v>459</v>
      </c>
      <c r="N221" s="1">
        <v>0.51041666666666663</v>
      </c>
      <c r="O221" t="s">
        <v>38</v>
      </c>
    </row>
    <row r="222" spans="1:15" x14ac:dyDescent="0.3">
      <c r="A222" t="s">
        <v>263</v>
      </c>
      <c r="B222">
        <v>20260323</v>
      </c>
      <c r="C222" t="s">
        <v>25</v>
      </c>
      <c r="D222" t="s">
        <v>29</v>
      </c>
      <c r="E222" t="s">
        <v>46</v>
      </c>
      <c r="F222">
        <v>35665</v>
      </c>
      <c r="G222">
        <v>49851</v>
      </c>
      <c r="H222">
        <v>1537</v>
      </c>
      <c r="I222">
        <v>96</v>
      </c>
      <c r="J222">
        <v>82</v>
      </c>
      <c r="K222">
        <v>173</v>
      </c>
      <c r="L222">
        <v>28966</v>
      </c>
      <c r="M222">
        <v>104</v>
      </c>
      <c r="N222" s="1">
        <v>0.5</v>
      </c>
      <c r="O222" t="s">
        <v>42</v>
      </c>
    </row>
    <row r="223" spans="1:15" x14ac:dyDescent="0.3">
      <c r="A223" t="s">
        <v>264</v>
      </c>
      <c r="B223">
        <v>20251119</v>
      </c>
      <c r="C223" t="s">
        <v>40</v>
      </c>
      <c r="D223" t="s">
        <v>21</v>
      </c>
      <c r="E223" t="s">
        <v>22</v>
      </c>
      <c r="F223">
        <v>5843</v>
      </c>
      <c r="G223">
        <v>9330</v>
      </c>
      <c r="H223">
        <v>390</v>
      </c>
      <c r="I223">
        <v>54</v>
      </c>
      <c r="J223">
        <v>56</v>
      </c>
      <c r="K223">
        <v>24</v>
      </c>
      <c r="L223">
        <v>0</v>
      </c>
      <c r="M223">
        <v>23</v>
      </c>
      <c r="N223" s="1">
        <v>0.33333333333333331</v>
      </c>
      <c r="O223" t="s">
        <v>23</v>
      </c>
    </row>
    <row r="224" spans="1:15" x14ac:dyDescent="0.3">
      <c r="A224" t="s">
        <v>265</v>
      </c>
      <c r="B224">
        <v>20260513</v>
      </c>
      <c r="C224" t="s">
        <v>25</v>
      </c>
      <c r="D224" t="s">
        <v>33</v>
      </c>
      <c r="E224" t="s">
        <v>26</v>
      </c>
      <c r="F224">
        <v>16883</v>
      </c>
      <c r="G224">
        <v>19770</v>
      </c>
      <c r="H224">
        <v>1272</v>
      </c>
      <c r="I224">
        <v>168</v>
      </c>
      <c r="J224">
        <v>60</v>
      </c>
      <c r="K224">
        <v>174</v>
      </c>
      <c r="L224">
        <v>11205</v>
      </c>
      <c r="M224">
        <v>236</v>
      </c>
      <c r="N224" s="1">
        <v>0.63541666666666663</v>
      </c>
      <c r="O224" t="s">
        <v>47</v>
      </c>
    </row>
    <row r="225" spans="1:15" x14ac:dyDescent="0.3">
      <c r="A225" t="s">
        <v>266</v>
      </c>
      <c r="B225">
        <v>20260115</v>
      </c>
      <c r="C225" t="s">
        <v>32</v>
      </c>
      <c r="D225" t="s">
        <v>61</v>
      </c>
      <c r="E225" t="s">
        <v>41</v>
      </c>
      <c r="F225">
        <v>9717</v>
      </c>
      <c r="G225">
        <v>10461</v>
      </c>
      <c r="H225">
        <v>676</v>
      </c>
      <c r="I225">
        <v>52</v>
      </c>
      <c r="J225">
        <v>33</v>
      </c>
      <c r="K225">
        <v>100</v>
      </c>
      <c r="L225">
        <v>4779</v>
      </c>
      <c r="M225">
        <v>15</v>
      </c>
      <c r="N225" s="1">
        <v>0.51041666666666663</v>
      </c>
      <c r="O225" t="s">
        <v>38</v>
      </c>
    </row>
    <row r="226" spans="1:15" x14ac:dyDescent="0.3">
      <c r="A226" t="s">
        <v>267</v>
      </c>
      <c r="B226">
        <v>20250930</v>
      </c>
      <c r="C226" t="s">
        <v>44</v>
      </c>
      <c r="D226" t="s">
        <v>68</v>
      </c>
      <c r="E226" t="s">
        <v>18</v>
      </c>
      <c r="F226">
        <v>27540</v>
      </c>
      <c r="G226">
        <v>39716</v>
      </c>
      <c r="H226">
        <v>2414</v>
      </c>
      <c r="I226">
        <v>94</v>
      </c>
      <c r="J226">
        <v>352</v>
      </c>
      <c r="K226">
        <v>366</v>
      </c>
      <c r="L226">
        <v>0</v>
      </c>
      <c r="M226">
        <v>69</v>
      </c>
      <c r="N226" s="1">
        <v>0.54166666666666663</v>
      </c>
      <c r="O226" t="s">
        <v>19</v>
      </c>
    </row>
    <row r="227" spans="1:15" x14ac:dyDescent="0.3">
      <c r="A227" t="s">
        <v>268</v>
      </c>
      <c r="B227">
        <v>20260212</v>
      </c>
      <c r="C227" t="s">
        <v>32</v>
      </c>
      <c r="D227" t="s">
        <v>68</v>
      </c>
      <c r="E227" t="s">
        <v>46</v>
      </c>
      <c r="F227">
        <v>8683</v>
      </c>
      <c r="G227">
        <v>12648</v>
      </c>
      <c r="H227">
        <v>763</v>
      </c>
      <c r="I227">
        <v>80</v>
      </c>
      <c r="J227">
        <v>90</v>
      </c>
      <c r="K227">
        <v>105</v>
      </c>
      <c r="L227">
        <v>4268</v>
      </c>
      <c r="M227">
        <v>44</v>
      </c>
      <c r="N227" s="1">
        <v>0.42708333333333331</v>
      </c>
      <c r="O227" t="s">
        <v>27</v>
      </c>
    </row>
    <row r="228" spans="1:15" x14ac:dyDescent="0.3">
      <c r="A228" t="s">
        <v>269</v>
      </c>
      <c r="B228">
        <v>20250612</v>
      </c>
      <c r="C228" t="s">
        <v>40</v>
      </c>
      <c r="D228" t="s">
        <v>29</v>
      </c>
      <c r="E228" t="s">
        <v>26</v>
      </c>
      <c r="F228">
        <v>24916</v>
      </c>
      <c r="G228">
        <v>34541</v>
      </c>
      <c r="H228">
        <v>1460</v>
      </c>
      <c r="I228">
        <v>154</v>
      </c>
      <c r="J228">
        <v>239</v>
      </c>
      <c r="K228">
        <v>125</v>
      </c>
      <c r="L228">
        <v>19546</v>
      </c>
      <c r="M228">
        <v>97</v>
      </c>
      <c r="N228" s="1">
        <v>0.48958333333333331</v>
      </c>
      <c r="O228" t="s">
        <v>19</v>
      </c>
    </row>
    <row r="229" spans="1:15" x14ac:dyDescent="0.3">
      <c r="A229" t="s">
        <v>270</v>
      </c>
      <c r="B229">
        <v>20250617</v>
      </c>
      <c r="C229" t="s">
        <v>32</v>
      </c>
      <c r="D229" t="s">
        <v>17</v>
      </c>
      <c r="E229" t="s">
        <v>41</v>
      </c>
      <c r="F229">
        <v>7803</v>
      </c>
      <c r="G229">
        <v>10732</v>
      </c>
      <c r="H229">
        <v>453</v>
      </c>
      <c r="I229">
        <v>61</v>
      </c>
      <c r="J229">
        <v>89</v>
      </c>
      <c r="K229">
        <v>37</v>
      </c>
      <c r="L229">
        <v>4892</v>
      </c>
      <c r="M229">
        <v>94</v>
      </c>
      <c r="N229" s="1">
        <v>0.94791666666666663</v>
      </c>
      <c r="O229" t="s">
        <v>27</v>
      </c>
    </row>
    <row r="230" spans="1:15" x14ac:dyDescent="0.3">
      <c r="A230" t="s">
        <v>271</v>
      </c>
      <c r="B230">
        <v>20250531</v>
      </c>
      <c r="C230" t="s">
        <v>32</v>
      </c>
      <c r="D230" t="s">
        <v>33</v>
      </c>
      <c r="E230" t="s">
        <v>51</v>
      </c>
      <c r="F230">
        <v>22750</v>
      </c>
      <c r="G230">
        <v>33215</v>
      </c>
      <c r="H230">
        <v>1849</v>
      </c>
      <c r="I230">
        <v>100</v>
      </c>
      <c r="J230">
        <v>69</v>
      </c>
      <c r="K230">
        <v>170</v>
      </c>
      <c r="L230">
        <v>0</v>
      </c>
      <c r="M230">
        <v>187</v>
      </c>
      <c r="N230" s="1">
        <v>0.375</v>
      </c>
      <c r="O230" t="s">
        <v>27</v>
      </c>
    </row>
    <row r="231" spans="1:15" x14ac:dyDescent="0.3">
      <c r="A231" t="s">
        <v>272</v>
      </c>
      <c r="B231">
        <v>20250213</v>
      </c>
      <c r="C231" t="s">
        <v>16</v>
      </c>
      <c r="D231" t="s">
        <v>21</v>
      </c>
      <c r="E231" t="s">
        <v>46</v>
      </c>
      <c r="F231">
        <v>35751</v>
      </c>
      <c r="G231">
        <v>44764</v>
      </c>
      <c r="H231">
        <v>2446</v>
      </c>
      <c r="I231">
        <v>67</v>
      </c>
      <c r="J231">
        <v>157</v>
      </c>
      <c r="K231">
        <v>273</v>
      </c>
      <c r="L231">
        <v>26036</v>
      </c>
      <c r="M231">
        <v>299</v>
      </c>
      <c r="N231" s="1">
        <v>0.72916666666666663</v>
      </c>
      <c r="O231" t="s">
        <v>47</v>
      </c>
    </row>
    <row r="232" spans="1:15" x14ac:dyDescent="0.3">
      <c r="A232" t="s">
        <v>273</v>
      </c>
      <c r="B232">
        <v>20250110</v>
      </c>
      <c r="C232" t="s">
        <v>16</v>
      </c>
      <c r="D232" t="s">
        <v>17</v>
      </c>
      <c r="E232" t="s">
        <v>18</v>
      </c>
      <c r="F232">
        <v>21042</v>
      </c>
      <c r="G232">
        <v>26581</v>
      </c>
      <c r="H232">
        <v>1760</v>
      </c>
      <c r="I232">
        <v>245</v>
      </c>
      <c r="J232">
        <v>308</v>
      </c>
      <c r="K232">
        <v>221</v>
      </c>
      <c r="L232">
        <v>0</v>
      </c>
      <c r="M232">
        <v>323</v>
      </c>
      <c r="N232" s="1">
        <v>0.61458333333333337</v>
      </c>
      <c r="O232" t="s">
        <v>42</v>
      </c>
    </row>
    <row r="233" spans="1:15" x14ac:dyDescent="0.3">
      <c r="A233" t="s">
        <v>274</v>
      </c>
      <c r="B233">
        <v>20260301</v>
      </c>
      <c r="C233" t="s">
        <v>40</v>
      </c>
      <c r="D233" t="s">
        <v>21</v>
      </c>
      <c r="E233" t="s">
        <v>22</v>
      </c>
      <c r="F233">
        <v>15999</v>
      </c>
      <c r="G233">
        <v>17350</v>
      </c>
      <c r="H233">
        <v>1398</v>
      </c>
      <c r="I233">
        <v>165</v>
      </c>
      <c r="J233">
        <v>90</v>
      </c>
      <c r="K233">
        <v>110</v>
      </c>
      <c r="L233">
        <v>0</v>
      </c>
      <c r="M233">
        <v>30</v>
      </c>
      <c r="N233" s="1">
        <v>0.39583333333333331</v>
      </c>
      <c r="O233" t="s">
        <v>38</v>
      </c>
    </row>
    <row r="234" spans="1:15" x14ac:dyDescent="0.3">
      <c r="A234" t="s">
        <v>275</v>
      </c>
      <c r="B234">
        <v>20250304</v>
      </c>
      <c r="C234" t="s">
        <v>32</v>
      </c>
      <c r="D234" t="s">
        <v>21</v>
      </c>
      <c r="E234" t="s">
        <v>41</v>
      </c>
      <c r="F234">
        <v>8423</v>
      </c>
      <c r="G234">
        <v>13649</v>
      </c>
      <c r="H234">
        <v>432</v>
      </c>
      <c r="I234">
        <v>51</v>
      </c>
      <c r="J234">
        <v>39</v>
      </c>
      <c r="K234">
        <v>9</v>
      </c>
      <c r="L234">
        <v>3122</v>
      </c>
      <c r="M234">
        <v>140</v>
      </c>
      <c r="N234" s="1">
        <v>0.71875</v>
      </c>
      <c r="O234" t="s">
        <v>53</v>
      </c>
    </row>
    <row r="235" spans="1:15" x14ac:dyDescent="0.3">
      <c r="A235" t="s">
        <v>276</v>
      </c>
      <c r="B235">
        <v>20260925</v>
      </c>
      <c r="C235" t="s">
        <v>16</v>
      </c>
      <c r="D235" t="s">
        <v>68</v>
      </c>
      <c r="E235" t="s">
        <v>26</v>
      </c>
      <c r="F235">
        <v>4901</v>
      </c>
      <c r="G235">
        <v>8017</v>
      </c>
      <c r="H235">
        <v>372</v>
      </c>
      <c r="I235">
        <v>39</v>
      </c>
      <c r="J235">
        <v>65</v>
      </c>
      <c r="K235">
        <v>12</v>
      </c>
      <c r="L235">
        <v>3795</v>
      </c>
      <c r="M235">
        <v>67</v>
      </c>
      <c r="N235" s="1">
        <v>0.35416666666666669</v>
      </c>
      <c r="O235" t="s">
        <v>47</v>
      </c>
    </row>
    <row r="236" spans="1:15" x14ac:dyDescent="0.3">
      <c r="A236" t="s">
        <v>277</v>
      </c>
      <c r="B236">
        <v>20260509</v>
      </c>
      <c r="C236" t="s">
        <v>16</v>
      </c>
      <c r="D236" t="s">
        <v>36</v>
      </c>
      <c r="E236" t="s">
        <v>18</v>
      </c>
      <c r="F236">
        <v>21407</v>
      </c>
      <c r="G236">
        <v>26926</v>
      </c>
      <c r="H236">
        <v>1554</v>
      </c>
      <c r="I236">
        <v>169</v>
      </c>
      <c r="J236">
        <v>249</v>
      </c>
      <c r="K236">
        <v>86</v>
      </c>
      <c r="L236">
        <v>0</v>
      </c>
      <c r="M236">
        <v>37</v>
      </c>
      <c r="N236" s="1">
        <v>0.78125</v>
      </c>
    </row>
    <row r="237" spans="1:15" x14ac:dyDescent="0.3">
      <c r="A237" t="s">
        <v>278</v>
      </c>
      <c r="B237">
        <v>20250713</v>
      </c>
      <c r="C237" t="s">
        <v>25</v>
      </c>
      <c r="D237" t="s">
        <v>33</v>
      </c>
      <c r="E237" t="s">
        <v>46</v>
      </c>
      <c r="F237">
        <v>5655</v>
      </c>
      <c r="G237">
        <v>8148</v>
      </c>
      <c r="H237">
        <v>324</v>
      </c>
      <c r="I237">
        <v>26</v>
      </c>
      <c r="J237">
        <v>29</v>
      </c>
      <c r="K237">
        <v>7</v>
      </c>
      <c r="L237">
        <v>4641</v>
      </c>
      <c r="M237">
        <v>8</v>
      </c>
      <c r="N237" s="1">
        <v>0.375</v>
      </c>
      <c r="O237" t="s">
        <v>47</v>
      </c>
    </row>
    <row r="238" spans="1:15" x14ac:dyDescent="0.3">
      <c r="A238" t="s">
        <v>279</v>
      </c>
      <c r="B238">
        <v>20260615</v>
      </c>
      <c r="C238" t="s">
        <v>32</v>
      </c>
      <c r="D238" t="s">
        <v>21</v>
      </c>
      <c r="E238" t="s">
        <v>41</v>
      </c>
      <c r="F238">
        <v>10250</v>
      </c>
      <c r="G238">
        <v>14356</v>
      </c>
      <c r="H238">
        <v>719</v>
      </c>
      <c r="I238">
        <v>74</v>
      </c>
      <c r="J238">
        <v>118</v>
      </c>
      <c r="K238">
        <v>82</v>
      </c>
      <c r="L238">
        <v>8978</v>
      </c>
      <c r="M238">
        <v>10</v>
      </c>
      <c r="N238" s="1">
        <v>0.52083333333333337</v>
      </c>
      <c r="O238" t="s">
        <v>42</v>
      </c>
    </row>
    <row r="239" spans="1:15" x14ac:dyDescent="0.3">
      <c r="A239" t="s">
        <v>280</v>
      </c>
      <c r="B239">
        <v>20260422</v>
      </c>
      <c r="C239" t="s">
        <v>25</v>
      </c>
      <c r="D239" t="s">
        <v>17</v>
      </c>
      <c r="E239" t="s">
        <v>46</v>
      </c>
      <c r="F239">
        <v>16045</v>
      </c>
      <c r="G239">
        <v>20237</v>
      </c>
      <c r="H239">
        <v>551</v>
      </c>
      <c r="I239">
        <v>22</v>
      </c>
      <c r="J239">
        <v>54</v>
      </c>
      <c r="K239">
        <v>42</v>
      </c>
      <c r="L239">
        <v>7104</v>
      </c>
      <c r="M239">
        <v>23</v>
      </c>
      <c r="N239" s="1">
        <v>0.94791666666666663</v>
      </c>
      <c r="O239" t="s">
        <v>49</v>
      </c>
    </row>
    <row r="240" spans="1:15" x14ac:dyDescent="0.3">
      <c r="A240" t="s">
        <v>281</v>
      </c>
      <c r="B240">
        <v>20250611</v>
      </c>
      <c r="C240" t="s">
        <v>32</v>
      </c>
      <c r="D240" t="s">
        <v>36</v>
      </c>
      <c r="E240" t="s">
        <v>51</v>
      </c>
      <c r="F240">
        <v>4328</v>
      </c>
      <c r="G240">
        <v>5981</v>
      </c>
      <c r="H240">
        <v>446</v>
      </c>
      <c r="I240">
        <v>52</v>
      </c>
      <c r="J240">
        <v>25</v>
      </c>
      <c r="K240">
        <v>55</v>
      </c>
      <c r="L240">
        <v>0</v>
      </c>
      <c r="M240">
        <v>42</v>
      </c>
      <c r="N240" s="1">
        <v>0.90625</v>
      </c>
      <c r="O240" t="s">
        <v>34</v>
      </c>
    </row>
    <row r="241" spans="1:15" x14ac:dyDescent="0.3">
      <c r="A241" t="s">
        <v>282</v>
      </c>
      <c r="B241">
        <v>20250605</v>
      </c>
      <c r="C241" t="s">
        <v>32</v>
      </c>
      <c r="D241" t="s">
        <v>33</v>
      </c>
      <c r="E241" t="s">
        <v>26</v>
      </c>
      <c r="F241">
        <v>7567</v>
      </c>
      <c r="G241">
        <v>11228</v>
      </c>
      <c r="H241">
        <v>632</v>
      </c>
      <c r="I241">
        <v>47</v>
      </c>
      <c r="J241">
        <v>68</v>
      </c>
      <c r="K241">
        <v>33</v>
      </c>
      <c r="L241">
        <v>3459</v>
      </c>
      <c r="M241">
        <v>120</v>
      </c>
      <c r="N241" s="1">
        <v>0.39583333333333331</v>
      </c>
      <c r="O241" t="s">
        <v>47</v>
      </c>
    </row>
    <row r="242" spans="1:15" x14ac:dyDescent="0.3">
      <c r="A242" t="s">
        <v>283</v>
      </c>
      <c r="B242">
        <v>20250626</v>
      </c>
      <c r="C242" t="s">
        <v>40</v>
      </c>
      <c r="D242" t="s">
        <v>29</v>
      </c>
      <c r="E242" t="s">
        <v>41</v>
      </c>
      <c r="F242">
        <v>56781</v>
      </c>
      <c r="G242">
        <v>63785</v>
      </c>
      <c r="H242">
        <v>3479</v>
      </c>
      <c r="I242">
        <v>266</v>
      </c>
      <c r="J242">
        <v>611</v>
      </c>
      <c r="K242">
        <v>423</v>
      </c>
      <c r="L242">
        <v>29293</v>
      </c>
      <c r="M242">
        <v>59</v>
      </c>
      <c r="N242" s="1">
        <v>0.9375</v>
      </c>
      <c r="O242" t="s">
        <v>38</v>
      </c>
    </row>
    <row r="243" spans="1:15" x14ac:dyDescent="0.3">
      <c r="A243" t="s">
        <v>284</v>
      </c>
      <c r="B243">
        <v>20260725</v>
      </c>
      <c r="C243" t="s">
        <v>40</v>
      </c>
      <c r="D243" t="s">
        <v>61</v>
      </c>
      <c r="E243" t="s">
        <v>41</v>
      </c>
      <c r="F243">
        <v>44272</v>
      </c>
      <c r="G243">
        <v>72501</v>
      </c>
      <c r="H243">
        <v>4075</v>
      </c>
      <c r="I243">
        <v>292</v>
      </c>
      <c r="J243">
        <v>393</v>
      </c>
      <c r="K243">
        <v>400</v>
      </c>
      <c r="L243">
        <v>22123</v>
      </c>
      <c r="M243">
        <v>479</v>
      </c>
      <c r="N243" s="1">
        <v>0.8125</v>
      </c>
      <c r="O243" t="s">
        <v>30</v>
      </c>
    </row>
    <row r="244" spans="1:15" x14ac:dyDescent="0.3">
      <c r="A244" t="s">
        <v>285</v>
      </c>
      <c r="B244">
        <v>20250718</v>
      </c>
      <c r="C244" t="s">
        <v>16</v>
      </c>
      <c r="D244" t="s">
        <v>68</v>
      </c>
      <c r="E244" t="s">
        <v>46</v>
      </c>
      <c r="F244">
        <v>28298</v>
      </c>
      <c r="G244">
        <v>30337</v>
      </c>
      <c r="H244">
        <v>741</v>
      </c>
      <c r="I244">
        <v>46</v>
      </c>
      <c r="J244">
        <v>68</v>
      </c>
      <c r="K244">
        <v>46</v>
      </c>
      <c r="L244">
        <v>24463</v>
      </c>
      <c r="M244">
        <v>240</v>
      </c>
      <c r="N244" s="1">
        <v>0.875</v>
      </c>
      <c r="O244" t="s">
        <v>49</v>
      </c>
    </row>
    <row r="245" spans="1:15" x14ac:dyDescent="0.3">
      <c r="A245" t="s">
        <v>286</v>
      </c>
      <c r="B245">
        <v>20250316</v>
      </c>
      <c r="C245" t="s">
        <v>32</v>
      </c>
      <c r="D245" t="s">
        <v>36</v>
      </c>
      <c r="E245" t="s">
        <v>41</v>
      </c>
      <c r="F245">
        <v>21472</v>
      </c>
      <c r="G245">
        <v>30233</v>
      </c>
      <c r="H245">
        <v>1963</v>
      </c>
      <c r="I245">
        <v>159</v>
      </c>
      <c r="J245">
        <v>138</v>
      </c>
      <c r="K245">
        <v>131</v>
      </c>
      <c r="L245">
        <v>13822</v>
      </c>
      <c r="M245">
        <v>103</v>
      </c>
      <c r="N245" s="1">
        <v>0.4375</v>
      </c>
      <c r="O245" t="s">
        <v>27</v>
      </c>
    </row>
    <row r="246" spans="1:15" x14ac:dyDescent="0.3">
      <c r="A246" t="s">
        <v>287</v>
      </c>
      <c r="B246">
        <v>20250729</v>
      </c>
      <c r="C246" t="s">
        <v>44</v>
      </c>
      <c r="D246" t="s">
        <v>21</v>
      </c>
      <c r="E246" t="s">
        <v>18</v>
      </c>
      <c r="F246">
        <v>43747</v>
      </c>
      <c r="G246">
        <v>48854</v>
      </c>
      <c r="H246">
        <v>3725</v>
      </c>
      <c r="I246">
        <v>518</v>
      </c>
      <c r="J246">
        <v>555</v>
      </c>
      <c r="K246">
        <v>583</v>
      </c>
      <c r="L246">
        <v>0</v>
      </c>
      <c r="M246">
        <v>546</v>
      </c>
      <c r="N246" s="1">
        <v>0.39583333333333331</v>
      </c>
      <c r="O246" t="s">
        <v>34</v>
      </c>
    </row>
    <row r="247" spans="1:15" x14ac:dyDescent="0.3">
      <c r="A247" t="s">
        <v>288</v>
      </c>
      <c r="B247">
        <v>20260922</v>
      </c>
      <c r="C247" t="s">
        <v>16</v>
      </c>
      <c r="D247" t="s">
        <v>33</v>
      </c>
      <c r="E247" t="s">
        <v>46</v>
      </c>
      <c r="F247">
        <v>39026</v>
      </c>
      <c r="G247">
        <v>57706</v>
      </c>
      <c r="H247">
        <v>1254</v>
      </c>
      <c r="I247">
        <v>44</v>
      </c>
      <c r="J247">
        <v>73</v>
      </c>
      <c r="K247">
        <v>147</v>
      </c>
      <c r="L247">
        <v>31163</v>
      </c>
      <c r="M247">
        <v>53</v>
      </c>
      <c r="N247" s="1">
        <v>0.34375</v>
      </c>
      <c r="O247" t="s">
        <v>53</v>
      </c>
    </row>
    <row r="248" spans="1:15" x14ac:dyDescent="0.3">
      <c r="A248" t="s">
        <v>289</v>
      </c>
      <c r="B248">
        <v>20251229</v>
      </c>
      <c r="C248" t="s">
        <v>16</v>
      </c>
      <c r="D248" t="s">
        <v>68</v>
      </c>
      <c r="E248" t="s">
        <v>26</v>
      </c>
      <c r="F248">
        <v>7433</v>
      </c>
      <c r="G248">
        <v>10608</v>
      </c>
      <c r="H248">
        <v>542</v>
      </c>
      <c r="J248">
        <v>69</v>
      </c>
      <c r="K248">
        <v>25</v>
      </c>
      <c r="L248">
        <v>4446</v>
      </c>
      <c r="M248">
        <v>109</v>
      </c>
      <c r="N248" s="1">
        <v>0.71875</v>
      </c>
      <c r="O248" t="s">
        <v>30</v>
      </c>
    </row>
    <row r="249" spans="1:15" x14ac:dyDescent="0.3">
      <c r="A249" t="s">
        <v>290</v>
      </c>
      <c r="B249">
        <v>20251015</v>
      </c>
      <c r="C249" t="s">
        <v>32</v>
      </c>
      <c r="D249" t="s">
        <v>21</v>
      </c>
      <c r="E249" t="s">
        <v>41</v>
      </c>
      <c r="F249">
        <v>15875</v>
      </c>
      <c r="G249">
        <v>19882</v>
      </c>
      <c r="H249">
        <v>1897</v>
      </c>
      <c r="I249">
        <v>212</v>
      </c>
      <c r="J249">
        <v>292</v>
      </c>
      <c r="K249">
        <v>295</v>
      </c>
      <c r="L249">
        <v>6984</v>
      </c>
      <c r="M249">
        <v>277</v>
      </c>
      <c r="N249" s="1">
        <v>0.625</v>
      </c>
      <c r="O249" t="s">
        <v>23</v>
      </c>
    </row>
    <row r="250" spans="1:15" x14ac:dyDescent="0.3">
      <c r="A250" t="s">
        <v>291</v>
      </c>
      <c r="B250">
        <v>20260427</v>
      </c>
      <c r="C250" t="s">
        <v>16</v>
      </c>
      <c r="D250" t="s">
        <v>29</v>
      </c>
      <c r="E250" t="s">
        <v>51</v>
      </c>
      <c r="F250">
        <v>11407</v>
      </c>
      <c r="G250">
        <v>16714</v>
      </c>
      <c r="H250">
        <v>1089</v>
      </c>
      <c r="I250">
        <v>34</v>
      </c>
      <c r="J250">
        <v>58</v>
      </c>
      <c r="K250">
        <v>142</v>
      </c>
      <c r="L250">
        <v>0</v>
      </c>
      <c r="M250">
        <v>23</v>
      </c>
      <c r="N250" s="1">
        <v>0.84375</v>
      </c>
      <c r="O250" t="s">
        <v>30</v>
      </c>
    </row>
    <row r="251" spans="1:15" x14ac:dyDescent="0.3">
      <c r="A251" t="s">
        <v>292</v>
      </c>
      <c r="B251">
        <v>20250710</v>
      </c>
      <c r="C251" t="s">
        <v>16</v>
      </c>
      <c r="D251" t="s">
        <v>36</v>
      </c>
      <c r="E251" t="s">
        <v>46</v>
      </c>
      <c r="F251">
        <v>17993</v>
      </c>
      <c r="G251">
        <v>25932</v>
      </c>
      <c r="H251">
        <v>902</v>
      </c>
      <c r="I251">
        <v>27</v>
      </c>
      <c r="J251">
        <v>68</v>
      </c>
      <c r="K251">
        <v>102</v>
      </c>
      <c r="L251">
        <v>8932</v>
      </c>
      <c r="M251">
        <v>249</v>
      </c>
      <c r="N251" s="1">
        <v>0.44791666666666669</v>
      </c>
      <c r="O251" t="s">
        <v>19</v>
      </c>
    </row>
    <row r="252" spans="1:15" x14ac:dyDescent="0.3">
      <c r="A252" t="s">
        <v>293</v>
      </c>
      <c r="B252">
        <v>20251226</v>
      </c>
      <c r="C252" t="s">
        <v>25</v>
      </c>
      <c r="D252" t="s">
        <v>33</v>
      </c>
      <c r="E252" t="s">
        <v>41</v>
      </c>
      <c r="F252">
        <v>12531</v>
      </c>
      <c r="G252">
        <v>13213</v>
      </c>
      <c r="H252">
        <v>515</v>
      </c>
      <c r="I252">
        <v>35</v>
      </c>
      <c r="J252">
        <v>36</v>
      </c>
      <c r="K252">
        <v>59</v>
      </c>
      <c r="L252">
        <v>6963</v>
      </c>
      <c r="M252">
        <v>56</v>
      </c>
      <c r="N252" s="1">
        <v>0.34375</v>
      </c>
      <c r="O252" t="s">
        <v>23</v>
      </c>
    </row>
    <row r="253" spans="1:15" x14ac:dyDescent="0.3">
      <c r="A253" t="s">
        <v>294</v>
      </c>
      <c r="B253">
        <v>20250110</v>
      </c>
      <c r="C253" t="s">
        <v>40</v>
      </c>
      <c r="D253" t="s">
        <v>61</v>
      </c>
      <c r="E253" t="s">
        <v>26</v>
      </c>
      <c r="F253">
        <v>11685</v>
      </c>
      <c r="G253">
        <v>15612</v>
      </c>
      <c r="H253">
        <v>436</v>
      </c>
      <c r="I253">
        <v>28</v>
      </c>
      <c r="J253">
        <v>84</v>
      </c>
      <c r="K253">
        <v>53</v>
      </c>
      <c r="L253">
        <v>10476</v>
      </c>
      <c r="M253">
        <v>183</v>
      </c>
      <c r="N253" s="1">
        <v>0.57291666666666663</v>
      </c>
      <c r="O253" t="s">
        <v>38</v>
      </c>
    </row>
    <row r="254" spans="1:15" x14ac:dyDescent="0.3">
      <c r="A254" t="s">
        <v>295</v>
      </c>
      <c r="B254">
        <v>20260307</v>
      </c>
      <c r="C254" t="s">
        <v>40</v>
      </c>
      <c r="D254" t="s">
        <v>68</v>
      </c>
      <c r="E254" t="s">
        <v>26</v>
      </c>
      <c r="F254">
        <v>24935</v>
      </c>
      <c r="G254">
        <v>41048</v>
      </c>
      <c r="H254">
        <v>2838</v>
      </c>
      <c r="I254">
        <v>387</v>
      </c>
      <c r="J254">
        <v>338</v>
      </c>
      <c r="K254">
        <v>210</v>
      </c>
      <c r="L254">
        <v>11569</v>
      </c>
      <c r="M254">
        <v>391</v>
      </c>
      <c r="N254" s="1">
        <v>0.79166666666666663</v>
      </c>
      <c r="O254" t="s">
        <v>49</v>
      </c>
    </row>
    <row r="255" spans="1:15" x14ac:dyDescent="0.3">
      <c r="A255" t="s">
        <v>296</v>
      </c>
      <c r="B255">
        <v>20251116</v>
      </c>
      <c r="C255" t="s">
        <v>44</v>
      </c>
      <c r="D255" t="s">
        <v>33</v>
      </c>
      <c r="E255" t="s">
        <v>26</v>
      </c>
      <c r="F255">
        <v>17588</v>
      </c>
      <c r="G255">
        <v>28058</v>
      </c>
      <c r="H255">
        <v>580</v>
      </c>
      <c r="I255">
        <v>24</v>
      </c>
      <c r="J255">
        <v>82</v>
      </c>
      <c r="K255">
        <v>40</v>
      </c>
      <c r="L255">
        <v>6929</v>
      </c>
      <c r="M255">
        <v>288</v>
      </c>
      <c r="N255" s="1">
        <v>0.47916666666666669</v>
      </c>
      <c r="O255" t="s">
        <v>38</v>
      </c>
    </row>
    <row r="256" spans="1:15" x14ac:dyDescent="0.3">
      <c r="A256" t="s">
        <v>297</v>
      </c>
      <c r="B256">
        <v>20260809</v>
      </c>
      <c r="C256" t="s">
        <v>16</v>
      </c>
      <c r="D256" t="s">
        <v>29</v>
      </c>
      <c r="E256" t="s">
        <v>26</v>
      </c>
      <c r="F256">
        <v>23442</v>
      </c>
      <c r="G256">
        <v>36685</v>
      </c>
      <c r="H256">
        <v>1628</v>
      </c>
      <c r="I256">
        <v>186</v>
      </c>
      <c r="J256">
        <v>235</v>
      </c>
      <c r="K256">
        <v>208</v>
      </c>
      <c r="L256">
        <v>18436</v>
      </c>
      <c r="M256">
        <v>194</v>
      </c>
      <c r="N256" s="1">
        <v>0.67708333333333337</v>
      </c>
      <c r="O256" t="s">
        <v>47</v>
      </c>
    </row>
    <row r="257" spans="1:15" x14ac:dyDescent="0.3">
      <c r="A257" t="s">
        <v>298</v>
      </c>
      <c r="B257">
        <v>20260303</v>
      </c>
      <c r="C257" t="s">
        <v>16</v>
      </c>
      <c r="D257" t="s">
        <v>68</v>
      </c>
      <c r="E257" t="s">
        <v>22</v>
      </c>
      <c r="F257">
        <v>22483</v>
      </c>
      <c r="G257">
        <v>27840</v>
      </c>
      <c r="H257">
        <v>2297</v>
      </c>
      <c r="I257">
        <v>194</v>
      </c>
      <c r="J257">
        <v>285</v>
      </c>
      <c r="K257">
        <v>51</v>
      </c>
      <c r="L257">
        <v>0</v>
      </c>
      <c r="M257">
        <v>310</v>
      </c>
      <c r="N257" s="1">
        <v>0.92708333333333337</v>
      </c>
      <c r="O257" t="s">
        <v>23</v>
      </c>
    </row>
    <row r="258" spans="1:15" x14ac:dyDescent="0.3">
      <c r="A258" t="s">
        <v>299</v>
      </c>
      <c r="B258">
        <v>20251127</v>
      </c>
      <c r="C258" t="s">
        <v>40</v>
      </c>
      <c r="D258" t="s">
        <v>21</v>
      </c>
      <c r="E258" t="s">
        <v>51</v>
      </c>
      <c r="F258">
        <v>23927</v>
      </c>
      <c r="G258">
        <v>30523</v>
      </c>
      <c r="H258">
        <v>2310</v>
      </c>
      <c r="I258">
        <v>192</v>
      </c>
      <c r="J258">
        <v>170</v>
      </c>
      <c r="K258">
        <v>285</v>
      </c>
      <c r="L258">
        <v>0</v>
      </c>
      <c r="M258">
        <v>278</v>
      </c>
      <c r="N258" s="1">
        <v>0.4375</v>
      </c>
      <c r="O258" t="s">
        <v>19</v>
      </c>
    </row>
    <row r="259" spans="1:15" x14ac:dyDescent="0.3">
      <c r="A259" t="s">
        <v>300</v>
      </c>
      <c r="B259">
        <v>20250510</v>
      </c>
      <c r="C259" t="s">
        <v>40</v>
      </c>
      <c r="D259" t="s">
        <v>68</v>
      </c>
      <c r="E259" t="s">
        <v>22</v>
      </c>
      <c r="F259">
        <v>15413</v>
      </c>
      <c r="G259">
        <v>23429</v>
      </c>
      <c r="H259">
        <v>1009</v>
      </c>
      <c r="I259">
        <v>50</v>
      </c>
      <c r="J259">
        <v>44</v>
      </c>
      <c r="K259">
        <v>156</v>
      </c>
      <c r="L259">
        <v>0</v>
      </c>
      <c r="M259">
        <v>27</v>
      </c>
      <c r="N259" s="1">
        <v>0.30208333333333331</v>
      </c>
      <c r="O259" t="s">
        <v>38</v>
      </c>
    </row>
    <row r="260" spans="1:15" x14ac:dyDescent="0.3">
      <c r="A260" t="s">
        <v>301</v>
      </c>
      <c r="B260">
        <v>20251102</v>
      </c>
      <c r="C260" t="s">
        <v>25</v>
      </c>
      <c r="D260" t="s">
        <v>36</v>
      </c>
      <c r="E260" t="s">
        <v>46</v>
      </c>
      <c r="F260">
        <v>32518</v>
      </c>
      <c r="G260">
        <v>38619</v>
      </c>
      <c r="H260">
        <v>3820</v>
      </c>
      <c r="I260">
        <v>454</v>
      </c>
      <c r="J260">
        <v>412</v>
      </c>
      <c r="K260">
        <v>609</v>
      </c>
      <c r="L260">
        <v>21459</v>
      </c>
      <c r="M260">
        <v>192</v>
      </c>
      <c r="N260" s="1">
        <v>0.65625</v>
      </c>
      <c r="O260" t="s">
        <v>19</v>
      </c>
    </row>
    <row r="261" spans="1:15" x14ac:dyDescent="0.3">
      <c r="A261" t="s">
        <v>302</v>
      </c>
      <c r="B261">
        <v>20250203</v>
      </c>
      <c r="C261" t="s">
        <v>16</v>
      </c>
      <c r="D261" t="s">
        <v>33</v>
      </c>
      <c r="E261" t="s">
        <v>51</v>
      </c>
      <c r="F261">
        <v>16051</v>
      </c>
      <c r="G261">
        <v>23643</v>
      </c>
      <c r="H261">
        <v>753</v>
      </c>
      <c r="I261">
        <v>99</v>
      </c>
      <c r="J261">
        <v>96</v>
      </c>
      <c r="K261">
        <v>53</v>
      </c>
      <c r="L261">
        <v>0</v>
      </c>
      <c r="M261">
        <v>21</v>
      </c>
      <c r="N261" s="1">
        <v>0.91666666666666663</v>
      </c>
      <c r="O261" t="s">
        <v>30</v>
      </c>
    </row>
    <row r="262" spans="1:15" x14ac:dyDescent="0.3">
      <c r="A262" t="s">
        <v>303</v>
      </c>
      <c r="B262">
        <v>20250212</v>
      </c>
      <c r="C262" t="s">
        <v>25</v>
      </c>
      <c r="D262" t="s">
        <v>68</v>
      </c>
      <c r="E262" t="s">
        <v>18</v>
      </c>
      <c r="F262">
        <v>9097</v>
      </c>
      <c r="G262">
        <v>12687</v>
      </c>
      <c r="H262">
        <v>246</v>
      </c>
      <c r="I262">
        <v>18</v>
      </c>
      <c r="J262">
        <v>28</v>
      </c>
      <c r="K262">
        <v>22</v>
      </c>
      <c r="L262">
        <v>0</v>
      </c>
      <c r="M262">
        <v>152</v>
      </c>
      <c r="N262" s="1">
        <v>0.67708333333333337</v>
      </c>
    </row>
    <row r="263" spans="1:15" x14ac:dyDescent="0.3">
      <c r="A263" t="s">
        <v>304</v>
      </c>
      <c r="B263">
        <v>20250910</v>
      </c>
      <c r="C263" t="s">
        <v>44</v>
      </c>
      <c r="D263" t="s">
        <v>33</v>
      </c>
      <c r="E263" t="s">
        <v>51</v>
      </c>
      <c r="F263">
        <v>204612</v>
      </c>
      <c r="G263">
        <v>298740</v>
      </c>
      <c r="H263">
        <v>14544</v>
      </c>
      <c r="I263">
        <v>606</v>
      </c>
      <c r="J263">
        <v>2538</v>
      </c>
      <c r="K263">
        <v>2246</v>
      </c>
      <c r="L263">
        <v>0</v>
      </c>
      <c r="M263">
        <v>3184</v>
      </c>
      <c r="N263" s="1">
        <v>0.94791666666666663</v>
      </c>
      <c r="O263" t="s">
        <v>23</v>
      </c>
    </row>
    <row r="264" spans="1:15" x14ac:dyDescent="0.3">
      <c r="A264" t="s">
        <v>305</v>
      </c>
      <c r="B264">
        <v>20250101</v>
      </c>
      <c r="C264" t="s">
        <v>16</v>
      </c>
      <c r="D264" t="s">
        <v>33</v>
      </c>
      <c r="E264" t="s">
        <v>22</v>
      </c>
      <c r="F264">
        <v>22244</v>
      </c>
      <c r="G264">
        <v>24049</v>
      </c>
      <c r="H264">
        <v>2413</v>
      </c>
      <c r="I264">
        <v>195</v>
      </c>
      <c r="J264">
        <v>390</v>
      </c>
      <c r="K264">
        <v>320</v>
      </c>
      <c r="L264">
        <v>0</v>
      </c>
      <c r="M264">
        <v>149</v>
      </c>
      <c r="N264" s="1">
        <v>0.70833333333333337</v>
      </c>
      <c r="O264" t="s">
        <v>47</v>
      </c>
    </row>
    <row r="265" spans="1:15" x14ac:dyDescent="0.3">
      <c r="A265" t="s">
        <v>306</v>
      </c>
      <c r="B265">
        <v>20250103</v>
      </c>
      <c r="C265" t="s">
        <v>40</v>
      </c>
      <c r="D265" t="s">
        <v>29</v>
      </c>
      <c r="E265" t="s">
        <v>26</v>
      </c>
      <c r="F265">
        <v>9845</v>
      </c>
      <c r="G265">
        <v>14696</v>
      </c>
      <c r="H265">
        <v>708</v>
      </c>
      <c r="I265">
        <v>87</v>
      </c>
      <c r="J265">
        <v>128</v>
      </c>
      <c r="K265">
        <v>107</v>
      </c>
      <c r="L265">
        <v>5443</v>
      </c>
      <c r="M265">
        <v>143</v>
      </c>
      <c r="N265" s="1">
        <v>0.35416666666666669</v>
      </c>
      <c r="O265" t="s">
        <v>42</v>
      </c>
    </row>
    <row r="266" spans="1:15" x14ac:dyDescent="0.3">
      <c r="A266" t="s">
        <v>307</v>
      </c>
      <c r="B266">
        <v>20250525</v>
      </c>
      <c r="C266" t="s">
        <v>32</v>
      </c>
      <c r="D266" t="s">
        <v>21</v>
      </c>
      <c r="E266" t="s">
        <v>46</v>
      </c>
      <c r="F266">
        <v>12830</v>
      </c>
      <c r="G266">
        <v>16200</v>
      </c>
      <c r="H266">
        <v>969</v>
      </c>
      <c r="I266">
        <v>69</v>
      </c>
      <c r="J266">
        <v>171</v>
      </c>
      <c r="K266">
        <v>36</v>
      </c>
      <c r="L266">
        <v>7714</v>
      </c>
      <c r="M266">
        <v>80</v>
      </c>
      <c r="N266" s="1">
        <v>0.73958333333333337</v>
      </c>
      <c r="O266" t="s">
        <v>27</v>
      </c>
    </row>
    <row r="267" spans="1:15" x14ac:dyDescent="0.3">
      <c r="A267" t="s">
        <v>308</v>
      </c>
      <c r="B267">
        <v>20250728</v>
      </c>
      <c r="C267" t="s">
        <v>32</v>
      </c>
      <c r="D267" t="s">
        <v>17</v>
      </c>
      <c r="E267" t="s">
        <v>51</v>
      </c>
      <c r="F267">
        <v>19958</v>
      </c>
      <c r="G267">
        <v>27033</v>
      </c>
      <c r="H267">
        <v>1111</v>
      </c>
      <c r="I267">
        <v>51</v>
      </c>
      <c r="J267">
        <v>220</v>
      </c>
      <c r="K267">
        <v>127</v>
      </c>
      <c r="L267">
        <v>0</v>
      </c>
      <c r="M267">
        <v>300</v>
      </c>
      <c r="N267" s="1">
        <v>0.71875</v>
      </c>
      <c r="O267" t="s">
        <v>34</v>
      </c>
    </row>
    <row r="268" spans="1:15" x14ac:dyDescent="0.3">
      <c r="A268" t="s">
        <v>309</v>
      </c>
      <c r="B268">
        <v>20251120</v>
      </c>
      <c r="C268" t="s">
        <v>44</v>
      </c>
      <c r="D268" t="s">
        <v>17</v>
      </c>
      <c r="E268" t="s">
        <v>26</v>
      </c>
      <c r="F268">
        <v>47236</v>
      </c>
      <c r="G268">
        <v>63556</v>
      </c>
      <c r="H268">
        <v>2148</v>
      </c>
      <c r="I268">
        <v>144</v>
      </c>
      <c r="J268">
        <v>79</v>
      </c>
      <c r="K268">
        <v>223</v>
      </c>
      <c r="L268">
        <v>39458</v>
      </c>
      <c r="M268">
        <v>192</v>
      </c>
      <c r="N268" s="1">
        <v>0.66666666666666663</v>
      </c>
      <c r="O268" t="s">
        <v>49</v>
      </c>
    </row>
    <row r="269" spans="1:15" x14ac:dyDescent="0.3">
      <c r="A269" t="s">
        <v>310</v>
      </c>
      <c r="B269">
        <v>20250625</v>
      </c>
      <c r="C269" t="s">
        <v>25</v>
      </c>
      <c r="D269" t="s">
        <v>21</v>
      </c>
      <c r="E269" t="s">
        <v>26</v>
      </c>
      <c r="F269">
        <v>8598</v>
      </c>
      <c r="G269">
        <v>11714</v>
      </c>
      <c r="H269">
        <v>917</v>
      </c>
      <c r="I269">
        <v>106</v>
      </c>
      <c r="J269">
        <v>33</v>
      </c>
      <c r="K269">
        <v>39</v>
      </c>
      <c r="L269">
        <v>3158</v>
      </c>
      <c r="M269">
        <v>56</v>
      </c>
      <c r="N269" s="1">
        <v>0.54166666666666663</v>
      </c>
      <c r="O269" t="s">
        <v>30</v>
      </c>
    </row>
    <row r="270" spans="1:15" x14ac:dyDescent="0.3">
      <c r="A270" t="s">
        <v>311</v>
      </c>
      <c r="B270">
        <v>20260711</v>
      </c>
      <c r="C270" t="s">
        <v>40</v>
      </c>
      <c r="D270" t="s">
        <v>29</v>
      </c>
      <c r="E270" t="s">
        <v>51</v>
      </c>
      <c r="F270">
        <v>16835</v>
      </c>
      <c r="G270">
        <v>18792</v>
      </c>
      <c r="H270">
        <v>1834</v>
      </c>
      <c r="I270">
        <v>207</v>
      </c>
      <c r="J270">
        <v>343</v>
      </c>
      <c r="K270">
        <v>136</v>
      </c>
      <c r="L270">
        <v>0</v>
      </c>
      <c r="M270">
        <v>297</v>
      </c>
      <c r="N270" s="1">
        <v>0.51041666666666663</v>
      </c>
      <c r="O270" t="s">
        <v>53</v>
      </c>
    </row>
    <row r="271" spans="1:15" x14ac:dyDescent="0.3">
      <c r="A271" t="s">
        <v>312</v>
      </c>
      <c r="B271">
        <v>20250706</v>
      </c>
      <c r="C271" t="s">
        <v>40</v>
      </c>
      <c r="D271" t="s">
        <v>68</v>
      </c>
      <c r="E271" t="s">
        <v>22</v>
      </c>
      <c r="F271">
        <v>16355</v>
      </c>
      <c r="G271">
        <v>20490</v>
      </c>
      <c r="H271">
        <v>1010</v>
      </c>
      <c r="I271">
        <v>42</v>
      </c>
      <c r="J271">
        <v>177</v>
      </c>
      <c r="K271">
        <v>36</v>
      </c>
      <c r="L271">
        <v>0</v>
      </c>
      <c r="M271">
        <v>178</v>
      </c>
      <c r="N271" s="1">
        <v>0.4375</v>
      </c>
      <c r="O271" t="s">
        <v>23</v>
      </c>
    </row>
    <row r="272" spans="1:15" x14ac:dyDescent="0.3">
      <c r="A272" t="s">
        <v>313</v>
      </c>
      <c r="B272">
        <v>20260401</v>
      </c>
      <c r="C272" t="s">
        <v>16</v>
      </c>
      <c r="D272" t="s">
        <v>61</v>
      </c>
      <c r="E272" t="s">
        <v>46</v>
      </c>
      <c r="F272">
        <v>57794</v>
      </c>
      <c r="G272">
        <v>81189</v>
      </c>
      <c r="H272">
        <v>4261</v>
      </c>
      <c r="I272">
        <v>457</v>
      </c>
      <c r="J272">
        <v>249</v>
      </c>
      <c r="K272">
        <v>208</v>
      </c>
      <c r="L272">
        <v>24887</v>
      </c>
      <c r="M272">
        <v>300</v>
      </c>
      <c r="N272" s="1">
        <v>0.39583333333333331</v>
      </c>
      <c r="O272" t="s">
        <v>34</v>
      </c>
    </row>
    <row r="273" spans="1:15" x14ac:dyDescent="0.3">
      <c r="A273" t="s">
        <v>314</v>
      </c>
      <c r="B273">
        <v>20251227</v>
      </c>
      <c r="C273" t="s">
        <v>16</v>
      </c>
      <c r="D273" t="s">
        <v>29</v>
      </c>
      <c r="E273" t="s">
        <v>46</v>
      </c>
      <c r="F273">
        <v>16751</v>
      </c>
      <c r="G273">
        <v>19717</v>
      </c>
      <c r="H273">
        <v>628</v>
      </c>
      <c r="I273">
        <v>35</v>
      </c>
      <c r="J273">
        <v>91</v>
      </c>
      <c r="K273">
        <v>39</v>
      </c>
      <c r="L273">
        <v>12921</v>
      </c>
      <c r="M273">
        <v>241</v>
      </c>
      <c r="N273" s="1">
        <v>0.63541666666666663</v>
      </c>
      <c r="O273" t="s">
        <v>42</v>
      </c>
    </row>
    <row r="274" spans="1:15" x14ac:dyDescent="0.3">
      <c r="A274" t="s">
        <v>315</v>
      </c>
      <c r="B274">
        <v>20260924</v>
      </c>
      <c r="C274" t="s">
        <v>32</v>
      </c>
      <c r="D274" t="s">
        <v>29</v>
      </c>
      <c r="E274" t="s">
        <v>18</v>
      </c>
      <c r="F274">
        <v>30094</v>
      </c>
      <c r="G274">
        <v>37421</v>
      </c>
      <c r="H274">
        <v>2332</v>
      </c>
      <c r="I274">
        <v>121</v>
      </c>
      <c r="J274">
        <v>81</v>
      </c>
      <c r="K274">
        <v>174</v>
      </c>
      <c r="L274">
        <v>0</v>
      </c>
      <c r="M274">
        <v>388</v>
      </c>
      <c r="N274" s="1">
        <v>0.59375</v>
      </c>
      <c r="O274" t="s">
        <v>30</v>
      </c>
    </row>
    <row r="275" spans="1:15" x14ac:dyDescent="0.3">
      <c r="A275" t="s">
        <v>316</v>
      </c>
      <c r="B275">
        <v>20260207</v>
      </c>
      <c r="C275" t="s">
        <v>16</v>
      </c>
      <c r="D275" t="s">
        <v>61</v>
      </c>
      <c r="E275" t="s">
        <v>22</v>
      </c>
      <c r="F275">
        <v>17174</v>
      </c>
      <c r="G275">
        <v>18435</v>
      </c>
      <c r="H275">
        <v>2046</v>
      </c>
      <c r="I275">
        <v>143</v>
      </c>
      <c r="J275">
        <v>203</v>
      </c>
      <c r="K275">
        <v>69</v>
      </c>
      <c r="L275">
        <v>0</v>
      </c>
      <c r="M275">
        <v>128</v>
      </c>
      <c r="N275" s="1">
        <v>0.53125</v>
      </c>
      <c r="O275" t="s">
        <v>38</v>
      </c>
    </row>
    <row r="276" spans="1:15" x14ac:dyDescent="0.3">
      <c r="A276" t="s">
        <v>317</v>
      </c>
      <c r="B276">
        <v>20260919</v>
      </c>
      <c r="C276" t="s">
        <v>40</v>
      </c>
      <c r="E276" t="s">
        <v>18</v>
      </c>
      <c r="F276">
        <v>33232</v>
      </c>
      <c r="G276">
        <v>46404</v>
      </c>
      <c r="H276">
        <v>2146</v>
      </c>
      <c r="I276">
        <v>298</v>
      </c>
      <c r="J276">
        <v>195</v>
      </c>
      <c r="K276">
        <v>340</v>
      </c>
      <c r="L276">
        <v>0</v>
      </c>
      <c r="M276">
        <v>50</v>
      </c>
      <c r="N276" s="1">
        <v>0.625</v>
      </c>
      <c r="O276" t="s">
        <v>19</v>
      </c>
    </row>
    <row r="277" spans="1:15" x14ac:dyDescent="0.3">
      <c r="A277" t="s">
        <v>318</v>
      </c>
      <c r="B277">
        <v>20250616</v>
      </c>
      <c r="C277" t="s">
        <v>44</v>
      </c>
      <c r="D277" t="s">
        <v>61</v>
      </c>
      <c r="E277" t="s">
        <v>51</v>
      </c>
      <c r="F277">
        <v>30267</v>
      </c>
      <c r="G277">
        <v>43691</v>
      </c>
      <c r="H277">
        <v>1324</v>
      </c>
      <c r="I277">
        <v>174</v>
      </c>
      <c r="J277">
        <v>199</v>
      </c>
      <c r="K277">
        <v>170</v>
      </c>
      <c r="L277">
        <v>0</v>
      </c>
      <c r="M277">
        <v>120</v>
      </c>
      <c r="N277" s="1">
        <v>0.47916666666666669</v>
      </c>
      <c r="O277" t="s">
        <v>47</v>
      </c>
    </row>
    <row r="278" spans="1:15" x14ac:dyDescent="0.3">
      <c r="A278" t="s">
        <v>319</v>
      </c>
      <c r="B278">
        <v>20260204</v>
      </c>
      <c r="C278" t="s">
        <v>16</v>
      </c>
      <c r="D278" t="s">
        <v>21</v>
      </c>
      <c r="E278" t="s">
        <v>51</v>
      </c>
      <c r="F278">
        <v>24538</v>
      </c>
      <c r="G278">
        <v>27725</v>
      </c>
      <c r="H278">
        <v>1460</v>
      </c>
      <c r="I278">
        <v>57</v>
      </c>
      <c r="J278">
        <v>179</v>
      </c>
      <c r="K278">
        <v>101</v>
      </c>
      <c r="L278">
        <v>0</v>
      </c>
      <c r="M278">
        <v>273</v>
      </c>
      <c r="N278" s="1">
        <v>0.45833333333333331</v>
      </c>
      <c r="O278" t="s">
        <v>23</v>
      </c>
    </row>
    <row r="279" spans="1:15" x14ac:dyDescent="0.3">
      <c r="A279" t="s">
        <v>320</v>
      </c>
      <c r="B279">
        <v>20251212</v>
      </c>
      <c r="C279" t="s">
        <v>44</v>
      </c>
      <c r="D279" t="s">
        <v>68</v>
      </c>
      <c r="E279" t="s">
        <v>41</v>
      </c>
      <c r="F279">
        <v>104606</v>
      </c>
      <c r="G279">
        <v>161260</v>
      </c>
      <c r="H279">
        <v>5843</v>
      </c>
      <c r="I279">
        <v>633</v>
      </c>
      <c r="J279">
        <v>728</v>
      </c>
      <c r="K279">
        <v>862</v>
      </c>
      <c r="L279">
        <v>74029</v>
      </c>
      <c r="M279">
        <v>639</v>
      </c>
      <c r="N279" s="1">
        <v>0.41666666666666669</v>
      </c>
      <c r="O279" t="s">
        <v>49</v>
      </c>
    </row>
    <row r="280" spans="1:15" x14ac:dyDescent="0.3">
      <c r="A280" t="s">
        <v>321</v>
      </c>
      <c r="B280">
        <v>20251010</v>
      </c>
      <c r="C280" t="s">
        <v>25</v>
      </c>
      <c r="D280" t="s">
        <v>17</v>
      </c>
      <c r="E280" t="s">
        <v>41</v>
      </c>
      <c r="F280">
        <v>26511</v>
      </c>
      <c r="G280">
        <v>39981</v>
      </c>
      <c r="H280">
        <v>2338</v>
      </c>
      <c r="I280">
        <v>140</v>
      </c>
      <c r="J280">
        <v>106</v>
      </c>
      <c r="K280">
        <v>161</v>
      </c>
      <c r="L280">
        <v>12472</v>
      </c>
      <c r="M280">
        <v>177</v>
      </c>
      <c r="N280" s="1">
        <v>0.92708333333333337</v>
      </c>
      <c r="O280" t="s">
        <v>30</v>
      </c>
    </row>
    <row r="281" spans="1:15" x14ac:dyDescent="0.3">
      <c r="A281" t="s">
        <v>322</v>
      </c>
      <c r="B281">
        <v>20250907</v>
      </c>
      <c r="C281" t="s">
        <v>44</v>
      </c>
      <c r="D281" t="s">
        <v>61</v>
      </c>
      <c r="E281" t="s">
        <v>51</v>
      </c>
      <c r="F281">
        <v>52872</v>
      </c>
      <c r="G281">
        <v>63404</v>
      </c>
      <c r="H281">
        <v>3832</v>
      </c>
      <c r="I281">
        <v>176</v>
      </c>
      <c r="J281">
        <v>248</v>
      </c>
      <c r="K281">
        <v>405</v>
      </c>
      <c r="L281">
        <v>0</v>
      </c>
      <c r="M281">
        <v>883</v>
      </c>
      <c r="N281" s="1">
        <v>0.32291666666666669</v>
      </c>
      <c r="O281" t="s">
        <v>19</v>
      </c>
    </row>
    <row r="282" spans="1:15" x14ac:dyDescent="0.3">
      <c r="A282" t="s">
        <v>323</v>
      </c>
      <c r="B282">
        <v>20250202</v>
      </c>
      <c r="C282" t="s">
        <v>32</v>
      </c>
      <c r="D282" t="s">
        <v>17</v>
      </c>
      <c r="E282" t="s">
        <v>18</v>
      </c>
      <c r="F282">
        <v>4417</v>
      </c>
      <c r="G282">
        <v>5412</v>
      </c>
      <c r="H282">
        <v>232</v>
      </c>
      <c r="I282">
        <v>29</v>
      </c>
      <c r="J282">
        <v>13</v>
      </c>
      <c r="K282">
        <v>21</v>
      </c>
      <c r="L282">
        <v>0</v>
      </c>
      <c r="M282">
        <v>75</v>
      </c>
      <c r="N282" s="1">
        <v>0.53125</v>
      </c>
      <c r="O282" t="s">
        <v>42</v>
      </c>
    </row>
    <row r="283" spans="1:15" x14ac:dyDescent="0.3">
      <c r="A283" t="s">
        <v>324</v>
      </c>
      <c r="B283">
        <v>20250823</v>
      </c>
      <c r="C283" t="s">
        <v>44</v>
      </c>
      <c r="D283" t="s">
        <v>61</v>
      </c>
      <c r="E283" t="s">
        <v>26</v>
      </c>
      <c r="F283">
        <v>19289</v>
      </c>
      <c r="G283">
        <v>21398</v>
      </c>
      <c r="H283">
        <v>1011</v>
      </c>
      <c r="I283">
        <v>91</v>
      </c>
      <c r="J283">
        <v>130</v>
      </c>
      <c r="K283">
        <v>120</v>
      </c>
      <c r="L283">
        <v>12565</v>
      </c>
      <c r="M283">
        <v>262</v>
      </c>
      <c r="N283" s="1">
        <v>0.47916666666666669</v>
      </c>
      <c r="O283" t="s">
        <v>42</v>
      </c>
    </row>
    <row r="284" spans="1:15" x14ac:dyDescent="0.3">
      <c r="A284" t="s">
        <v>325</v>
      </c>
      <c r="B284">
        <v>20250621</v>
      </c>
      <c r="C284" t="s">
        <v>25</v>
      </c>
      <c r="D284" t="s">
        <v>36</v>
      </c>
      <c r="E284" t="s">
        <v>26</v>
      </c>
      <c r="F284">
        <v>9907</v>
      </c>
      <c r="G284">
        <v>12770</v>
      </c>
      <c r="H284">
        <v>580</v>
      </c>
      <c r="I284">
        <v>32</v>
      </c>
      <c r="J284">
        <v>54</v>
      </c>
      <c r="K284">
        <v>68</v>
      </c>
      <c r="L284">
        <v>5686</v>
      </c>
      <c r="M284">
        <v>114</v>
      </c>
      <c r="N284" s="1">
        <v>0.38541666666666669</v>
      </c>
      <c r="O284" t="s">
        <v>53</v>
      </c>
    </row>
    <row r="285" spans="1:15" x14ac:dyDescent="0.3">
      <c r="A285" t="s">
        <v>326</v>
      </c>
      <c r="B285">
        <v>20251231</v>
      </c>
      <c r="C285" t="s">
        <v>40</v>
      </c>
      <c r="D285" t="s">
        <v>33</v>
      </c>
      <c r="E285" t="s">
        <v>22</v>
      </c>
      <c r="F285">
        <v>15809</v>
      </c>
      <c r="G285">
        <v>19979</v>
      </c>
      <c r="H285">
        <v>1721</v>
      </c>
      <c r="I285">
        <v>129</v>
      </c>
      <c r="J285">
        <v>243</v>
      </c>
      <c r="K285">
        <v>185</v>
      </c>
      <c r="L285">
        <v>0</v>
      </c>
      <c r="M285">
        <v>271</v>
      </c>
      <c r="N285" s="1">
        <v>0.58333333333333337</v>
      </c>
      <c r="O285" t="s">
        <v>19</v>
      </c>
    </row>
    <row r="286" spans="1:15" x14ac:dyDescent="0.3">
      <c r="A286" t="s">
        <v>327</v>
      </c>
      <c r="B286">
        <v>20260807</v>
      </c>
      <c r="C286" t="s">
        <v>44</v>
      </c>
      <c r="D286" t="s">
        <v>17</v>
      </c>
      <c r="E286" t="s">
        <v>26</v>
      </c>
      <c r="F286">
        <v>15046</v>
      </c>
      <c r="G286">
        <v>21438</v>
      </c>
      <c r="H286">
        <v>655</v>
      </c>
      <c r="I286">
        <v>74</v>
      </c>
      <c r="K286">
        <v>50</v>
      </c>
      <c r="L286">
        <v>10495</v>
      </c>
      <c r="M286">
        <v>172</v>
      </c>
      <c r="N286" s="1">
        <v>0.57291666666666663</v>
      </c>
      <c r="O286" t="s">
        <v>34</v>
      </c>
    </row>
    <row r="287" spans="1:15" x14ac:dyDescent="0.3">
      <c r="A287" t="s">
        <v>328</v>
      </c>
      <c r="B287">
        <v>20260811</v>
      </c>
      <c r="C287" t="s">
        <v>44</v>
      </c>
      <c r="D287" t="s">
        <v>61</v>
      </c>
      <c r="E287" t="s">
        <v>26</v>
      </c>
      <c r="F287">
        <v>21060</v>
      </c>
      <c r="G287">
        <v>27589</v>
      </c>
      <c r="H287">
        <v>2004</v>
      </c>
      <c r="I287">
        <v>175</v>
      </c>
      <c r="J287">
        <v>69</v>
      </c>
      <c r="K287">
        <v>263</v>
      </c>
      <c r="L287">
        <v>8483</v>
      </c>
      <c r="M287">
        <v>304</v>
      </c>
      <c r="N287" s="1">
        <v>0.40625</v>
      </c>
      <c r="O287" t="s">
        <v>34</v>
      </c>
    </row>
    <row r="288" spans="1:15" x14ac:dyDescent="0.3">
      <c r="A288" t="s">
        <v>329</v>
      </c>
      <c r="B288">
        <v>20250104</v>
      </c>
      <c r="C288" t="s">
        <v>32</v>
      </c>
      <c r="D288" t="s">
        <v>21</v>
      </c>
      <c r="E288" t="s">
        <v>26</v>
      </c>
      <c r="F288">
        <v>9574</v>
      </c>
      <c r="G288">
        <v>15063</v>
      </c>
      <c r="H288">
        <v>692</v>
      </c>
      <c r="I288">
        <v>52</v>
      </c>
      <c r="J288">
        <v>87</v>
      </c>
      <c r="K288">
        <v>74</v>
      </c>
      <c r="L288">
        <v>5517</v>
      </c>
      <c r="M288">
        <v>130</v>
      </c>
      <c r="N288" s="1">
        <v>0.30208333333333331</v>
      </c>
      <c r="O288" t="s">
        <v>23</v>
      </c>
    </row>
    <row r="289" spans="1:15" x14ac:dyDescent="0.3">
      <c r="A289" t="s">
        <v>330</v>
      </c>
      <c r="B289">
        <v>20260407</v>
      </c>
      <c r="C289" t="s">
        <v>16</v>
      </c>
      <c r="D289" t="s">
        <v>17</v>
      </c>
      <c r="E289" t="s">
        <v>46</v>
      </c>
      <c r="F289">
        <v>27177</v>
      </c>
      <c r="G289">
        <v>36714</v>
      </c>
      <c r="H289">
        <v>1568</v>
      </c>
      <c r="I289">
        <v>217</v>
      </c>
      <c r="J289">
        <v>205</v>
      </c>
      <c r="K289">
        <v>81</v>
      </c>
      <c r="L289">
        <v>23481</v>
      </c>
      <c r="M289">
        <v>190</v>
      </c>
      <c r="N289" s="1">
        <v>0.92708333333333337</v>
      </c>
      <c r="O289" t="s">
        <v>23</v>
      </c>
    </row>
    <row r="290" spans="1:15" x14ac:dyDescent="0.3">
      <c r="A290" t="s">
        <v>331</v>
      </c>
      <c r="B290">
        <v>20260905</v>
      </c>
      <c r="C290" t="s">
        <v>16</v>
      </c>
      <c r="D290" t="s">
        <v>17</v>
      </c>
      <c r="E290" t="s">
        <v>51</v>
      </c>
      <c r="F290">
        <v>5385</v>
      </c>
      <c r="G290">
        <v>6324</v>
      </c>
      <c r="H290">
        <v>645</v>
      </c>
      <c r="I290">
        <v>23</v>
      </c>
      <c r="J290">
        <v>22</v>
      </c>
      <c r="K290">
        <v>92</v>
      </c>
      <c r="L290">
        <v>0</v>
      </c>
      <c r="M290">
        <v>81</v>
      </c>
      <c r="N290" s="1">
        <v>0.625</v>
      </c>
      <c r="O290" t="s">
        <v>27</v>
      </c>
    </row>
    <row r="291" spans="1:15" x14ac:dyDescent="0.3">
      <c r="A291" t="s">
        <v>332</v>
      </c>
      <c r="B291">
        <v>20260820</v>
      </c>
      <c r="C291" t="s">
        <v>44</v>
      </c>
      <c r="D291" t="s">
        <v>21</v>
      </c>
      <c r="E291" t="s">
        <v>26</v>
      </c>
      <c r="F291">
        <v>33855</v>
      </c>
      <c r="G291">
        <v>37742</v>
      </c>
      <c r="H291">
        <v>3417</v>
      </c>
      <c r="I291">
        <v>380</v>
      </c>
      <c r="J291">
        <v>418</v>
      </c>
      <c r="K291">
        <v>350</v>
      </c>
      <c r="L291">
        <v>16005</v>
      </c>
      <c r="M291">
        <v>423</v>
      </c>
      <c r="N291" s="1">
        <v>0.85416666666666663</v>
      </c>
      <c r="O291" t="s">
        <v>38</v>
      </c>
    </row>
    <row r="292" spans="1:15" x14ac:dyDescent="0.3">
      <c r="A292" t="s">
        <v>333</v>
      </c>
      <c r="B292">
        <v>20260515</v>
      </c>
      <c r="C292" t="s">
        <v>25</v>
      </c>
      <c r="D292" t="s">
        <v>21</v>
      </c>
      <c r="E292" t="s">
        <v>18</v>
      </c>
      <c r="F292">
        <v>7062</v>
      </c>
      <c r="G292">
        <v>11224</v>
      </c>
      <c r="H292">
        <v>801</v>
      </c>
      <c r="I292">
        <v>44</v>
      </c>
      <c r="J292">
        <v>113</v>
      </c>
      <c r="K292">
        <v>121</v>
      </c>
      <c r="L292">
        <v>0</v>
      </c>
      <c r="M292">
        <v>96</v>
      </c>
      <c r="N292" s="1">
        <v>0.63541666666666663</v>
      </c>
      <c r="O292" t="s">
        <v>49</v>
      </c>
    </row>
    <row r="293" spans="1:15" x14ac:dyDescent="0.3">
      <c r="A293" t="s">
        <v>334</v>
      </c>
      <c r="B293">
        <v>20250721</v>
      </c>
      <c r="C293" t="s">
        <v>44</v>
      </c>
      <c r="D293" t="s">
        <v>21</v>
      </c>
      <c r="E293" t="s">
        <v>18</v>
      </c>
      <c r="F293">
        <v>24340</v>
      </c>
      <c r="G293">
        <v>31227</v>
      </c>
      <c r="H293">
        <v>2280</v>
      </c>
      <c r="I293">
        <v>258</v>
      </c>
      <c r="J293">
        <v>237</v>
      </c>
      <c r="K293">
        <v>233</v>
      </c>
      <c r="L293">
        <v>0</v>
      </c>
      <c r="M293">
        <v>325</v>
      </c>
      <c r="N293" s="1">
        <v>0.45833333333333331</v>
      </c>
      <c r="O293" t="s">
        <v>49</v>
      </c>
    </row>
    <row r="294" spans="1:15" x14ac:dyDescent="0.3">
      <c r="A294" t="s">
        <v>335</v>
      </c>
      <c r="B294">
        <v>20250619</v>
      </c>
      <c r="C294" t="s">
        <v>16</v>
      </c>
      <c r="D294" t="s">
        <v>17</v>
      </c>
      <c r="E294" t="s">
        <v>51</v>
      </c>
      <c r="F294">
        <v>22500</v>
      </c>
      <c r="G294">
        <v>27222</v>
      </c>
      <c r="H294">
        <v>1125</v>
      </c>
      <c r="I294">
        <v>75</v>
      </c>
      <c r="J294">
        <v>78</v>
      </c>
      <c r="K294">
        <v>93</v>
      </c>
      <c r="L294">
        <v>0</v>
      </c>
      <c r="M294">
        <v>238</v>
      </c>
      <c r="N294" s="1">
        <v>0.625</v>
      </c>
      <c r="O294" t="s">
        <v>27</v>
      </c>
    </row>
    <row r="295" spans="1:15" x14ac:dyDescent="0.3">
      <c r="A295" t="s">
        <v>336</v>
      </c>
      <c r="B295">
        <v>20250527</v>
      </c>
      <c r="C295" t="s">
        <v>40</v>
      </c>
      <c r="D295" t="s">
        <v>21</v>
      </c>
      <c r="E295" t="s">
        <v>18</v>
      </c>
      <c r="F295">
        <v>14598</v>
      </c>
      <c r="G295">
        <v>19122</v>
      </c>
      <c r="H295">
        <v>579</v>
      </c>
      <c r="I295">
        <v>32</v>
      </c>
      <c r="J295">
        <v>84</v>
      </c>
      <c r="K295">
        <v>28</v>
      </c>
      <c r="L295">
        <v>0</v>
      </c>
      <c r="M295">
        <v>33</v>
      </c>
      <c r="N295" s="1">
        <v>0.64583333333333337</v>
      </c>
      <c r="O295" t="s">
        <v>38</v>
      </c>
    </row>
    <row r="296" spans="1:15" x14ac:dyDescent="0.3">
      <c r="A296" t="s">
        <v>337</v>
      </c>
      <c r="B296">
        <v>20250405</v>
      </c>
      <c r="C296" t="s">
        <v>32</v>
      </c>
      <c r="D296" t="s">
        <v>33</v>
      </c>
      <c r="E296" t="s">
        <v>51</v>
      </c>
      <c r="F296">
        <v>20693</v>
      </c>
      <c r="G296">
        <v>30972</v>
      </c>
      <c r="H296">
        <v>1425</v>
      </c>
      <c r="I296">
        <v>160</v>
      </c>
      <c r="J296">
        <v>43</v>
      </c>
      <c r="K296">
        <v>196</v>
      </c>
      <c r="L296">
        <v>0</v>
      </c>
      <c r="M296">
        <v>184</v>
      </c>
      <c r="N296" s="1">
        <v>0.88541666666666663</v>
      </c>
      <c r="O296" t="s">
        <v>49</v>
      </c>
    </row>
    <row r="297" spans="1:15" x14ac:dyDescent="0.3">
      <c r="A297" t="s">
        <v>338</v>
      </c>
      <c r="B297">
        <v>20251222</v>
      </c>
      <c r="C297" t="s">
        <v>40</v>
      </c>
      <c r="D297" t="s">
        <v>21</v>
      </c>
      <c r="E297" t="s">
        <v>41</v>
      </c>
      <c r="F297">
        <v>21422</v>
      </c>
      <c r="G297">
        <v>33267</v>
      </c>
      <c r="H297">
        <v>1705</v>
      </c>
      <c r="I297">
        <v>117</v>
      </c>
      <c r="J297">
        <v>317</v>
      </c>
      <c r="K297">
        <v>103</v>
      </c>
      <c r="L297">
        <v>16975</v>
      </c>
      <c r="M297">
        <v>83</v>
      </c>
      <c r="N297" s="1">
        <v>0.29166666666666669</v>
      </c>
      <c r="O297" t="s">
        <v>34</v>
      </c>
    </row>
    <row r="298" spans="1:15" x14ac:dyDescent="0.3">
      <c r="A298" t="s">
        <v>339</v>
      </c>
      <c r="B298">
        <v>20250617</v>
      </c>
      <c r="C298" t="s">
        <v>40</v>
      </c>
      <c r="D298" t="s">
        <v>61</v>
      </c>
      <c r="E298" t="s">
        <v>18</v>
      </c>
      <c r="F298">
        <v>13854</v>
      </c>
      <c r="G298">
        <v>15519</v>
      </c>
      <c r="H298">
        <v>716</v>
      </c>
      <c r="I298">
        <v>71</v>
      </c>
      <c r="J298">
        <v>37</v>
      </c>
      <c r="K298">
        <v>81</v>
      </c>
      <c r="L298">
        <v>0</v>
      </c>
      <c r="M298">
        <v>149</v>
      </c>
      <c r="N298" s="1">
        <v>0.86458333333333337</v>
      </c>
      <c r="O298" t="s">
        <v>23</v>
      </c>
    </row>
    <row r="299" spans="1:15" x14ac:dyDescent="0.3">
      <c r="A299" t="s">
        <v>340</v>
      </c>
      <c r="B299">
        <v>20260216</v>
      </c>
      <c r="C299" t="s">
        <v>44</v>
      </c>
      <c r="D299" t="s">
        <v>36</v>
      </c>
      <c r="E299" t="s">
        <v>22</v>
      </c>
      <c r="F299">
        <v>40813</v>
      </c>
      <c r="G299">
        <v>48838</v>
      </c>
      <c r="H299">
        <v>4062</v>
      </c>
      <c r="I299">
        <v>534</v>
      </c>
      <c r="J299">
        <v>403</v>
      </c>
      <c r="K299">
        <v>272</v>
      </c>
      <c r="L299">
        <v>0</v>
      </c>
      <c r="M299">
        <v>129</v>
      </c>
      <c r="N299" s="1">
        <v>0.80208333333333337</v>
      </c>
      <c r="O299" t="s">
        <v>19</v>
      </c>
    </row>
    <row r="300" spans="1:15" x14ac:dyDescent="0.3">
      <c r="A300" t="s">
        <v>341</v>
      </c>
      <c r="B300">
        <v>20251222</v>
      </c>
      <c r="C300" t="s">
        <v>25</v>
      </c>
      <c r="D300" t="s">
        <v>29</v>
      </c>
      <c r="E300" t="s">
        <v>46</v>
      </c>
      <c r="F300">
        <v>20266</v>
      </c>
      <c r="G300">
        <v>27737</v>
      </c>
      <c r="H300">
        <v>1991</v>
      </c>
      <c r="I300">
        <v>73</v>
      </c>
      <c r="J300">
        <v>168</v>
      </c>
      <c r="K300">
        <v>141</v>
      </c>
      <c r="L300">
        <v>15361</v>
      </c>
      <c r="M300">
        <v>175</v>
      </c>
      <c r="N300" s="1">
        <v>0.64583333333333337</v>
      </c>
      <c r="O300" t="s">
        <v>47</v>
      </c>
    </row>
    <row r="301" spans="1:15" x14ac:dyDescent="0.3">
      <c r="A301" t="s">
        <v>342</v>
      </c>
      <c r="B301">
        <v>20250425</v>
      </c>
      <c r="C301" t="s">
        <v>44</v>
      </c>
      <c r="D301" t="s">
        <v>17</v>
      </c>
      <c r="E301" t="s">
        <v>51</v>
      </c>
      <c r="F301">
        <v>61000</v>
      </c>
      <c r="G301">
        <v>95797</v>
      </c>
      <c r="H301">
        <v>6354</v>
      </c>
      <c r="I301">
        <v>479</v>
      </c>
      <c r="J301">
        <v>1081</v>
      </c>
      <c r="K301">
        <v>833</v>
      </c>
      <c r="L301">
        <v>0</v>
      </c>
      <c r="M301">
        <v>836</v>
      </c>
      <c r="N301" s="1">
        <v>0.69791666666666663</v>
      </c>
      <c r="O301" t="s">
        <v>23</v>
      </c>
    </row>
    <row r="302" spans="1:15" x14ac:dyDescent="0.3">
      <c r="A302" t="s">
        <v>343</v>
      </c>
      <c r="B302">
        <v>20260521</v>
      </c>
      <c r="C302" t="s">
        <v>25</v>
      </c>
      <c r="D302" t="s">
        <v>61</v>
      </c>
      <c r="E302" t="s">
        <v>46</v>
      </c>
      <c r="F302">
        <v>11066</v>
      </c>
      <c r="G302">
        <v>14075</v>
      </c>
      <c r="H302">
        <v>997</v>
      </c>
      <c r="I302">
        <v>29</v>
      </c>
      <c r="J302">
        <v>118</v>
      </c>
      <c r="K302">
        <v>140</v>
      </c>
      <c r="L302">
        <v>4165</v>
      </c>
      <c r="M302">
        <v>42</v>
      </c>
      <c r="N302" s="1">
        <v>0.91666666666666663</v>
      </c>
      <c r="O302" t="s">
        <v>23</v>
      </c>
    </row>
    <row r="303" spans="1:15" x14ac:dyDescent="0.3">
      <c r="A303" t="s">
        <v>344</v>
      </c>
      <c r="B303">
        <v>20260609</v>
      </c>
      <c r="C303" t="s">
        <v>25</v>
      </c>
      <c r="D303" t="s">
        <v>61</v>
      </c>
      <c r="E303" t="s">
        <v>51</v>
      </c>
      <c r="F303">
        <v>5499</v>
      </c>
      <c r="G303">
        <v>8044</v>
      </c>
      <c r="H303">
        <v>383</v>
      </c>
      <c r="I303">
        <v>16</v>
      </c>
      <c r="J303">
        <v>65</v>
      </c>
      <c r="K303">
        <v>29</v>
      </c>
      <c r="L303">
        <v>0</v>
      </c>
      <c r="M303">
        <v>35</v>
      </c>
      <c r="N303" s="1">
        <v>0.36458333333333331</v>
      </c>
      <c r="O303" t="s">
        <v>38</v>
      </c>
    </row>
    <row r="304" spans="1:15" x14ac:dyDescent="0.3">
      <c r="A304" t="s">
        <v>345</v>
      </c>
      <c r="B304">
        <v>20260701</v>
      </c>
      <c r="C304" t="s">
        <v>40</v>
      </c>
      <c r="D304" t="s">
        <v>61</v>
      </c>
      <c r="E304" t="s">
        <v>41</v>
      </c>
      <c r="F304">
        <v>50954</v>
      </c>
      <c r="G304">
        <v>74895</v>
      </c>
      <c r="H304">
        <v>3964</v>
      </c>
      <c r="I304">
        <v>275</v>
      </c>
      <c r="J304">
        <v>182</v>
      </c>
      <c r="K304">
        <v>524</v>
      </c>
      <c r="L304">
        <v>19722</v>
      </c>
      <c r="M304">
        <v>745</v>
      </c>
      <c r="N304" s="1">
        <v>0.67708333333333337</v>
      </c>
      <c r="O304" t="s">
        <v>23</v>
      </c>
    </row>
    <row r="305" spans="1:15" x14ac:dyDescent="0.3">
      <c r="A305" t="s">
        <v>346</v>
      </c>
      <c r="B305">
        <v>20250320</v>
      </c>
      <c r="C305" t="s">
        <v>16</v>
      </c>
      <c r="D305" t="s">
        <v>36</v>
      </c>
      <c r="E305" t="s">
        <v>41</v>
      </c>
      <c r="F305">
        <v>41477</v>
      </c>
      <c r="G305">
        <v>53153</v>
      </c>
      <c r="H305">
        <v>2401</v>
      </c>
      <c r="I305">
        <v>107</v>
      </c>
      <c r="J305">
        <v>384</v>
      </c>
      <c r="K305">
        <v>358</v>
      </c>
      <c r="L305">
        <v>18908</v>
      </c>
      <c r="M305">
        <v>562</v>
      </c>
      <c r="N305" s="1">
        <v>0.8125</v>
      </c>
      <c r="O305" t="s">
        <v>27</v>
      </c>
    </row>
    <row r="306" spans="1:15" x14ac:dyDescent="0.3">
      <c r="A306" t="s">
        <v>347</v>
      </c>
      <c r="B306">
        <v>20260416</v>
      </c>
      <c r="C306" t="s">
        <v>25</v>
      </c>
      <c r="D306" t="s">
        <v>29</v>
      </c>
      <c r="E306" t="s">
        <v>46</v>
      </c>
      <c r="F306">
        <v>13557</v>
      </c>
      <c r="G306">
        <v>19901</v>
      </c>
      <c r="H306">
        <v>443</v>
      </c>
      <c r="I306">
        <v>58</v>
      </c>
      <c r="J306">
        <v>14</v>
      </c>
      <c r="K306">
        <v>20</v>
      </c>
      <c r="L306">
        <v>5635</v>
      </c>
      <c r="M306">
        <v>87</v>
      </c>
      <c r="N306" s="1">
        <v>0.47916666666666669</v>
      </c>
      <c r="O306" t="s">
        <v>47</v>
      </c>
    </row>
    <row r="307" spans="1:15" x14ac:dyDescent="0.3">
      <c r="A307" t="s">
        <v>348</v>
      </c>
      <c r="B307">
        <v>20260311</v>
      </c>
      <c r="C307" t="s">
        <v>32</v>
      </c>
      <c r="D307" t="s">
        <v>21</v>
      </c>
      <c r="E307" t="s">
        <v>26</v>
      </c>
      <c r="F307">
        <v>13289</v>
      </c>
      <c r="G307">
        <v>20851</v>
      </c>
      <c r="H307">
        <v>451</v>
      </c>
      <c r="I307">
        <v>37</v>
      </c>
      <c r="J307">
        <v>90</v>
      </c>
      <c r="K307">
        <v>44</v>
      </c>
      <c r="L307">
        <v>11748</v>
      </c>
      <c r="M307">
        <v>85</v>
      </c>
      <c r="N307" s="1">
        <v>0.82291666666666663</v>
      </c>
      <c r="O307" t="s">
        <v>27</v>
      </c>
    </row>
    <row r="308" spans="1:15" x14ac:dyDescent="0.3">
      <c r="A308" t="s">
        <v>349</v>
      </c>
      <c r="B308">
        <v>20260623</v>
      </c>
      <c r="C308" t="s">
        <v>32</v>
      </c>
      <c r="D308" t="s">
        <v>36</v>
      </c>
      <c r="E308" t="s">
        <v>46</v>
      </c>
      <c r="F308">
        <v>18093</v>
      </c>
      <c r="G308">
        <v>28023</v>
      </c>
      <c r="H308">
        <v>685</v>
      </c>
      <c r="I308">
        <v>20</v>
      </c>
      <c r="J308">
        <v>118</v>
      </c>
      <c r="K308">
        <v>51</v>
      </c>
      <c r="L308">
        <v>10408</v>
      </c>
      <c r="M308">
        <v>68</v>
      </c>
      <c r="N308" s="1">
        <v>0.5</v>
      </c>
      <c r="O308" t="s">
        <v>23</v>
      </c>
    </row>
    <row r="309" spans="1:15" x14ac:dyDescent="0.3">
      <c r="A309" t="s">
        <v>350</v>
      </c>
      <c r="B309">
        <v>20260610</v>
      </c>
      <c r="C309" t="s">
        <v>40</v>
      </c>
      <c r="D309" t="s">
        <v>17</v>
      </c>
      <c r="E309" t="s">
        <v>18</v>
      </c>
      <c r="F309">
        <v>31344</v>
      </c>
      <c r="G309">
        <v>34283</v>
      </c>
      <c r="H309">
        <v>2860</v>
      </c>
      <c r="I309">
        <v>241</v>
      </c>
      <c r="J309">
        <v>366</v>
      </c>
      <c r="K309">
        <v>203</v>
      </c>
      <c r="L309">
        <v>0</v>
      </c>
      <c r="M309">
        <v>415</v>
      </c>
      <c r="N309" s="1">
        <v>0.51041666666666663</v>
      </c>
      <c r="O309" t="s">
        <v>27</v>
      </c>
    </row>
    <row r="310" spans="1:15" x14ac:dyDescent="0.3">
      <c r="A310" t="s">
        <v>351</v>
      </c>
      <c r="B310">
        <v>20260418</v>
      </c>
      <c r="C310" t="s">
        <v>25</v>
      </c>
      <c r="D310" t="s">
        <v>17</v>
      </c>
      <c r="E310" t="s">
        <v>51</v>
      </c>
      <c r="F310">
        <v>6493</v>
      </c>
      <c r="G310">
        <v>8546</v>
      </c>
      <c r="H310">
        <v>422</v>
      </c>
      <c r="I310">
        <v>35</v>
      </c>
      <c r="J310">
        <v>47</v>
      </c>
      <c r="K310">
        <v>47</v>
      </c>
      <c r="L310">
        <v>0</v>
      </c>
      <c r="M310">
        <v>48</v>
      </c>
      <c r="N310" s="1">
        <v>0.90625</v>
      </c>
      <c r="O310" t="s">
        <v>34</v>
      </c>
    </row>
    <row r="311" spans="1:15" x14ac:dyDescent="0.3">
      <c r="A311" t="s">
        <v>352</v>
      </c>
      <c r="B311">
        <v>20250220</v>
      </c>
      <c r="C311" t="s">
        <v>16</v>
      </c>
      <c r="D311" t="s">
        <v>17</v>
      </c>
      <c r="E311" t="s">
        <v>41</v>
      </c>
      <c r="F311">
        <v>130299</v>
      </c>
      <c r="G311">
        <v>192827</v>
      </c>
      <c r="H311">
        <v>13915</v>
      </c>
      <c r="I311">
        <v>395</v>
      </c>
      <c r="J311">
        <v>610</v>
      </c>
      <c r="K311">
        <v>1676</v>
      </c>
      <c r="L311">
        <v>98763</v>
      </c>
      <c r="M311">
        <v>1958</v>
      </c>
      <c r="N311" s="1">
        <v>0.54166666666666663</v>
      </c>
      <c r="O311" t="s">
        <v>19</v>
      </c>
    </row>
    <row r="312" spans="1:15" x14ac:dyDescent="0.3">
      <c r="A312" t="s">
        <v>353</v>
      </c>
      <c r="B312">
        <v>20260107</v>
      </c>
      <c r="C312" t="s">
        <v>25</v>
      </c>
      <c r="D312" t="s">
        <v>68</v>
      </c>
      <c r="E312" t="s">
        <v>41</v>
      </c>
      <c r="F312">
        <v>5164</v>
      </c>
      <c r="G312">
        <v>7528</v>
      </c>
      <c r="H312">
        <v>617</v>
      </c>
      <c r="I312">
        <v>80</v>
      </c>
      <c r="J312">
        <v>86</v>
      </c>
      <c r="K312">
        <v>32</v>
      </c>
      <c r="L312">
        <v>3025</v>
      </c>
      <c r="M312">
        <v>85</v>
      </c>
      <c r="N312" s="1">
        <v>0.42708333333333331</v>
      </c>
      <c r="O312" t="s">
        <v>30</v>
      </c>
    </row>
    <row r="313" spans="1:15" x14ac:dyDescent="0.3">
      <c r="A313" t="s">
        <v>354</v>
      </c>
      <c r="B313">
        <v>20251109</v>
      </c>
      <c r="C313" t="s">
        <v>16</v>
      </c>
      <c r="D313" t="s">
        <v>21</v>
      </c>
      <c r="E313" t="s">
        <v>46</v>
      </c>
      <c r="F313">
        <v>33093</v>
      </c>
      <c r="G313">
        <v>41314</v>
      </c>
      <c r="H313">
        <v>2307</v>
      </c>
      <c r="I313">
        <v>110</v>
      </c>
      <c r="J313">
        <v>442</v>
      </c>
      <c r="K313">
        <v>100</v>
      </c>
      <c r="L313">
        <v>17758</v>
      </c>
      <c r="M313">
        <v>409</v>
      </c>
      <c r="N313" s="1">
        <v>0.38541666666666669</v>
      </c>
      <c r="O313" t="s">
        <v>23</v>
      </c>
    </row>
    <row r="314" spans="1:15" x14ac:dyDescent="0.3">
      <c r="A314" t="s">
        <v>355</v>
      </c>
      <c r="B314">
        <v>20260420</v>
      </c>
      <c r="C314" t="s">
        <v>25</v>
      </c>
      <c r="D314" t="s">
        <v>29</v>
      </c>
      <c r="E314" t="s">
        <v>18</v>
      </c>
      <c r="F314">
        <v>17422</v>
      </c>
      <c r="G314">
        <v>25486</v>
      </c>
      <c r="H314">
        <v>1975</v>
      </c>
      <c r="I314">
        <v>70</v>
      </c>
      <c r="J314">
        <v>303</v>
      </c>
      <c r="K314">
        <v>128</v>
      </c>
      <c r="L314">
        <v>0</v>
      </c>
      <c r="M314">
        <v>124</v>
      </c>
      <c r="N314" s="1">
        <v>0.5625</v>
      </c>
      <c r="O314" t="s">
        <v>23</v>
      </c>
    </row>
    <row r="315" spans="1:15" x14ac:dyDescent="0.3">
      <c r="A315" t="s">
        <v>356</v>
      </c>
      <c r="B315">
        <v>20250607</v>
      </c>
      <c r="C315" t="s">
        <v>44</v>
      </c>
      <c r="D315" t="s">
        <v>29</v>
      </c>
      <c r="E315" t="s">
        <v>26</v>
      </c>
      <c r="F315">
        <v>18223</v>
      </c>
      <c r="G315">
        <v>19703</v>
      </c>
      <c r="H315">
        <v>1916</v>
      </c>
      <c r="I315">
        <v>186</v>
      </c>
      <c r="J315">
        <v>164</v>
      </c>
      <c r="K315">
        <v>236</v>
      </c>
      <c r="L315">
        <v>9857</v>
      </c>
      <c r="M315">
        <v>114</v>
      </c>
      <c r="N315" s="1">
        <v>0.9375</v>
      </c>
      <c r="O315" t="s">
        <v>42</v>
      </c>
    </row>
    <row r="316" spans="1:15" x14ac:dyDescent="0.3">
      <c r="A316" t="s">
        <v>357</v>
      </c>
      <c r="B316">
        <v>20251030</v>
      </c>
      <c r="C316" t="s">
        <v>25</v>
      </c>
      <c r="D316" t="s">
        <v>21</v>
      </c>
      <c r="E316" t="s">
        <v>46</v>
      </c>
      <c r="F316">
        <v>22848</v>
      </c>
      <c r="G316">
        <v>24989</v>
      </c>
      <c r="H316">
        <v>2532</v>
      </c>
      <c r="I316">
        <v>326</v>
      </c>
      <c r="J316">
        <v>363</v>
      </c>
      <c r="K316">
        <v>311</v>
      </c>
      <c r="L316">
        <v>8747</v>
      </c>
      <c r="M316">
        <v>117</v>
      </c>
      <c r="N316" s="1">
        <v>0.83333333333333337</v>
      </c>
      <c r="O316" t="s">
        <v>34</v>
      </c>
    </row>
    <row r="317" spans="1:15" x14ac:dyDescent="0.3">
      <c r="A317" t="s">
        <v>358</v>
      </c>
      <c r="B317">
        <v>20250107</v>
      </c>
      <c r="C317" t="s">
        <v>40</v>
      </c>
      <c r="D317" t="s">
        <v>68</v>
      </c>
      <c r="E317" t="s">
        <v>26</v>
      </c>
      <c r="F317">
        <v>11008</v>
      </c>
      <c r="G317">
        <v>13927</v>
      </c>
      <c r="H317">
        <v>341</v>
      </c>
      <c r="I317">
        <v>45</v>
      </c>
      <c r="J317">
        <v>41</v>
      </c>
      <c r="K317">
        <v>48</v>
      </c>
      <c r="L317">
        <v>7137</v>
      </c>
      <c r="M317">
        <v>190</v>
      </c>
      <c r="N317" s="1">
        <v>0.79166666666666663</v>
      </c>
      <c r="O317" t="s">
        <v>53</v>
      </c>
    </row>
    <row r="318" spans="1:15" x14ac:dyDescent="0.3">
      <c r="A318" t="s">
        <v>359</v>
      </c>
      <c r="B318">
        <v>20260818</v>
      </c>
      <c r="C318" t="s">
        <v>16</v>
      </c>
      <c r="D318" t="s">
        <v>36</v>
      </c>
      <c r="E318" t="s">
        <v>18</v>
      </c>
      <c r="F318">
        <v>38816</v>
      </c>
      <c r="G318">
        <v>54870</v>
      </c>
      <c r="H318">
        <v>2063</v>
      </c>
      <c r="I318">
        <v>137</v>
      </c>
      <c r="J318">
        <v>262</v>
      </c>
      <c r="K318">
        <v>293</v>
      </c>
      <c r="L318">
        <v>0</v>
      </c>
      <c r="M318">
        <v>139</v>
      </c>
      <c r="N318" s="1">
        <v>0.6875</v>
      </c>
      <c r="O318" t="s">
        <v>38</v>
      </c>
    </row>
    <row r="319" spans="1:15" x14ac:dyDescent="0.3">
      <c r="A319" t="s">
        <v>360</v>
      </c>
      <c r="B319">
        <v>20250326</v>
      </c>
      <c r="C319" t="s">
        <v>40</v>
      </c>
      <c r="D319" t="s">
        <v>17</v>
      </c>
      <c r="E319" t="s">
        <v>18</v>
      </c>
      <c r="F319">
        <v>13298</v>
      </c>
      <c r="G319">
        <v>18650</v>
      </c>
      <c r="H319">
        <v>1317</v>
      </c>
      <c r="I319">
        <v>137</v>
      </c>
      <c r="J319">
        <v>60</v>
      </c>
      <c r="K319">
        <v>99</v>
      </c>
      <c r="L319">
        <v>0</v>
      </c>
      <c r="M319">
        <v>194</v>
      </c>
      <c r="N319" s="1">
        <v>0.875</v>
      </c>
      <c r="O319" t="s">
        <v>23</v>
      </c>
    </row>
    <row r="320" spans="1:15" x14ac:dyDescent="0.3">
      <c r="A320" t="s">
        <v>361</v>
      </c>
      <c r="B320">
        <v>20260117</v>
      </c>
      <c r="C320" t="s">
        <v>40</v>
      </c>
      <c r="D320" t="s">
        <v>33</v>
      </c>
      <c r="E320" t="s">
        <v>46</v>
      </c>
      <c r="F320">
        <v>38838</v>
      </c>
      <c r="G320">
        <v>41717</v>
      </c>
      <c r="H320">
        <v>3985</v>
      </c>
      <c r="J320">
        <v>581</v>
      </c>
      <c r="K320">
        <v>87</v>
      </c>
      <c r="L320">
        <v>25643</v>
      </c>
      <c r="M320">
        <v>106</v>
      </c>
      <c r="N320" s="1">
        <v>0.46875</v>
      </c>
      <c r="O320" t="s">
        <v>42</v>
      </c>
    </row>
    <row r="321" spans="1:15" x14ac:dyDescent="0.3">
      <c r="A321" t="s">
        <v>362</v>
      </c>
      <c r="B321">
        <v>20250705</v>
      </c>
      <c r="C321" t="s">
        <v>44</v>
      </c>
      <c r="D321" t="s">
        <v>61</v>
      </c>
      <c r="E321" t="s">
        <v>46</v>
      </c>
      <c r="F321">
        <v>17665</v>
      </c>
      <c r="G321">
        <v>23469</v>
      </c>
      <c r="H321">
        <v>1170</v>
      </c>
      <c r="I321">
        <v>76</v>
      </c>
      <c r="J321">
        <v>221</v>
      </c>
      <c r="K321">
        <v>30</v>
      </c>
      <c r="L321">
        <v>14713</v>
      </c>
      <c r="M321">
        <v>205</v>
      </c>
      <c r="N321" s="1">
        <v>0.48958333333333331</v>
      </c>
      <c r="O321" t="s">
        <v>38</v>
      </c>
    </row>
    <row r="322" spans="1:15" x14ac:dyDescent="0.3">
      <c r="A322" t="s">
        <v>363</v>
      </c>
      <c r="B322">
        <v>20250110</v>
      </c>
      <c r="C322" t="s">
        <v>32</v>
      </c>
      <c r="D322" t="s">
        <v>61</v>
      </c>
      <c r="E322" t="s">
        <v>18</v>
      </c>
      <c r="F322">
        <v>5671</v>
      </c>
      <c r="G322">
        <v>7849</v>
      </c>
      <c r="H322">
        <v>164</v>
      </c>
      <c r="I322">
        <v>22</v>
      </c>
      <c r="J322">
        <v>12</v>
      </c>
      <c r="K322">
        <v>18</v>
      </c>
      <c r="L322">
        <v>0</v>
      </c>
      <c r="M322">
        <v>42</v>
      </c>
      <c r="N322" s="1">
        <v>0.75</v>
      </c>
      <c r="O322" t="s">
        <v>38</v>
      </c>
    </row>
    <row r="323" spans="1:15" x14ac:dyDescent="0.3">
      <c r="A323" t="s">
        <v>364</v>
      </c>
      <c r="B323">
        <v>20260623</v>
      </c>
      <c r="C323" t="s">
        <v>16</v>
      </c>
      <c r="D323" t="s">
        <v>68</v>
      </c>
      <c r="E323" t="s">
        <v>46</v>
      </c>
      <c r="F323">
        <v>40517</v>
      </c>
      <c r="G323">
        <v>64067</v>
      </c>
      <c r="H323">
        <v>2709</v>
      </c>
      <c r="I323">
        <v>297</v>
      </c>
      <c r="J323">
        <v>503</v>
      </c>
      <c r="K323">
        <v>228</v>
      </c>
      <c r="L323">
        <v>33468</v>
      </c>
      <c r="M323">
        <v>500</v>
      </c>
      <c r="N323" s="1">
        <v>0.36458333333333331</v>
      </c>
      <c r="O323" t="s">
        <v>34</v>
      </c>
    </row>
    <row r="324" spans="1:15" x14ac:dyDescent="0.3">
      <c r="A324" t="s">
        <v>365</v>
      </c>
      <c r="B324">
        <v>20250913</v>
      </c>
      <c r="C324" t="s">
        <v>25</v>
      </c>
      <c r="D324" t="s">
        <v>33</v>
      </c>
      <c r="E324" t="s">
        <v>46</v>
      </c>
      <c r="F324">
        <v>18598</v>
      </c>
      <c r="G324">
        <v>21719</v>
      </c>
      <c r="H324">
        <v>1991</v>
      </c>
      <c r="I324">
        <v>85</v>
      </c>
      <c r="J324">
        <v>312</v>
      </c>
      <c r="K324">
        <v>118</v>
      </c>
      <c r="L324">
        <v>14648</v>
      </c>
      <c r="M324">
        <v>86</v>
      </c>
      <c r="N324" s="1">
        <v>0.41666666666666669</v>
      </c>
      <c r="O324" t="s">
        <v>27</v>
      </c>
    </row>
    <row r="325" spans="1:15" x14ac:dyDescent="0.3">
      <c r="A325" t="s">
        <v>366</v>
      </c>
      <c r="B325">
        <v>20260718</v>
      </c>
      <c r="C325" t="s">
        <v>44</v>
      </c>
      <c r="D325" t="s">
        <v>29</v>
      </c>
      <c r="E325" t="s">
        <v>51</v>
      </c>
      <c r="F325">
        <v>19110</v>
      </c>
      <c r="G325">
        <v>27319</v>
      </c>
      <c r="H325">
        <v>2024</v>
      </c>
      <c r="I325">
        <v>165</v>
      </c>
      <c r="J325">
        <v>375</v>
      </c>
      <c r="K325">
        <v>245</v>
      </c>
      <c r="L325">
        <v>0</v>
      </c>
      <c r="M325">
        <v>43</v>
      </c>
      <c r="N325" s="1">
        <v>0.83333333333333337</v>
      </c>
      <c r="O325" t="s">
        <v>19</v>
      </c>
    </row>
    <row r="326" spans="1:15" x14ac:dyDescent="0.3">
      <c r="A326" t="s">
        <v>367</v>
      </c>
      <c r="B326">
        <v>20251204</v>
      </c>
      <c r="C326" t="s">
        <v>40</v>
      </c>
      <c r="D326" t="s">
        <v>21</v>
      </c>
      <c r="E326" t="s">
        <v>46</v>
      </c>
      <c r="F326">
        <v>17658</v>
      </c>
      <c r="G326">
        <v>28740</v>
      </c>
      <c r="H326">
        <v>2020</v>
      </c>
      <c r="I326">
        <v>226</v>
      </c>
      <c r="J326">
        <v>132</v>
      </c>
      <c r="K326">
        <v>59</v>
      </c>
      <c r="L326">
        <v>14624</v>
      </c>
      <c r="M326">
        <v>30</v>
      </c>
      <c r="N326" s="1">
        <v>0.80208333333333337</v>
      </c>
      <c r="O326" t="s">
        <v>49</v>
      </c>
    </row>
    <row r="327" spans="1:15" x14ac:dyDescent="0.3">
      <c r="A327" t="s">
        <v>368</v>
      </c>
      <c r="B327">
        <v>20251016</v>
      </c>
      <c r="C327" t="s">
        <v>44</v>
      </c>
      <c r="D327" t="s">
        <v>36</v>
      </c>
      <c r="E327" t="s">
        <v>41</v>
      </c>
      <c r="F327">
        <v>106854</v>
      </c>
      <c r="G327">
        <v>157613</v>
      </c>
      <c r="H327">
        <v>9540</v>
      </c>
      <c r="I327">
        <v>1306</v>
      </c>
      <c r="J327">
        <v>651</v>
      </c>
      <c r="K327">
        <v>710</v>
      </c>
      <c r="L327">
        <v>84868</v>
      </c>
      <c r="M327">
        <v>876</v>
      </c>
      <c r="N327" s="1">
        <v>0.94791666666666663</v>
      </c>
      <c r="O327" t="s">
        <v>34</v>
      </c>
    </row>
    <row r="328" spans="1:15" x14ac:dyDescent="0.3">
      <c r="A328" t="s">
        <v>369</v>
      </c>
      <c r="B328">
        <v>20250216</v>
      </c>
      <c r="C328" t="s">
        <v>44</v>
      </c>
      <c r="D328" t="s">
        <v>36</v>
      </c>
      <c r="E328" t="s">
        <v>18</v>
      </c>
      <c r="F328">
        <v>87441</v>
      </c>
      <c r="G328">
        <v>117734</v>
      </c>
      <c r="H328">
        <v>7041</v>
      </c>
      <c r="I328">
        <v>293</v>
      </c>
      <c r="J328">
        <v>1107</v>
      </c>
      <c r="K328">
        <v>989</v>
      </c>
      <c r="L328">
        <v>0</v>
      </c>
      <c r="M328">
        <v>326</v>
      </c>
      <c r="N328" s="1">
        <v>0.51041666666666663</v>
      </c>
      <c r="O328" t="s">
        <v>42</v>
      </c>
    </row>
    <row r="329" spans="1:15" x14ac:dyDescent="0.3">
      <c r="A329" t="s">
        <v>370</v>
      </c>
      <c r="B329">
        <v>20250714</v>
      </c>
      <c r="C329" t="s">
        <v>25</v>
      </c>
      <c r="D329" t="s">
        <v>21</v>
      </c>
      <c r="E329" t="s">
        <v>46</v>
      </c>
      <c r="F329">
        <v>15514</v>
      </c>
      <c r="G329">
        <v>22645</v>
      </c>
      <c r="H329">
        <v>625</v>
      </c>
      <c r="I329">
        <v>18</v>
      </c>
      <c r="J329">
        <v>87</v>
      </c>
      <c r="K329">
        <v>22</v>
      </c>
      <c r="L329">
        <v>12964</v>
      </c>
      <c r="M329">
        <v>36</v>
      </c>
      <c r="N329" s="1">
        <v>0.53125</v>
      </c>
      <c r="O329" t="s">
        <v>42</v>
      </c>
    </row>
    <row r="330" spans="1:15" x14ac:dyDescent="0.3">
      <c r="A330" t="s">
        <v>371</v>
      </c>
      <c r="B330">
        <v>20250129</v>
      </c>
      <c r="C330" t="s">
        <v>32</v>
      </c>
      <c r="D330" t="s">
        <v>21</v>
      </c>
      <c r="E330" t="s">
        <v>22</v>
      </c>
      <c r="F330">
        <v>5753</v>
      </c>
      <c r="G330">
        <v>6756</v>
      </c>
      <c r="H330">
        <v>659</v>
      </c>
      <c r="I330">
        <v>42</v>
      </c>
      <c r="J330">
        <v>121</v>
      </c>
      <c r="K330">
        <v>36</v>
      </c>
      <c r="L330">
        <v>0</v>
      </c>
      <c r="M330">
        <v>61</v>
      </c>
      <c r="N330" s="1">
        <v>0.73958333333333337</v>
      </c>
      <c r="O330" t="s">
        <v>38</v>
      </c>
    </row>
    <row r="331" spans="1:15" x14ac:dyDescent="0.3">
      <c r="A331" t="s">
        <v>372</v>
      </c>
      <c r="B331">
        <v>20260729</v>
      </c>
      <c r="C331" t="s">
        <v>40</v>
      </c>
      <c r="E331" t="s">
        <v>41</v>
      </c>
      <c r="F331">
        <v>9245</v>
      </c>
      <c r="G331">
        <v>13258</v>
      </c>
      <c r="H331">
        <v>427</v>
      </c>
      <c r="I331">
        <v>42</v>
      </c>
      <c r="J331">
        <v>41</v>
      </c>
      <c r="K331">
        <v>27</v>
      </c>
      <c r="L331">
        <v>5192</v>
      </c>
      <c r="M331">
        <v>91</v>
      </c>
      <c r="N331" s="1">
        <v>0.57291666666666663</v>
      </c>
      <c r="O331" t="s">
        <v>19</v>
      </c>
    </row>
    <row r="332" spans="1:15" x14ac:dyDescent="0.3">
      <c r="A332" t="s">
        <v>373</v>
      </c>
      <c r="B332">
        <v>20251110</v>
      </c>
      <c r="C332" t="s">
        <v>44</v>
      </c>
      <c r="D332" t="s">
        <v>68</v>
      </c>
      <c r="E332" t="s">
        <v>51</v>
      </c>
      <c r="F332">
        <v>25324</v>
      </c>
      <c r="G332">
        <v>30275</v>
      </c>
      <c r="H332">
        <v>1620</v>
      </c>
      <c r="I332">
        <v>146</v>
      </c>
      <c r="J332">
        <v>260</v>
      </c>
      <c r="K332">
        <v>65</v>
      </c>
      <c r="L332">
        <v>0</v>
      </c>
      <c r="M332">
        <v>301</v>
      </c>
      <c r="N332" s="1">
        <v>0.63541666666666663</v>
      </c>
      <c r="O332" t="s">
        <v>47</v>
      </c>
    </row>
    <row r="333" spans="1:15" x14ac:dyDescent="0.3">
      <c r="A333" t="s">
        <v>374</v>
      </c>
      <c r="B333">
        <v>20260412</v>
      </c>
      <c r="C333" t="s">
        <v>25</v>
      </c>
      <c r="D333" t="s">
        <v>21</v>
      </c>
      <c r="E333" t="s">
        <v>46</v>
      </c>
      <c r="F333">
        <v>5390</v>
      </c>
      <c r="G333">
        <v>8368</v>
      </c>
      <c r="H333">
        <v>461</v>
      </c>
      <c r="I333">
        <v>58</v>
      </c>
      <c r="J333">
        <v>62</v>
      </c>
      <c r="K333">
        <v>60</v>
      </c>
      <c r="L333">
        <v>4685</v>
      </c>
      <c r="M333">
        <v>52</v>
      </c>
      <c r="N333" s="1">
        <v>0.45833333333333331</v>
      </c>
      <c r="O333" t="s">
        <v>49</v>
      </c>
    </row>
    <row r="334" spans="1:15" x14ac:dyDescent="0.3">
      <c r="A334" t="s">
        <v>375</v>
      </c>
      <c r="B334">
        <v>20250530</v>
      </c>
      <c r="C334" t="s">
        <v>25</v>
      </c>
      <c r="D334" t="s">
        <v>68</v>
      </c>
      <c r="E334" t="s">
        <v>51</v>
      </c>
      <c r="F334">
        <v>11295</v>
      </c>
      <c r="G334">
        <v>13895</v>
      </c>
      <c r="H334">
        <v>976</v>
      </c>
      <c r="I334">
        <v>58</v>
      </c>
      <c r="J334">
        <v>145</v>
      </c>
      <c r="K334">
        <v>25</v>
      </c>
      <c r="L334">
        <v>0</v>
      </c>
      <c r="M334">
        <v>192</v>
      </c>
      <c r="N334" s="1">
        <v>0.83333333333333337</v>
      </c>
      <c r="O334" t="s">
        <v>53</v>
      </c>
    </row>
    <row r="335" spans="1:15" x14ac:dyDescent="0.3">
      <c r="A335" t="s">
        <v>376</v>
      </c>
      <c r="B335">
        <v>20260109</v>
      </c>
      <c r="C335" t="s">
        <v>16</v>
      </c>
      <c r="D335" t="s">
        <v>61</v>
      </c>
      <c r="E335" t="s">
        <v>46</v>
      </c>
      <c r="F335">
        <v>28013</v>
      </c>
      <c r="G335">
        <v>45306</v>
      </c>
      <c r="H335">
        <v>1366</v>
      </c>
      <c r="I335">
        <v>186</v>
      </c>
      <c r="J335">
        <v>270</v>
      </c>
      <c r="K335">
        <v>45</v>
      </c>
      <c r="L335">
        <v>20275</v>
      </c>
      <c r="M335">
        <v>109</v>
      </c>
      <c r="N335" s="1">
        <v>0.4375</v>
      </c>
      <c r="O335" t="s">
        <v>30</v>
      </c>
    </row>
    <row r="336" spans="1:15" x14ac:dyDescent="0.3">
      <c r="A336" t="s">
        <v>377</v>
      </c>
      <c r="B336">
        <v>20251124</v>
      </c>
      <c r="C336" t="s">
        <v>40</v>
      </c>
      <c r="D336" t="s">
        <v>29</v>
      </c>
      <c r="E336" t="s">
        <v>51</v>
      </c>
      <c r="F336">
        <v>19260</v>
      </c>
      <c r="G336">
        <v>20735</v>
      </c>
      <c r="H336">
        <v>568</v>
      </c>
      <c r="I336">
        <v>40</v>
      </c>
      <c r="J336">
        <v>98</v>
      </c>
      <c r="K336">
        <v>43</v>
      </c>
      <c r="L336">
        <v>0</v>
      </c>
      <c r="M336">
        <v>305</v>
      </c>
      <c r="N336" s="1">
        <v>0.88541666666666663</v>
      </c>
      <c r="O336" t="s">
        <v>38</v>
      </c>
    </row>
    <row r="337" spans="1:15" x14ac:dyDescent="0.3">
      <c r="A337" t="s">
        <v>378</v>
      </c>
      <c r="B337">
        <v>20260321</v>
      </c>
      <c r="C337" t="s">
        <v>40</v>
      </c>
      <c r="D337" t="s">
        <v>21</v>
      </c>
      <c r="E337" t="s">
        <v>51</v>
      </c>
      <c r="F337">
        <v>20640</v>
      </c>
      <c r="G337">
        <v>23941</v>
      </c>
      <c r="H337">
        <v>2265</v>
      </c>
      <c r="I337">
        <v>292</v>
      </c>
      <c r="J337">
        <v>280</v>
      </c>
      <c r="K337">
        <v>265</v>
      </c>
      <c r="L337">
        <v>0</v>
      </c>
      <c r="M337">
        <v>170</v>
      </c>
      <c r="N337" s="1">
        <v>0.72916666666666663</v>
      </c>
      <c r="O337" t="s">
        <v>42</v>
      </c>
    </row>
    <row r="338" spans="1:15" x14ac:dyDescent="0.3">
      <c r="A338" t="s">
        <v>379</v>
      </c>
      <c r="B338">
        <v>20260210</v>
      </c>
      <c r="C338" t="s">
        <v>32</v>
      </c>
      <c r="D338" t="s">
        <v>17</v>
      </c>
      <c r="E338" t="s">
        <v>18</v>
      </c>
      <c r="F338">
        <v>17840</v>
      </c>
      <c r="G338">
        <v>19162</v>
      </c>
      <c r="H338">
        <v>557</v>
      </c>
      <c r="I338">
        <v>62</v>
      </c>
      <c r="J338">
        <v>23</v>
      </c>
      <c r="K338">
        <v>31</v>
      </c>
      <c r="L338">
        <v>0</v>
      </c>
      <c r="M338">
        <v>285</v>
      </c>
      <c r="N338" s="1">
        <v>0.39583333333333331</v>
      </c>
      <c r="O338" t="s">
        <v>47</v>
      </c>
    </row>
    <row r="339" spans="1:15" x14ac:dyDescent="0.3">
      <c r="A339" t="s">
        <v>380</v>
      </c>
      <c r="B339">
        <v>20250127</v>
      </c>
      <c r="C339" t="s">
        <v>16</v>
      </c>
      <c r="D339" t="s">
        <v>21</v>
      </c>
      <c r="E339" t="s">
        <v>18</v>
      </c>
      <c r="F339">
        <v>7973</v>
      </c>
      <c r="G339">
        <v>11734</v>
      </c>
      <c r="H339">
        <v>330</v>
      </c>
      <c r="I339">
        <v>31</v>
      </c>
      <c r="J339">
        <v>34</v>
      </c>
      <c r="K339">
        <v>9</v>
      </c>
      <c r="L339">
        <v>0</v>
      </c>
      <c r="M339">
        <v>89</v>
      </c>
      <c r="N339" s="1">
        <v>0.90625</v>
      </c>
      <c r="O339" t="s">
        <v>53</v>
      </c>
    </row>
    <row r="340" spans="1:15" x14ac:dyDescent="0.3">
      <c r="A340" t="s">
        <v>381</v>
      </c>
      <c r="B340">
        <v>20251116</v>
      </c>
      <c r="C340" t="s">
        <v>16</v>
      </c>
      <c r="D340" t="s">
        <v>68</v>
      </c>
      <c r="E340" t="s">
        <v>26</v>
      </c>
      <c r="F340">
        <v>17244</v>
      </c>
      <c r="G340">
        <v>20076</v>
      </c>
      <c r="H340">
        <v>449</v>
      </c>
      <c r="I340">
        <v>47</v>
      </c>
      <c r="J340">
        <v>83</v>
      </c>
      <c r="K340">
        <v>49</v>
      </c>
      <c r="L340">
        <v>14870</v>
      </c>
      <c r="M340">
        <v>154</v>
      </c>
      <c r="N340" s="1">
        <v>0.58333333333333337</v>
      </c>
      <c r="O340" t="s">
        <v>27</v>
      </c>
    </row>
    <row r="341" spans="1:15" x14ac:dyDescent="0.3">
      <c r="A341" t="s">
        <v>382</v>
      </c>
      <c r="B341">
        <v>20260909</v>
      </c>
      <c r="C341" t="s">
        <v>32</v>
      </c>
      <c r="D341" t="s">
        <v>61</v>
      </c>
      <c r="E341" t="s">
        <v>46</v>
      </c>
      <c r="F341">
        <v>12115</v>
      </c>
      <c r="G341">
        <v>18563</v>
      </c>
      <c r="H341">
        <v>659</v>
      </c>
      <c r="I341">
        <v>36</v>
      </c>
      <c r="J341">
        <v>76</v>
      </c>
      <c r="K341">
        <v>65</v>
      </c>
      <c r="L341">
        <v>6047</v>
      </c>
      <c r="M341">
        <v>150</v>
      </c>
      <c r="N341" s="1">
        <v>0.72916666666666663</v>
      </c>
      <c r="O341" t="s">
        <v>19</v>
      </c>
    </row>
    <row r="342" spans="1:15" x14ac:dyDescent="0.3">
      <c r="A342" t="s">
        <v>383</v>
      </c>
      <c r="B342">
        <v>20250401</v>
      </c>
      <c r="C342" t="s">
        <v>32</v>
      </c>
      <c r="D342" t="s">
        <v>21</v>
      </c>
      <c r="E342" t="s">
        <v>26</v>
      </c>
      <c r="F342">
        <v>2690</v>
      </c>
      <c r="G342">
        <v>3412</v>
      </c>
      <c r="H342">
        <v>227</v>
      </c>
      <c r="I342">
        <v>18</v>
      </c>
      <c r="J342">
        <v>15</v>
      </c>
      <c r="K342">
        <v>22</v>
      </c>
      <c r="L342">
        <v>1609</v>
      </c>
      <c r="M342">
        <v>18</v>
      </c>
      <c r="N342" s="1">
        <v>0.42708333333333331</v>
      </c>
      <c r="O342" t="s">
        <v>38</v>
      </c>
    </row>
    <row r="343" spans="1:15" x14ac:dyDescent="0.3">
      <c r="A343" t="s">
        <v>384</v>
      </c>
      <c r="B343">
        <v>20251216</v>
      </c>
      <c r="C343" t="s">
        <v>32</v>
      </c>
      <c r="D343" t="s">
        <v>36</v>
      </c>
      <c r="E343" t="s">
        <v>41</v>
      </c>
      <c r="F343">
        <v>14886</v>
      </c>
      <c r="G343">
        <v>16029</v>
      </c>
      <c r="H343">
        <v>778</v>
      </c>
      <c r="I343">
        <v>41</v>
      </c>
      <c r="J343">
        <v>37</v>
      </c>
      <c r="K343">
        <v>79</v>
      </c>
      <c r="L343">
        <v>6804</v>
      </c>
      <c r="M343">
        <v>114</v>
      </c>
      <c r="N343" s="1">
        <v>0.75</v>
      </c>
      <c r="O343" t="s">
        <v>53</v>
      </c>
    </row>
    <row r="344" spans="1:15" x14ac:dyDescent="0.3">
      <c r="A344" t="s">
        <v>385</v>
      </c>
      <c r="B344">
        <v>20260708</v>
      </c>
      <c r="C344" t="s">
        <v>40</v>
      </c>
      <c r="D344" t="s">
        <v>21</v>
      </c>
      <c r="E344" t="s">
        <v>26</v>
      </c>
      <c r="F344">
        <v>48161</v>
      </c>
      <c r="G344">
        <v>56738</v>
      </c>
      <c r="H344">
        <v>4192</v>
      </c>
      <c r="I344">
        <v>477</v>
      </c>
      <c r="J344">
        <v>451</v>
      </c>
      <c r="K344">
        <v>190</v>
      </c>
      <c r="L344">
        <v>20837</v>
      </c>
      <c r="M344">
        <v>674</v>
      </c>
      <c r="N344" s="1">
        <v>0.94791666666666663</v>
      </c>
      <c r="O344" t="s">
        <v>53</v>
      </c>
    </row>
    <row r="345" spans="1:15" x14ac:dyDescent="0.3">
      <c r="A345" t="s">
        <v>386</v>
      </c>
      <c r="B345">
        <v>20250223</v>
      </c>
      <c r="C345" t="s">
        <v>16</v>
      </c>
      <c r="D345" t="s">
        <v>21</v>
      </c>
      <c r="E345" t="s">
        <v>18</v>
      </c>
      <c r="F345">
        <v>16382</v>
      </c>
      <c r="G345">
        <v>18701</v>
      </c>
      <c r="H345">
        <v>1067</v>
      </c>
      <c r="I345">
        <v>147</v>
      </c>
      <c r="J345">
        <v>140</v>
      </c>
      <c r="K345">
        <v>22</v>
      </c>
      <c r="L345">
        <v>0</v>
      </c>
      <c r="M345">
        <v>76</v>
      </c>
      <c r="N345" s="1">
        <v>0.57291666666666663</v>
      </c>
      <c r="O345" t="s">
        <v>27</v>
      </c>
    </row>
    <row r="346" spans="1:15" x14ac:dyDescent="0.3">
      <c r="A346" t="s">
        <v>387</v>
      </c>
      <c r="B346">
        <v>20250421</v>
      </c>
      <c r="C346" t="s">
        <v>16</v>
      </c>
      <c r="D346" t="s">
        <v>17</v>
      </c>
      <c r="E346" t="s">
        <v>41</v>
      </c>
      <c r="F346">
        <v>43150</v>
      </c>
      <c r="G346">
        <v>69388</v>
      </c>
      <c r="H346">
        <v>2027</v>
      </c>
      <c r="I346">
        <v>173</v>
      </c>
      <c r="J346">
        <v>182</v>
      </c>
      <c r="K346">
        <v>80</v>
      </c>
      <c r="L346">
        <v>25361</v>
      </c>
      <c r="M346">
        <v>591</v>
      </c>
      <c r="N346" s="1">
        <v>0.89583333333333337</v>
      </c>
      <c r="O346" t="s">
        <v>30</v>
      </c>
    </row>
    <row r="347" spans="1:15" x14ac:dyDescent="0.3">
      <c r="A347" t="s">
        <v>388</v>
      </c>
      <c r="B347">
        <v>20250128</v>
      </c>
      <c r="C347" t="s">
        <v>16</v>
      </c>
      <c r="D347" t="s">
        <v>36</v>
      </c>
      <c r="E347" t="s">
        <v>18</v>
      </c>
      <c r="F347">
        <v>16630</v>
      </c>
      <c r="G347">
        <v>21638</v>
      </c>
      <c r="H347">
        <v>1181</v>
      </c>
      <c r="I347">
        <v>93</v>
      </c>
      <c r="J347">
        <v>194</v>
      </c>
      <c r="K347">
        <v>119</v>
      </c>
      <c r="L347">
        <v>0</v>
      </c>
      <c r="M347">
        <v>58</v>
      </c>
      <c r="N347" s="1">
        <v>0.32291666666666669</v>
      </c>
      <c r="O347" t="s">
        <v>49</v>
      </c>
    </row>
    <row r="348" spans="1:15" x14ac:dyDescent="0.3">
      <c r="A348" t="s">
        <v>389</v>
      </c>
      <c r="B348">
        <v>20250821</v>
      </c>
      <c r="C348" t="s">
        <v>32</v>
      </c>
      <c r="D348" t="s">
        <v>21</v>
      </c>
      <c r="E348" t="s">
        <v>41</v>
      </c>
      <c r="F348">
        <v>13038</v>
      </c>
      <c r="G348">
        <v>14699</v>
      </c>
      <c r="H348">
        <v>1228</v>
      </c>
      <c r="I348">
        <v>102</v>
      </c>
      <c r="J348">
        <v>174</v>
      </c>
      <c r="K348">
        <v>191</v>
      </c>
      <c r="L348">
        <v>6493</v>
      </c>
      <c r="M348">
        <v>137</v>
      </c>
      <c r="N348" s="1">
        <v>0.82291666666666663</v>
      </c>
      <c r="O348" t="s">
        <v>53</v>
      </c>
    </row>
    <row r="349" spans="1:15" x14ac:dyDescent="0.3">
      <c r="A349" t="s">
        <v>390</v>
      </c>
      <c r="B349">
        <v>20260915</v>
      </c>
      <c r="C349" t="s">
        <v>16</v>
      </c>
      <c r="D349" t="s">
        <v>33</v>
      </c>
      <c r="E349" t="s">
        <v>51</v>
      </c>
      <c r="F349">
        <v>16797</v>
      </c>
      <c r="G349">
        <v>18136</v>
      </c>
      <c r="H349">
        <v>551</v>
      </c>
      <c r="I349">
        <v>51</v>
      </c>
      <c r="J349">
        <v>103</v>
      </c>
      <c r="K349">
        <v>85</v>
      </c>
      <c r="L349">
        <v>0</v>
      </c>
      <c r="M349">
        <v>118</v>
      </c>
      <c r="N349" s="1">
        <v>0.76041666666666663</v>
      </c>
      <c r="O349" t="s">
        <v>27</v>
      </c>
    </row>
    <row r="350" spans="1:15" x14ac:dyDescent="0.3">
      <c r="A350" t="s">
        <v>391</v>
      </c>
      <c r="B350">
        <v>20250216</v>
      </c>
      <c r="C350" t="s">
        <v>16</v>
      </c>
      <c r="D350" t="s">
        <v>17</v>
      </c>
      <c r="E350" t="s">
        <v>46</v>
      </c>
      <c r="F350">
        <v>24671</v>
      </c>
      <c r="G350">
        <v>26770</v>
      </c>
      <c r="H350">
        <v>2653</v>
      </c>
      <c r="I350">
        <v>175</v>
      </c>
      <c r="J350">
        <v>367</v>
      </c>
      <c r="K350">
        <v>173</v>
      </c>
      <c r="L350">
        <v>21465</v>
      </c>
      <c r="M350">
        <v>90</v>
      </c>
      <c r="N350" s="1">
        <v>0.9375</v>
      </c>
      <c r="O350" t="s">
        <v>38</v>
      </c>
    </row>
    <row r="351" spans="1:15" x14ac:dyDescent="0.3">
      <c r="A351" t="s">
        <v>392</v>
      </c>
      <c r="B351">
        <v>20260725</v>
      </c>
      <c r="C351" t="s">
        <v>25</v>
      </c>
      <c r="D351" t="s">
        <v>21</v>
      </c>
      <c r="E351" t="s">
        <v>41</v>
      </c>
      <c r="F351">
        <v>25133</v>
      </c>
      <c r="G351">
        <v>41129</v>
      </c>
      <c r="H351">
        <v>917</v>
      </c>
      <c r="I351">
        <v>92</v>
      </c>
      <c r="J351">
        <v>168</v>
      </c>
      <c r="K351">
        <v>84</v>
      </c>
      <c r="L351">
        <v>20811</v>
      </c>
      <c r="M351">
        <v>379</v>
      </c>
      <c r="N351" s="1">
        <v>0.40625</v>
      </c>
      <c r="O351" t="s">
        <v>53</v>
      </c>
    </row>
    <row r="352" spans="1:15" x14ac:dyDescent="0.3">
      <c r="A352" t="s">
        <v>393</v>
      </c>
      <c r="B352">
        <v>20260421</v>
      </c>
      <c r="C352" t="s">
        <v>25</v>
      </c>
      <c r="D352" t="s">
        <v>33</v>
      </c>
      <c r="E352" t="s">
        <v>18</v>
      </c>
      <c r="F352">
        <v>10611</v>
      </c>
      <c r="G352">
        <v>16958</v>
      </c>
      <c r="H352">
        <v>707</v>
      </c>
      <c r="I352">
        <v>87</v>
      </c>
      <c r="J352">
        <v>70</v>
      </c>
      <c r="K352">
        <v>73</v>
      </c>
      <c r="L352">
        <v>0</v>
      </c>
      <c r="M352">
        <v>187</v>
      </c>
      <c r="N352" s="1">
        <v>0.32291666666666669</v>
      </c>
    </row>
    <row r="353" spans="1:15" x14ac:dyDescent="0.3">
      <c r="A353" t="s">
        <v>394</v>
      </c>
      <c r="B353">
        <v>20260115</v>
      </c>
      <c r="C353" t="s">
        <v>32</v>
      </c>
      <c r="D353" t="s">
        <v>21</v>
      </c>
      <c r="E353" t="s">
        <v>46</v>
      </c>
      <c r="F353">
        <v>1306</v>
      </c>
      <c r="G353">
        <v>1771</v>
      </c>
      <c r="H353">
        <v>73</v>
      </c>
      <c r="I353">
        <v>2</v>
      </c>
      <c r="J353">
        <v>9</v>
      </c>
      <c r="K353">
        <v>3</v>
      </c>
      <c r="L353">
        <v>633</v>
      </c>
      <c r="M353">
        <v>8</v>
      </c>
      <c r="N353" s="1">
        <v>0.84375</v>
      </c>
      <c r="O353" t="s">
        <v>47</v>
      </c>
    </row>
    <row r="354" spans="1:15" x14ac:dyDescent="0.3">
      <c r="A354" t="s">
        <v>395</v>
      </c>
      <c r="B354">
        <v>20260228</v>
      </c>
      <c r="C354" t="s">
        <v>40</v>
      </c>
      <c r="D354" t="s">
        <v>17</v>
      </c>
      <c r="E354" t="s">
        <v>46</v>
      </c>
      <c r="F354">
        <v>31906</v>
      </c>
      <c r="G354">
        <v>52387</v>
      </c>
      <c r="H354">
        <v>1948</v>
      </c>
      <c r="I354">
        <v>54</v>
      </c>
      <c r="J354">
        <v>135</v>
      </c>
      <c r="K354">
        <v>309</v>
      </c>
      <c r="L354">
        <v>11394</v>
      </c>
      <c r="M354">
        <v>444</v>
      </c>
      <c r="N354" s="1">
        <v>0.51041666666666663</v>
      </c>
      <c r="O354" t="s">
        <v>49</v>
      </c>
    </row>
    <row r="355" spans="1:15" x14ac:dyDescent="0.3">
      <c r="A355" t="s">
        <v>396</v>
      </c>
      <c r="B355">
        <v>20251102</v>
      </c>
      <c r="C355" t="s">
        <v>16</v>
      </c>
      <c r="D355" t="s">
        <v>61</v>
      </c>
      <c r="E355" t="s">
        <v>18</v>
      </c>
      <c r="F355">
        <v>17784</v>
      </c>
      <c r="G355">
        <v>28290</v>
      </c>
      <c r="H355">
        <v>1607</v>
      </c>
      <c r="I355">
        <v>118</v>
      </c>
      <c r="J355">
        <v>210</v>
      </c>
      <c r="K355">
        <v>253</v>
      </c>
      <c r="L355">
        <v>0</v>
      </c>
      <c r="M355">
        <v>131</v>
      </c>
      <c r="N355" s="1">
        <v>0.42708333333333331</v>
      </c>
      <c r="O355" t="s">
        <v>23</v>
      </c>
    </row>
    <row r="356" spans="1:15" x14ac:dyDescent="0.3">
      <c r="A356" t="s">
        <v>397</v>
      </c>
      <c r="B356">
        <v>20250614</v>
      </c>
      <c r="C356" t="s">
        <v>32</v>
      </c>
      <c r="D356" t="s">
        <v>21</v>
      </c>
      <c r="E356" t="s">
        <v>46</v>
      </c>
      <c r="F356">
        <v>5577</v>
      </c>
      <c r="G356">
        <v>5857</v>
      </c>
      <c r="H356">
        <v>224</v>
      </c>
      <c r="I356">
        <v>23</v>
      </c>
      <c r="J356">
        <v>19</v>
      </c>
      <c r="K356">
        <v>24</v>
      </c>
      <c r="L356">
        <v>3503</v>
      </c>
      <c r="M356">
        <v>99</v>
      </c>
      <c r="N356" s="1">
        <v>0.625</v>
      </c>
      <c r="O356" t="s">
        <v>49</v>
      </c>
    </row>
    <row r="357" spans="1:15" x14ac:dyDescent="0.3">
      <c r="A357" t="s">
        <v>398</v>
      </c>
      <c r="B357">
        <v>20260804</v>
      </c>
      <c r="C357" t="s">
        <v>44</v>
      </c>
      <c r="D357" t="s">
        <v>36</v>
      </c>
      <c r="E357" t="s">
        <v>46</v>
      </c>
      <c r="F357">
        <v>51946</v>
      </c>
      <c r="G357">
        <v>78167</v>
      </c>
      <c r="H357">
        <v>5916</v>
      </c>
      <c r="I357">
        <v>611</v>
      </c>
      <c r="J357">
        <v>491</v>
      </c>
      <c r="K357">
        <v>561</v>
      </c>
      <c r="L357">
        <v>45467</v>
      </c>
      <c r="M357">
        <v>754</v>
      </c>
      <c r="N357" s="1">
        <v>0.92708333333333337</v>
      </c>
      <c r="O357" t="s">
        <v>30</v>
      </c>
    </row>
    <row r="358" spans="1:15" x14ac:dyDescent="0.3">
      <c r="A358" t="s">
        <v>399</v>
      </c>
      <c r="B358">
        <v>20250527</v>
      </c>
      <c r="C358" t="s">
        <v>44</v>
      </c>
      <c r="D358" t="s">
        <v>33</v>
      </c>
      <c r="E358" t="s">
        <v>26</v>
      </c>
      <c r="F358">
        <v>22794</v>
      </c>
      <c r="G358">
        <v>25438</v>
      </c>
      <c r="H358">
        <v>1205</v>
      </c>
      <c r="I358">
        <v>41</v>
      </c>
      <c r="J358">
        <v>86</v>
      </c>
      <c r="K358">
        <v>109</v>
      </c>
      <c r="L358">
        <v>16955</v>
      </c>
      <c r="M358">
        <v>243</v>
      </c>
      <c r="N358" s="1">
        <v>0.76041666666666663</v>
      </c>
      <c r="O358" t="s">
        <v>49</v>
      </c>
    </row>
    <row r="359" spans="1:15" x14ac:dyDescent="0.3">
      <c r="A359" t="s">
        <v>400</v>
      </c>
      <c r="B359">
        <v>20251214</v>
      </c>
      <c r="C359" t="s">
        <v>44</v>
      </c>
      <c r="D359" t="s">
        <v>21</v>
      </c>
      <c r="E359" t="s">
        <v>41</v>
      </c>
      <c r="F359">
        <v>89741</v>
      </c>
      <c r="G359">
        <v>123494</v>
      </c>
      <c r="H359">
        <v>3860</v>
      </c>
      <c r="I359">
        <v>183</v>
      </c>
      <c r="J359">
        <v>757</v>
      </c>
      <c r="K359">
        <v>196</v>
      </c>
      <c r="L359">
        <v>75454</v>
      </c>
      <c r="M359">
        <v>937</v>
      </c>
      <c r="N359" s="1">
        <v>0.86458333333333337</v>
      </c>
      <c r="O359" t="s">
        <v>30</v>
      </c>
    </row>
    <row r="360" spans="1:15" x14ac:dyDescent="0.3">
      <c r="A360" t="s">
        <v>401</v>
      </c>
      <c r="B360">
        <v>20260403</v>
      </c>
      <c r="C360" t="s">
        <v>44</v>
      </c>
      <c r="D360" t="s">
        <v>17</v>
      </c>
      <c r="E360" t="s">
        <v>41</v>
      </c>
      <c r="F360">
        <v>35737</v>
      </c>
      <c r="G360">
        <v>53790</v>
      </c>
      <c r="H360">
        <v>1010</v>
      </c>
      <c r="I360">
        <v>62</v>
      </c>
      <c r="J360">
        <v>62</v>
      </c>
      <c r="K360">
        <v>156</v>
      </c>
      <c r="L360">
        <v>14530</v>
      </c>
      <c r="M360">
        <v>191</v>
      </c>
      <c r="N360" s="1">
        <v>0.38541666666666669</v>
      </c>
      <c r="O360" t="s">
        <v>27</v>
      </c>
    </row>
    <row r="361" spans="1:15" x14ac:dyDescent="0.3">
      <c r="A361" t="s">
        <v>402</v>
      </c>
      <c r="B361">
        <v>20250604</v>
      </c>
      <c r="C361" t="s">
        <v>44</v>
      </c>
      <c r="D361" t="s">
        <v>33</v>
      </c>
      <c r="E361" t="s">
        <v>41</v>
      </c>
      <c r="F361">
        <v>245596</v>
      </c>
      <c r="G361">
        <v>283037</v>
      </c>
      <c r="H361">
        <v>21122</v>
      </c>
      <c r="I361">
        <v>2240</v>
      </c>
      <c r="J361">
        <v>3854</v>
      </c>
      <c r="K361">
        <v>1239</v>
      </c>
      <c r="L361">
        <v>186294</v>
      </c>
      <c r="M361">
        <v>3474</v>
      </c>
      <c r="N361" s="1">
        <v>0.375</v>
      </c>
      <c r="O361" t="s">
        <v>19</v>
      </c>
    </row>
    <row r="362" spans="1:15" x14ac:dyDescent="0.3">
      <c r="A362" t="s">
        <v>403</v>
      </c>
      <c r="B362">
        <v>20250617</v>
      </c>
      <c r="C362" t="s">
        <v>16</v>
      </c>
      <c r="D362" t="s">
        <v>33</v>
      </c>
      <c r="E362" t="s">
        <v>41</v>
      </c>
      <c r="F362">
        <v>19595</v>
      </c>
      <c r="G362">
        <v>25090</v>
      </c>
      <c r="H362">
        <v>1966</v>
      </c>
      <c r="I362">
        <v>213</v>
      </c>
      <c r="J362">
        <v>338</v>
      </c>
      <c r="K362">
        <v>106</v>
      </c>
      <c r="L362">
        <v>13023</v>
      </c>
      <c r="M362">
        <v>264</v>
      </c>
      <c r="N362" s="1">
        <v>0.89583333333333337</v>
      </c>
      <c r="O362" t="s">
        <v>38</v>
      </c>
    </row>
    <row r="363" spans="1:15" x14ac:dyDescent="0.3">
      <c r="A363" t="s">
        <v>404</v>
      </c>
      <c r="B363">
        <v>20260504</v>
      </c>
      <c r="C363" t="s">
        <v>40</v>
      </c>
      <c r="D363" t="s">
        <v>17</v>
      </c>
      <c r="E363" t="s">
        <v>18</v>
      </c>
      <c r="F363">
        <v>10709</v>
      </c>
      <c r="G363">
        <v>16459</v>
      </c>
      <c r="H363">
        <v>645</v>
      </c>
      <c r="I363">
        <v>64</v>
      </c>
      <c r="J363">
        <v>100</v>
      </c>
      <c r="K363">
        <v>100</v>
      </c>
      <c r="L363">
        <v>0</v>
      </c>
      <c r="M363">
        <v>154</v>
      </c>
      <c r="N363" s="1">
        <v>0.64583333333333337</v>
      </c>
      <c r="O363" t="s">
        <v>23</v>
      </c>
    </row>
    <row r="364" spans="1:15" x14ac:dyDescent="0.3">
      <c r="A364" t="s">
        <v>405</v>
      </c>
      <c r="B364">
        <v>20250329</v>
      </c>
      <c r="C364" t="s">
        <v>25</v>
      </c>
      <c r="D364" t="s">
        <v>61</v>
      </c>
      <c r="E364" t="s">
        <v>46</v>
      </c>
      <c r="F364">
        <v>22899</v>
      </c>
      <c r="G364">
        <v>29717</v>
      </c>
      <c r="H364">
        <v>2498</v>
      </c>
      <c r="I364">
        <v>286</v>
      </c>
      <c r="J364">
        <v>378</v>
      </c>
      <c r="K364">
        <v>308</v>
      </c>
      <c r="L364">
        <v>13665</v>
      </c>
      <c r="M364">
        <v>412</v>
      </c>
      <c r="N364" s="1">
        <v>0.86458333333333337</v>
      </c>
      <c r="O364" t="s">
        <v>19</v>
      </c>
    </row>
    <row r="365" spans="1:15" x14ac:dyDescent="0.3">
      <c r="A365" t="s">
        <v>406</v>
      </c>
      <c r="B365">
        <v>20260401</v>
      </c>
      <c r="C365" t="s">
        <v>25</v>
      </c>
      <c r="D365" t="s">
        <v>17</v>
      </c>
      <c r="E365" t="s">
        <v>41</v>
      </c>
      <c r="F365">
        <v>43740</v>
      </c>
      <c r="G365">
        <v>62116</v>
      </c>
      <c r="H365">
        <v>1370</v>
      </c>
      <c r="I365">
        <v>42</v>
      </c>
      <c r="J365">
        <v>72</v>
      </c>
      <c r="K365">
        <v>114</v>
      </c>
      <c r="L365">
        <v>32960</v>
      </c>
      <c r="M365">
        <v>330</v>
      </c>
      <c r="N365" s="1">
        <v>0.91666666666666663</v>
      </c>
      <c r="O365" t="s">
        <v>23</v>
      </c>
    </row>
    <row r="366" spans="1:15" x14ac:dyDescent="0.3">
      <c r="A366" t="s">
        <v>407</v>
      </c>
      <c r="B366">
        <v>20260130</v>
      </c>
      <c r="C366" t="s">
        <v>44</v>
      </c>
      <c r="D366" t="s">
        <v>17</v>
      </c>
      <c r="E366" t="s">
        <v>41</v>
      </c>
      <c r="F366">
        <v>21051</v>
      </c>
      <c r="G366">
        <v>32402</v>
      </c>
      <c r="H366">
        <v>1126</v>
      </c>
      <c r="I366">
        <v>36</v>
      </c>
      <c r="J366">
        <v>179</v>
      </c>
      <c r="K366">
        <v>149</v>
      </c>
      <c r="L366">
        <v>12476</v>
      </c>
      <c r="M366">
        <v>171</v>
      </c>
      <c r="N366" s="1">
        <v>0.54166666666666663</v>
      </c>
      <c r="O366" t="s">
        <v>23</v>
      </c>
    </row>
    <row r="367" spans="1:15" x14ac:dyDescent="0.3">
      <c r="A367" t="s">
        <v>408</v>
      </c>
      <c r="B367">
        <v>20250314</v>
      </c>
      <c r="C367" t="s">
        <v>16</v>
      </c>
      <c r="D367" t="s">
        <v>68</v>
      </c>
      <c r="E367" t="s">
        <v>26</v>
      </c>
      <c r="F367">
        <v>49809</v>
      </c>
      <c r="G367">
        <v>79807</v>
      </c>
      <c r="H367">
        <v>3316</v>
      </c>
      <c r="I367">
        <v>430</v>
      </c>
      <c r="J367">
        <v>413</v>
      </c>
      <c r="K367">
        <v>259</v>
      </c>
      <c r="L367">
        <v>28020</v>
      </c>
      <c r="M367">
        <v>529</v>
      </c>
      <c r="N367" s="1">
        <v>0.73958333333333337</v>
      </c>
      <c r="O367" t="s">
        <v>38</v>
      </c>
    </row>
    <row r="368" spans="1:15" x14ac:dyDescent="0.3">
      <c r="A368" t="s">
        <v>409</v>
      </c>
      <c r="B368">
        <v>20260714</v>
      </c>
      <c r="C368" t="s">
        <v>40</v>
      </c>
      <c r="D368" t="s">
        <v>29</v>
      </c>
      <c r="E368" t="s">
        <v>18</v>
      </c>
      <c r="F368">
        <v>10141</v>
      </c>
      <c r="G368">
        <v>13213</v>
      </c>
      <c r="H368">
        <v>403</v>
      </c>
      <c r="I368">
        <v>19</v>
      </c>
      <c r="J368">
        <v>13</v>
      </c>
      <c r="K368">
        <v>32</v>
      </c>
      <c r="L368">
        <v>0</v>
      </c>
      <c r="M368">
        <v>69</v>
      </c>
      <c r="N368" s="1">
        <v>0.65625</v>
      </c>
      <c r="O368" t="s">
        <v>47</v>
      </c>
    </row>
    <row r="369" spans="1:15" x14ac:dyDescent="0.3">
      <c r="A369" t="s">
        <v>410</v>
      </c>
      <c r="B369">
        <v>20251023</v>
      </c>
      <c r="C369" t="s">
        <v>40</v>
      </c>
      <c r="D369" t="s">
        <v>33</v>
      </c>
      <c r="E369" t="s">
        <v>46</v>
      </c>
      <c r="F369">
        <v>22093</v>
      </c>
      <c r="G369">
        <v>27713</v>
      </c>
      <c r="H369">
        <v>1703</v>
      </c>
      <c r="I369">
        <v>170</v>
      </c>
      <c r="J369">
        <v>242</v>
      </c>
      <c r="K369">
        <v>214</v>
      </c>
      <c r="L369">
        <v>13950</v>
      </c>
      <c r="M369">
        <v>216</v>
      </c>
      <c r="N369" s="1">
        <v>0.82291666666666663</v>
      </c>
      <c r="O369" t="s">
        <v>27</v>
      </c>
    </row>
    <row r="370" spans="1:15" x14ac:dyDescent="0.3">
      <c r="A370" t="s">
        <v>411</v>
      </c>
      <c r="B370">
        <v>20260721</v>
      </c>
      <c r="C370" t="s">
        <v>16</v>
      </c>
      <c r="D370" t="s">
        <v>33</v>
      </c>
      <c r="E370" t="s">
        <v>51</v>
      </c>
      <c r="F370">
        <v>28017</v>
      </c>
      <c r="G370">
        <v>39669</v>
      </c>
      <c r="H370">
        <v>2318</v>
      </c>
      <c r="I370">
        <v>272</v>
      </c>
      <c r="J370">
        <v>353</v>
      </c>
      <c r="K370">
        <v>339</v>
      </c>
      <c r="L370">
        <v>0</v>
      </c>
      <c r="M370">
        <v>395</v>
      </c>
      <c r="N370" s="1">
        <v>0.40625</v>
      </c>
      <c r="O370" t="s">
        <v>38</v>
      </c>
    </row>
    <row r="371" spans="1:15" x14ac:dyDescent="0.3">
      <c r="A371" t="s">
        <v>412</v>
      </c>
      <c r="B371">
        <v>20260830</v>
      </c>
      <c r="C371" t="s">
        <v>16</v>
      </c>
      <c r="D371" t="s">
        <v>29</v>
      </c>
      <c r="E371" t="s">
        <v>46</v>
      </c>
      <c r="F371">
        <v>46638</v>
      </c>
      <c r="G371">
        <v>60124</v>
      </c>
      <c r="H371">
        <v>4323</v>
      </c>
      <c r="I371">
        <v>307</v>
      </c>
      <c r="J371">
        <v>753</v>
      </c>
      <c r="K371">
        <v>609</v>
      </c>
      <c r="L371">
        <v>25477</v>
      </c>
      <c r="M371">
        <v>837</v>
      </c>
      <c r="N371" s="1">
        <v>0.32291666666666669</v>
      </c>
      <c r="O371" t="s">
        <v>49</v>
      </c>
    </row>
    <row r="372" spans="1:15" x14ac:dyDescent="0.3">
      <c r="A372" t="s">
        <v>413</v>
      </c>
      <c r="B372">
        <v>20260622</v>
      </c>
      <c r="C372" t="s">
        <v>44</v>
      </c>
      <c r="D372" t="s">
        <v>61</v>
      </c>
      <c r="E372" t="s">
        <v>41</v>
      </c>
      <c r="F372">
        <v>49690</v>
      </c>
      <c r="G372">
        <v>61743</v>
      </c>
      <c r="H372">
        <v>5355</v>
      </c>
      <c r="I372">
        <v>498</v>
      </c>
      <c r="J372">
        <v>274</v>
      </c>
      <c r="K372">
        <v>524</v>
      </c>
      <c r="L372">
        <v>18088</v>
      </c>
      <c r="M372">
        <v>379</v>
      </c>
      <c r="N372" s="1">
        <v>0.47916666666666669</v>
      </c>
      <c r="O372" t="s">
        <v>27</v>
      </c>
    </row>
    <row r="373" spans="1:15" x14ac:dyDescent="0.3">
      <c r="A373" t="s">
        <v>414</v>
      </c>
      <c r="B373">
        <v>20250523</v>
      </c>
      <c r="C373" t="s">
        <v>40</v>
      </c>
      <c r="D373" t="s">
        <v>17</v>
      </c>
      <c r="E373" t="s">
        <v>46</v>
      </c>
      <c r="F373">
        <v>34809</v>
      </c>
      <c r="G373">
        <v>47453</v>
      </c>
      <c r="H373">
        <v>3808</v>
      </c>
      <c r="I373">
        <v>344</v>
      </c>
      <c r="J373">
        <v>630</v>
      </c>
      <c r="K373">
        <v>213</v>
      </c>
      <c r="L373">
        <v>16244</v>
      </c>
      <c r="M373">
        <v>79</v>
      </c>
      <c r="N373" s="1">
        <v>0.88541666666666663</v>
      </c>
      <c r="O373" t="s">
        <v>19</v>
      </c>
    </row>
    <row r="374" spans="1:15" x14ac:dyDescent="0.3">
      <c r="A374" t="s">
        <v>415</v>
      </c>
      <c r="B374">
        <v>20251222</v>
      </c>
      <c r="C374" t="s">
        <v>25</v>
      </c>
      <c r="D374" t="s">
        <v>21</v>
      </c>
      <c r="E374" t="s">
        <v>46</v>
      </c>
      <c r="F374">
        <v>22007</v>
      </c>
      <c r="G374">
        <v>28960</v>
      </c>
      <c r="H374">
        <v>1330</v>
      </c>
      <c r="I374">
        <v>101</v>
      </c>
      <c r="J374">
        <v>121</v>
      </c>
      <c r="K374">
        <v>133</v>
      </c>
      <c r="L374">
        <v>17008</v>
      </c>
      <c r="M374">
        <v>344</v>
      </c>
      <c r="N374" s="1">
        <v>0.48958333333333331</v>
      </c>
      <c r="O374" t="s">
        <v>38</v>
      </c>
    </row>
    <row r="375" spans="1:15" x14ac:dyDescent="0.3">
      <c r="A375" t="s">
        <v>416</v>
      </c>
      <c r="B375">
        <v>20260224</v>
      </c>
      <c r="C375" t="s">
        <v>16</v>
      </c>
      <c r="D375" t="s">
        <v>29</v>
      </c>
      <c r="E375" t="s">
        <v>46</v>
      </c>
      <c r="F375">
        <v>48328</v>
      </c>
      <c r="G375">
        <v>65552</v>
      </c>
      <c r="H375">
        <v>5143</v>
      </c>
      <c r="I375">
        <v>329</v>
      </c>
      <c r="J375">
        <v>441</v>
      </c>
      <c r="K375">
        <v>811</v>
      </c>
      <c r="L375">
        <v>26328</v>
      </c>
      <c r="M375">
        <v>139</v>
      </c>
      <c r="N375" s="1">
        <v>0.625</v>
      </c>
      <c r="O375" t="s">
        <v>47</v>
      </c>
    </row>
    <row r="376" spans="1:15" x14ac:dyDescent="0.3">
      <c r="A376" t="s">
        <v>417</v>
      </c>
      <c r="B376">
        <v>20260329</v>
      </c>
      <c r="C376" t="s">
        <v>16</v>
      </c>
      <c r="D376" t="s">
        <v>36</v>
      </c>
      <c r="E376" t="s">
        <v>26</v>
      </c>
      <c r="F376">
        <v>5908</v>
      </c>
      <c r="G376">
        <v>8095</v>
      </c>
      <c r="H376">
        <v>290</v>
      </c>
      <c r="I376">
        <v>29</v>
      </c>
      <c r="J376">
        <v>30</v>
      </c>
      <c r="K376">
        <v>34</v>
      </c>
      <c r="L376">
        <v>3100</v>
      </c>
      <c r="M376">
        <v>45</v>
      </c>
      <c r="N376" s="1">
        <v>0.29166666666666669</v>
      </c>
      <c r="O376" t="s">
        <v>49</v>
      </c>
    </row>
    <row r="377" spans="1:15" x14ac:dyDescent="0.3">
      <c r="A377" t="s">
        <v>418</v>
      </c>
      <c r="B377">
        <v>20251016</v>
      </c>
      <c r="C377" t="s">
        <v>16</v>
      </c>
      <c r="D377" t="s">
        <v>17</v>
      </c>
      <c r="E377" t="s">
        <v>41</v>
      </c>
      <c r="F377">
        <v>29931</v>
      </c>
      <c r="G377">
        <v>47744</v>
      </c>
      <c r="H377">
        <v>2601</v>
      </c>
      <c r="I377">
        <v>357</v>
      </c>
      <c r="J377">
        <v>127</v>
      </c>
      <c r="K377">
        <v>158</v>
      </c>
      <c r="L377">
        <v>13159</v>
      </c>
      <c r="M377">
        <v>256</v>
      </c>
      <c r="N377" s="1">
        <v>0.6875</v>
      </c>
      <c r="O377" t="s">
        <v>47</v>
      </c>
    </row>
    <row r="378" spans="1:15" x14ac:dyDescent="0.3">
      <c r="A378" t="s">
        <v>419</v>
      </c>
      <c r="B378">
        <v>20250203</v>
      </c>
      <c r="C378" t="s">
        <v>44</v>
      </c>
      <c r="D378" t="s">
        <v>21</v>
      </c>
      <c r="E378" t="s">
        <v>18</v>
      </c>
      <c r="F378">
        <v>12304</v>
      </c>
      <c r="G378">
        <v>14072</v>
      </c>
      <c r="H378">
        <v>1026</v>
      </c>
      <c r="I378">
        <v>95</v>
      </c>
      <c r="J378">
        <v>124</v>
      </c>
      <c r="K378">
        <v>103</v>
      </c>
      <c r="L378">
        <v>0</v>
      </c>
      <c r="M378">
        <v>151</v>
      </c>
      <c r="N378" s="1">
        <v>0.55208333333333337</v>
      </c>
      <c r="O378" t="s">
        <v>42</v>
      </c>
    </row>
    <row r="379" spans="1:15" x14ac:dyDescent="0.3">
      <c r="A379" t="s">
        <v>420</v>
      </c>
      <c r="B379">
        <v>20250205</v>
      </c>
      <c r="C379" t="s">
        <v>32</v>
      </c>
      <c r="D379" t="s">
        <v>36</v>
      </c>
      <c r="E379" t="s">
        <v>18</v>
      </c>
      <c r="F379">
        <v>13567</v>
      </c>
      <c r="G379">
        <v>18561</v>
      </c>
      <c r="H379">
        <v>798</v>
      </c>
      <c r="I379">
        <v>77</v>
      </c>
      <c r="J379">
        <v>147</v>
      </c>
      <c r="K379">
        <v>125</v>
      </c>
      <c r="L379">
        <v>0</v>
      </c>
      <c r="M379">
        <v>76</v>
      </c>
      <c r="N379" s="1">
        <v>0.625</v>
      </c>
      <c r="O379" t="s">
        <v>49</v>
      </c>
    </row>
    <row r="380" spans="1:15" x14ac:dyDescent="0.3">
      <c r="A380" t="s">
        <v>421</v>
      </c>
      <c r="B380">
        <v>20260316</v>
      </c>
      <c r="C380" t="s">
        <v>16</v>
      </c>
      <c r="D380" t="s">
        <v>36</v>
      </c>
      <c r="E380" t="s">
        <v>46</v>
      </c>
      <c r="F380">
        <v>37878</v>
      </c>
      <c r="G380">
        <v>56811</v>
      </c>
      <c r="H380">
        <v>2310</v>
      </c>
      <c r="I380">
        <v>272</v>
      </c>
      <c r="J380">
        <v>238</v>
      </c>
      <c r="K380">
        <v>342</v>
      </c>
      <c r="L380">
        <v>20562</v>
      </c>
      <c r="M380">
        <v>506</v>
      </c>
      <c r="N380" s="1">
        <v>0.42708333333333331</v>
      </c>
      <c r="O380" t="s">
        <v>47</v>
      </c>
    </row>
    <row r="381" spans="1:15" x14ac:dyDescent="0.3">
      <c r="A381" t="s">
        <v>422</v>
      </c>
      <c r="B381">
        <v>20250513</v>
      </c>
      <c r="C381" t="s">
        <v>16</v>
      </c>
      <c r="D381" t="s">
        <v>21</v>
      </c>
      <c r="E381" t="s">
        <v>18</v>
      </c>
      <c r="F381">
        <v>16837</v>
      </c>
      <c r="G381">
        <v>20272</v>
      </c>
      <c r="H381">
        <v>1569</v>
      </c>
      <c r="I381">
        <v>150</v>
      </c>
      <c r="J381">
        <v>267</v>
      </c>
      <c r="K381">
        <v>78</v>
      </c>
      <c r="L381">
        <v>0</v>
      </c>
      <c r="M381">
        <v>221</v>
      </c>
      <c r="N381" s="1">
        <v>0.5</v>
      </c>
      <c r="O381" t="s">
        <v>49</v>
      </c>
    </row>
    <row r="382" spans="1:15" x14ac:dyDescent="0.3">
      <c r="A382" t="s">
        <v>423</v>
      </c>
      <c r="B382">
        <v>20250428</v>
      </c>
      <c r="C382" t="s">
        <v>32</v>
      </c>
      <c r="D382" t="s">
        <v>68</v>
      </c>
      <c r="E382" t="s">
        <v>22</v>
      </c>
      <c r="F382">
        <v>9128</v>
      </c>
      <c r="G382">
        <v>12283</v>
      </c>
      <c r="H382">
        <v>405</v>
      </c>
      <c r="I382">
        <v>22</v>
      </c>
      <c r="J382">
        <v>72</v>
      </c>
      <c r="K382">
        <v>17</v>
      </c>
      <c r="L382">
        <v>0</v>
      </c>
      <c r="M382">
        <v>54</v>
      </c>
      <c r="N382" s="1">
        <v>0.59375</v>
      </c>
      <c r="O382" t="s">
        <v>47</v>
      </c>
    </row>
    <row r="383" spans="1:15" x14ac:dyDescent="0.3">
      <c r="A383" t="s">
        <v>424</v>
      </c>
      <c r="B383">
        <v>20250406</v>
      </c>
      <c r="C383" t="s">
        <v>25</v>
      </c>
      <c r="D383" t="s">
        <v>17</v>
      </c>
      <c r="E383" t="s">
        <v>46</v>
      </c>
      <c r="F383">
        <v>14922</v>
      </c>
      <c r="G383">
        <v>18183</v>
      </c>
      <c r="H383">
        <v>1264</v>
      </c>
      <c r="I383">
        <v>54</v>
      </c>
      <c r="J383">
        <v>242</v>
      </c>
      <c r="K383">
        <v>200</v>
      </c>
      <c r="L383">
        <v>10166</v>
      </c>
      <c r="M383">
        <v>253</v>
      </c>
      <c r="N383" s="1">
        <v>0.48958333333333331</v>
      </c>
      <c r="O383" t="s">
        <v>30</v>
      </c>
    </row>
    <row r="384" spans="1:15" x14ac:dyDescent="0.3">
      <c r="A384" t="s">
        <v>425</v>
      </c>
      <c r="B384">
        <v>20250531</v>
      </c>
      <c r="C384" t="s">
        <v>40</v>
      </c>
      <c r="D384" t="s">
        <v>17</v>
      </c>
      <c r="E384" t="s">
        <v>26</v>
      </c>
      <c r="F384">
        <v>4425</v>
      </c>
      <c r="G384">
        <v>6450</v>
      </c>
      <c r="H384">
        <v>467</v>
      </c>
      <c r="I384">
        <v>47</v>
      </c>
      <c r="J384">
        <v>16</v>
      </c>
      <c r="K384">
        <v>27</v>
      </c>
      <c r="L384">
        <v>3949</v>
      </c>
      <c r="M384">
        <v>45</v>
      </c>
      <c r="N384" s="1">
        <v>0.60416666666666663</v>
      </c>
      <c r="O384" t="s">
        <v>49</v>
      </c>
    </row>
    <row r="385" spans="1:15" x14ac:dyDescent="0.3">
      <c r="A385" t="s">
        <v>426</v>
      </c>
      <c r="B385">
        <v>20250107</v>
      </c>
      <c r="C385" t="s">
        <v>16</v>
      </c>
      <c r="D385" t="s">
        <v>21</v>
      </c>
      <c r="E385" t="s">
        <v>41</v>
      </c>
      <c r="F385">
        <v>31117</v>
      </c>
      <c r="G385">
        <v>40890</v>
      </c>
      <c r="H385">
        <v>1791</v>
      </c>
      <c r="I385">
        <v>62</v>
      </c>
      <c r="K385">
        <v>164</v>
      </c>
      <c r="L385">
        <v>19121</v>
      </c>
      <c r="M385">
        <v>202</v>
      </c>
      <c r="N385" s="1">
        <v>0.66666666666666663</v>
      </c>
      <c r="O385" t="s">
        <v>42</v>
      </c>
    </row>
    <row r="386" spans="1:15" x14ac:dyDescent="0.3">
      <c r="A386" t="s">
        <v>427</v>
      </c>
      <c r="B386">
        <v>20260403</v>
      </c>
      <c r="C386" t="s">
        <v>25</v>
      </c>
      <c r="D386" t="s">
        <v>61</v>
      </c>
      <c r="E386" t="s">
        <v>26</v>
      </c>
      <c r="F386">
        <v>12873</v>
      </c>
      <c r="G386">
        <v>15701</v>
      </c>
      <c r="H386">
        <v>688</v>
      </c>
      <c r="I386">
        <v>29</v>
      </c>
      <c r="J386">
        <v>88</v>
      </c>
      <c r="K386">
        <v>75</v>
      </c>
      <c r="L386">
        <v>5039</v>
      </c>
      <c r="M386">
        <v>119</v>
      </c>
      <c r="N386" s="1">
        <v>0.76041666666666663</v>
      </c>
      <c r="O386" t="s">
        <v>38</v>
      </c>
    </row>
    <row r="387" spans="1:15" x14ac:dyDescent="0.3">
      <c r="A387" t="s">
        <v>428</v>
      </c>
      <c r="B387">
        <v>20250111</v>
      </c>
      <c r="C387" t="s">
        <v>44</v>
      </c>
      <c r="D387" t="s">
        <v>17</v>
      </c>
      <c r="E387" t="s">
        <v>46</v>
      </c>
      <c r="F387">
        <v>21239</v>
      </c>
      <c r="G387">
        <v>24159</v>
      </c>
      <c r="H387">
        <v>839</v>
      </c>
      <c r="I387">
        <v>67</v>
      </c>
      <c r="J387">
        <v>108</v>
      </c>
      <c r="K387">
        <v>37</v>
      </c>
      <c r="L387">
        <v>15711</v>
      </c>
      <c r="M387">
        <v>353</v>
      </c>
      <c r="N387" s="1">
        <v>0.6875</v>
      </c>
      <c r="O387" t="s">
        <v>47</v>
      </c>
    </row>
    <row r="388" spans="1:15" x14ac:dyDescent="0.3">
      <c r="A388" t="s">
        <v>429</v>
      </c>
      <c r="B388">
        <v>20250502</v>
      </c>
      <c r="C388" t="s">
        <v>16</v>
      </c>
      <c r="D388" t="s">
        <v>29</v>
      </c>
      <c r="E388" t="s">
        <v>41</v>
      </c>
      <c r="F388">
        <v>65927</v>
      </c>
      <c r="G388">
        <v>76039</v>
      </c>
      <c r="H388">
        <v>7567</v>
      </c>
      <c r="I388">
        <v>306</v>
      </c>
      <c r="J388">
        <v>235</v>
      </c>
      <c r="K388">
        <v>399</v>
      </c>
      <c r="L388">
        <v>43205</v>
      </c>
      <c r="M388">
        <v>867</v>
      </c>
      <c r="N388" s="1">
        <v>0.625</v>
      </c>
      <c r="O388" t="s">
        <v>27</v>
      </c>
    </row>
    <row r="389" spans="1:15" x14ac:dyDescent="0.3">
      <c r="A389" t="s">
        <v>430</v>
      </c>
      <c r="B389">
        <v>20250517</v>
      </c>
      <c r="C389" t="s">
        <v>32</v>
      </c>
      <c r="D389" t="s">
        <v>17</v>
      </c>
      <c r="E389" t="s">
        <v>18</v>
      </c>
      <c r="F389">
        <v>3839</v>
      </c>
      <c r="G389">
        <v>4893</v>
      </c>
      <c r="H389">
        <v>264</v>
      </c>
      <c r="I389">
        <v>13</v>
      </c>
      <c r="J389">
        <v>26</v>
      </c>
      <c r="K389">
        <v>38</v>
      </c>
      <c r="L389">
        <v>0</v>
      </c>
      <c r="M389">
        <v>53</v>
      </c>
      <c r="N389" s="1">
        <v>0.51041666666666663</v>
      </c>
      <c r="O389" t="s">
        <v>30</v>
      </c>
    </row>
    <row r="390" spans="1:15" x14ac:dyDescent="0.3">
      <c r="A390" t="s">
        <v>431</v>
      </c>
      <c r="B390">
        <v>20250920</v>
      </c>
      <c r="C390" t="s">
        <v>25</v>
      </c>
      <c r="D390" t="s">
        <v>36</v>
      </c>
      <c r="E390" t="s">
        <v>18</v>
      </c>
      <c r="F390">
        <v>5939</v>
      </c>
      <c r="G390">
        <v>6842</v>
      </c>
      <c r="H390">
        <v>497</v>
      </c>
      <c r="I390">
        <v>31</v>
      </c>
      <c r="J390">
        <v>97</v>
      </c>
      <c r="K390">
        <v>63</v>
      </c>
      <c r="L390">
        <v>0</v>
      </c>
      <c r="M390">
        <v>105</v>
      </c>
      <c r="N390" s="1">
        <v>0.92708333333333337</v>
      </c>
      <c r="O390" t="s">
        <v>19</v>
      </c>
    </row>
    <row r="391" spans="1:15" x14ac:dyDescent="0.3">
      <c r="A391" t="s">
        <v>432</v>
      </c>
      <c r="B391">
        <v>20251203</v>
      </c>
      <c r="C391" t="s">
        <v>44</v>
      </c>
      <c r="D391" t="s">
        <v>36</v>
      </c>
      <c r="E391" t="s">
        <v>26</v>
      </c>
      <c r="F391">
        <v>23467</v>
      </c>
      <c r="G391">
        <v>33957</v>
      </c>
      <c r="H391">
        <v>2070</v>
      </c>
      <c r="I391">
        <v>72</v>
      </c>
      <c r="J391">
        <v>102</v>
      </c>
      <c r="K391">
        <v>289</v>
      </c>
      <c r="L391">
        <v>13158</v>
      </c>
      <c r="M391">
        <v>96</v>
      </c>
      <c r="N391" s="1">
        <v>0.625</v>
      </c>
      <c r="O391" t="s">
        <v>42</v>
      </c>
    </row>
    <row r="392" spans="1:15" x14ac:dyDescent="0.3">
      <c r="A392" t="s">
        <v>433</v>
      </c>
      <c r="B392">
        <v>20250127</v>
      </c>
      <c r="C392" t="s">
        <v>40</v>
      </c>
      <c r="D392" t="s">
        <v>33</v>
      </c>
      <c r="E392" t="s">
        <v>41</v>
      </c>
      <c r="F392">
        <v>39285</v>
      </c>
      <c r="G392">
        <v>48247</v>
      </c>
      <c r="H392">
        <v>4444</v>
      </c>
      <c r="I392">
        <v>484</v>
      </c>
      <c r="J392">
        <v>431</v>
      </c>
      <c r="K392">
        <v>250</v>
      </c>
      <c r="L392">
        <v>19844</v>
      </c>
      <c r="M392">
        <v>660</v>
      </c>
      <c r="N392" s="1">
        <v>0.375</v>
      </c>
      <c r="O392" t="s">
        <v>27</v>
      </c>
    </row>
    <row r="393" spans="1:15" x14ac:dyDescent="0.3">
      <c r="A393" t="s">
        <v>434</v>
      </c>
      <c r="B393">
        <v>20251220</v>
      </c>
      <c r="C393" t="s">
        <v>32</v>
      </c>
      <c r="D393" t="s">
        <v>17</v>
      </c>
      <c r="E393" t="s">
        <v>51</v>
      </c>
      <c r="F393">
        <v>6062</v>
      </c>
      <c r="G393">
        <v>8373</v>
      </c>
      <c r="H393">
        <v>605</v>
      </c>
      <c r="I393">
        <v>64</v>
      </c>
      <c r="J393">
        <v>103</v>
      </c>
      <c r="K393">
        <v>55</v>
      </c>
      <c r="L393">
        <v>0</v>
      </c>
      <c r="M393">
        <v>22</v>
      </c>
      <c r="N393" s="1">
        <v>0.86458333333333337</v>
      </c>
      <c r="O393" t="s">
        <v>27</v>
      </c>
    </row>
    <row r="394" spans="1:15" x14ac:dyDescent="0.3">
      <c r="A394" t="s">
        <v>435</v>
      </c>
      <c r="B394">
        <v>20250903</v>
      </c>
      <c r="C394" t="s">
        <v>40</v>
      </c>
      <c r="D394" t="s">
        <v>33</v>
      </c>
      <c r="E394" t="s">
        <v>41</v>
      </c>
      <c r="F394">
        <v>15686</v>
      </c>
      <c r="G394">
        <v>20015</v>
      </c>
      <c r="H394">
        <v>1134</v>
      </c>
      <c r="I394">
        <v>78</v>
      </c>
      <c r="J394">
        <v>173</v>
      </c>
      <c r="K394">
        <v>175</v>
      </c>
      <c r="L394">
        <v>5907</v>
      </c>
      <c r="M394">
        <v>54</v>
      </c>
      <c r="N394" s="1">
        <v>0.45833333333333331</v>
      </c>
      <c r="O394" t="s">
        <v>49</v>
      </c>
    </row>
    <row r="395" spans="1:15" x14ac:dyDescent="0.3">
      <c r="A395" t="s">
        <v>436</v>
      </c>
      <c r="B395">
        <v>20250603</v>
      </c>
      <c r="C395" t="s">
        <v>16</v>
      </c>
      <c r="D395" t="s">
        <v>61</v>
      </c>
      <c r="E395" t="s">
        <v>41</v>
      </c>
      <c r="F395">
        <v>11250</v>
      </c>
      <c r="G395">
        <v>11998</v>
      </c>
      <c r="H395">
        <v>1102</v>
      </c>
      <c r="I395">
        <v>91</v>
      </c>
      <c r="J395">
        <v>96</v>
      </c>
      <c r="K395">
        <v>67</v>
      </c>
      <c r="L395">
        <v>7283</v>
      </c>
      <c r="M395">
        <v>185</v>
      </c>
      <c r="N395" s="1">
        <v>0.79166666666666663</v>
      </c>
      <c r="O395" t="s">
        <v>23</v>
      </c>
    </row>
    <row r="396" spans="1:15" x14ac:dyDescent="0.3">
      <c r="A396" t="s">
        <v>437</v>
      </c>
      <c r="B396">
        <v>20260423</v>
      </c>
      <c r="C396" t="s">
        <v>40</v>
      </c>
      <c r="D396" t="s">
        <v>36</v>
      </c>
      <c r="E396" t="s">
        <v>22</v>
      </c>
      <c r="F396">
        <v>9908</v>
      </c>
      <c r="G396">
        <v>16347</v>
      </c>
      <c r="H396">
        <v>388</v>
      </c>
      <c r="I396">
        <v>40</v>
      </c>
      <c r="J396">
        <v>54</v>
      </c>
      <c r="K396">
        <v>38</v>
      </c>
      <c r="L396">
        <v>0</v>
      </c>
      <c r="M396">
        <v>122</v>
      </c>
      <c r="N396" s="1">
        <v>0.41666666666666669</v>
      </c>
      <c r="O396" t="s">
        <v>19</v>
      </c>
    </row>
    <row r="397" spans="1:15" x14ac:dyDescent="0.3">
      <c r="A397" t="s">
        <v>438</v>
      </c>
      <c r="B397">
        <v>20250423</v>
      </c>
      <c r="C397" t="s">
        <v>40</v>
      </c>
      <c r="E397" t="s">
        <v>22</v>
      </c>
      <c r="F397">
        <v>12867</v>
      </c>
      <c r="G397">
        <v>16253</v>
      </c>
      <c r="H397">
        <v>1027</v>
      </c>
      <c r="I397">
        <v>31</v>
      </c>
      <c r="J397">
        <v>188</v>
      </c>
      <c r="K397">
        <v>76</v>
      </c>
      <c r="L397">
        <v>0</v>
      </c>
      <c r="M397">
        <v>18</v>
      </c>
      <c r="N397" s="1">
        <v>0.36458333333333331</v>
      </c>
      <c r="O397" t="s">
        <v>34</v>
      </c>
    </row>
    <row r="398" spans="1:15" x14ac:dyDescent="0.3">
      <c r="A398" t="s">
        <v>439</v>
      </c>
      <c r="B398">
        <v>20260816</v>
      </c>
      <c r="C398" t="s">
        <v>16</v>
      </c>
      <c r="D398" t="s">
        <v>68</v>
      </c>
      <c r="E398" t="s">
        <v>46</v>
      </c>
      <c r="F398">
        <v>22675</v>
      </c>
      <c r="G398">
        <v>26483</v>
      </c>
      <c r="H398">
        <v>715</v>
      </c>
      <c r="I398">
        <v>48</v>
      </c>
      <c r="J398">
        <v>81</v>
      </c>
      <c r="K398">
        <v>109</v>
      </c>
      <c r="L398">
        <v>20335</v>
      </c>
      <c r="M398">
        <v>30</v>
      </c>
      <c r="N398" s="1">
        <v>0.83333333333333337</v>
      </c>
      <c r="O398" t="s">
        <v>47</v>
      </c>
    </row>
    <row r="399" spans="1:15" x14ac:dyDescent="0.3">
      <c r="A399" t="s">
        <v>440</v>
      </c>
      <c r="B399">
        <v>20250322</v>
      </c>
      <c r="C399" t="s">
        <v>44</v>
      </c>
      <c r="D399" t="s">
        <v>17</v>
      </c>
      <c r="E399" t="s">
        <v>46</v>
      </c>
      <c r="F399">
        <v>78406</v>
      </c>
      <c r="G399">
        <v>114719</v>
      </c>
      <c r="H399">
        <v>7558</v>
      </c>
      <c r="I399">
        <v>192</v>
      </c>
      <c r="J399">
        <v>1399</v>
      </c>
      <c r="K399">
        <v>492</v>
      </c>
      <c r="L399">
        <v>54283</v>
      </c>
      <c r="M399">
        <v>524</v>
      </c>
      <c r="N399" s="1">
        <v>0.83333333333333337</v>
      </c>
      <c r="O399" t="s">
        <v>34</v>
      </c>
    </row>
    <row r="400" spans="1:15" x14ac:dyDescent="0.3">
      <c r="A400" t="s">
        <v>441</v>
      </c>
      <c r="B400">
        <v>20250830</v>
      </c>
      <c r="C400" t="s">
        <v>32</v>
      </c>
      <c r="D400" t="s">
        <v>68</v>
      </c>
      <c r="E400" t="s">
        <v>22</v>
      </c>
      <c r="F400">
        <v>8759</v>
      </c>
      <c r="G400">
        <v>14159</v>
      </c>
      <c r="H400">
        <v>842</v>
      </c>
      <c r="I400">
        <v>79</v>
      </c>
      <c r="J400">
        <v>44</v>
      </c>
      <c r="K400">
        <v>35</v>
      </c>
      <c r="L400">
        <v>0</v>
      </c>
      <c r="M400">
        <v>66</v>
      </c>
      <c r="N400" s="1">
        <v>0.42708333333333331</v>
      </c>
      <c r="O400" t="s">
        <v>34</v>
      </c>
    </row>
    <row r="401" spans="1:15" x14ac:dyDescent="0.3">
      <c r="A401" t="s">
        <v>442</v>
      </c>
      <c r="B401">
        <v>20250711</v>
      </c>
      <c r="C401" t="s">
        <v>32</v>
      </c>
      <c r="D401" t="s">
        <v>68</v>
      </c>
      <c r="E401" t="s">
        <v>46</v>
      </c>
      <c r="F401">
        <v>10367</v>
      </c>
      <c r="G401">
        <v>14620</v>
      </c>
      <c r="H401">
        <v>551</v>
      </c>
      <c r="I401">
        <v>18</v>
      </c>
      <c r="J401">
        <v>22</v>
      </c>
      <c r="K401">
        <v>76</v>
      </c>
      <c r="L401">
        <v>6653</v>
      </c>
      <c r="M401">
        <v>133</v>
      </c>
      <c r="N401" s="1">
        <v>0.375</v>
      </c>
      <c r="O401" t="s">
        <v>47</v>
      </c>
    </row>
    <row r="402" spans="1:15" x14ac:dyDescent="0.3">
      <c r="A402" t="s">
        <v>443</v>
      </c>
      <c r="B402">
        <v>20260301</v>
      </c>
      <c r="C402" t="s">
        <v>16</v>
      </c>
      <c r="D402" t="s">
        <v>17</v>
      </c>
      <c r="E402" t="s">
        <v>51</v>
      </c>
      <c r="F402">
        <v>32911</v>
      </c>
      <c r="G402">
        <v>51185</v>
      </c>
      <c r="H402">
        <v>3564</v>
      </c>
      <c r="I402">
        <v>279</v>
      </c>
      <c r="J402">
        <v>619</v>
      </c>
      <c r="K402">
        <v>516</v>
      </c>
      <c r="L402">
        <v>0</v>
      </c>
      <c r="M402">
        <v>398</v>
      </c>
      <c r="N402" s="1">
        <v>0.33333333333333331</v>
      </c>
      <c r="O402" t="s">
        <v>23</v>
      </c>
    </row>
    <row r="403" spans="1:15" x14ac:dyDescent="0.3">
      <c r="A403" t="s">
        <v>444</v>
      </c>
      <c r="B403">
        <v>20250815</v>
      </c>
      <c r="C403" t="s">
        <v>16</v>
      </c>
      <c r="D403" t="s">
        <v>21</v>
      </c>
      <c r="E403" t="s">
        <v>46</v>
      </c>
      <c r="F403">
        <v>21400</v>
      </c>
      <c r="G403">
        <v>25362</v>
      </c>
      <c r="H403">
        <v>1375</v>
      </c>
      <c r="I403">
        <v>71</v>
      </c>
      <c r="J403">
        <v>246</v>
      </c>
      <c r="K403">
        <v>184</v>
      </c>
      <c r="L403">
        <v>7831</v>
      </c>
      <c r="M403">
        <v>212</v>
      </c>
      <c r="N403" s="1">
        <v>0.53125</v>
      </c>
      <c r="O403" t="s">
        <v>34</v>
      </c>
    </row>
    <row r="404" spans="1:15" x14ac:dyDescent="0.3">
      <c r="A404" t="s">
        <v>445</v>
      </c>
      <c r="B404">
        <v>20260616</v>
      </c>
      <c r="C404" t="s">
        <v>32</v>
      </c>
      <c r="D404" t="s">
        <v>36</v>
      </c>
      <c r="E404" t="s">
        <v>18</v>
      </c>
      <c r="F404">
        <v>7075</v>
      </c>
      <c r="G404">
        <v>8215</v>
      </c>
      <c r="H404">
        <v>540</v>
      </c>
      <c r="I404">
        <v>22</v>
      </c>
      <c r="J404">
        <v>68</v>
      </c>
      <c r="K404">
        <v>34</v>
      </c>
      <c r="L404">
        <v>0</v>
      </c>
      <c r="M404">
        <v>87</v>
      </c>
      <c r="N404" s="1">
        <v>0.71875</v>
      </c>
      <c r="O404" t="s">
        <v>19</v>
      </c>
    </row>
    <row r="405" spans="1:15" x14ac:dyDescent="0.3">
      <c r="A405" t="s">
        <v>446</v>
      </c>
      <c r="B405">
        <v>20260222</v>
      </c>
      <c r="C405" t="s">
        <v>16</v>
      </c>
      <c r="D405" t="s">
        <v>29</v>
      </c>
      <c r="E405" t="s">
        <v>46</v>
      </c>
      <c r="F405">
        <v>16967</v>
      </c>
      <c r="G405">
        <v>22213</v>
      </c>
      <c r="H405">
        <v>705</v>
      </c>
      <c r="I405">
        <v>30</v>
      </c>
      <c r="J405">
        <v>84</v>
      </c>
      <c r="K405">
        <v>14</v>
      </c>
      <c r="L405">
        <v>9515</v>
      </c>
      <c r="M405">
        <v>244</v>
      </c>
      <c r="N405" s="1">
        <v>0.88541666666666663</v>
      </c>
      <c r="O405" t="s">
        <v>49</v>
      </c>
    </row>
    <row r="406" spans="1:15" x14ac:dyDescent="0.3">
      <c r="A406" t="s">
        <v>447</v>
      </c>
      <c r="B406">
        <v>20250614</v>
      </c>
      <c r="C406" t="s">
        <v>32</v>
      </c>
      <c r="D406" t="s">
        <v>29</v>
      </c>
      <c r="E406" t="s">
        <v>51</v>
      </c>
      <c r="F406">
        <v>5436</v>
      </c>
      <c r="G406">
        <v>7924</v>
      </c>
      <c r="H406">
        <v>465</v>
      </c>
      <c r="I406">
        <v>21</v>
      </c>
      <c r="J406">
        <v>35</v>
      </c>
      <c r="K406">
        <v>49</v>
      </c>
      <c r="L406">
        <v>0</v>
      </c>
      <c r="M406">
        <v>13</v>
      </c>
      <c r="N406" s="1">
        <v>0.69791666666666663</v>
      </c>
      <c r="O406" t="s">
        <v>30</v>
      </c>
    </row>
    <row r="407" spans="1:15" x14ac:dyDescent="0.3">
      <c r="A407" t="s">
        <v>448</v>
      </c>
      <c r="B407">
        <v>20260705</v>
      </c>
      <c r="C407" t="s">
        <v>32</v>
      </c>
      <c r="D407" t="s">
        <v>17</v>
      </c>
      <c r="E407" t="s">
        <v>51</v>
      </c>
      <c r="F407">
        <v>5983</v>
      </c>
      <c r="G407">
        <v>7059</v>
      </c>
      <c r="H407">
        <v>680</v>
      </c>
      <c r="I407">
        <v>46</v>
      </c>
      <c r="J407">
        <v>34</v>
      </c>
      <c r="K407">
        <v>63</v>
      </c>
      <c r="L407">
        <v>0</v>
      </c>
      <c r="M407">
        <v>64</v>
      </c>
      <c r="N407" s="1">
        <v>0.60416666666666663</v>
      </c>
      <c r="O407" t="s">
        <v>30</v>
      </c>
    </row>
    <row r="408" spans="1:15" x14ac:dyDescent="0.3">
      <c r="A408" t="s">
        <v>449</v>
      </c>
      <c r="B408">
        <v>20250316</v>
      </c>
      <c r="C408" t="s">
        <v>40</v>
      </c>
      <c r="D408" t="s">
        <v>17</v>
      </c>
      <c r="E408" t="s">
        <v>51</v>
      </c>
      <c r="F408">
        <v>23404</v>
      </c>
      <c r="G408">
        <v>26382</v>
      </c>
      <c r="H408">
        <v>1842</v>
      </c>
      <c r="I408">
        <v>127</v>
      </c>
      <c r="J408">
        <v>258</v>
      </c>
      <c r="K408">
        <v>240</v>
      </c>
      <c r="L408">
        <v>0</v>
      </c>
      <c r="M408">
        <v>240</v>
      </c>
      <c r="N408" s="1">
        <v>0.58333333333333337</v>
      </c>
      <c r="O408" t="s">
        <v>34</v>
      </c>
    </row>
    <row r="409" spans="1:15" x14ac:dyDescent="0.3">
      <c r="A409" t="s">
        <v>450</v>
      </c>
      <c r="B409">
        <v>20251028</v>
      </c>
      <c r="C409" t="s">
        <v>40</v>
      </c>
      <c r="D409" t="s">
        <v>33</v>
      </c>
      <c r="E409" t="s">
        <v>46</v>
      </c>
      <c r="F409">
        <v>26090</v>
      </c>
      <c r="G409">
        <v>39171</v>
      </c>
      <c r="H409">
        <v>2352</v>
      </c>
      <c r="I409">
        <v>220</v>
      </c>
      <c r="J409">
        <v>414</v>
      </c>
      <c r="K409">
        <v>344</v>
      </c>
      <c r="L409">
        <v>10247</v>
      </c>
      <c r="M409">
        <v>462</v>
      </c>
      <c r="N409" s="1">
        <v>0.78125</v>
      </c>
      <c r="O409" t="s">
        <v>53</v>
      </c>
    </row>
    <row r="410" spans="1:15" x14ac:dyDescent="0.3">
      <c r="A410" t="s">
        <v>451</v>
      </c>
      <c r="B410">
        <v>20260330</v>
      </c>
      <c r="C410" t="s">
        <v>44</v>
      </c>
      <c r="D410" t="s">
        <v>21</v>
      </c>
      <c r="E410" t="s">
        <v>51</v>
      </c>
      <c r="F410">
        <v>46267</v>
      </c>
      <c r="G410">
        <v>49686</v>
      </c>
      <c r="H410">
        <v>2253</v>
      </c>
      <c r="I410">
        <v>76</v>
      </c>
      <c r="J410">
        <v>414</v>
      </c>
      <c r="K410">
        <v>148</v>
      </c>
      <c r="L410">
        <v>0</v>
      </c>
      <c r="M410">
        <v>102</v>
      </c>
      <c r="N410" s="1">
        <v>0.82291666666666663</v>
      </c>
      <c r="O410" t="s">
        <v>49</v>
      </c>
    </row>
    <row r="411" spans="1:15" x14ac:dyDescent="0.3">
      <c r="A411" t="s">
        <v>452</v>
      </c>
      <c r="B411">
        <v>20251010</v>
      </c>
      <c r="C411" t="s">
        <v>16</v>
      </c>
      <c r="D411" t="s">
        <v>68</v>
      </c>
      <c r="E411" t="s">
        <v>46</v>
      </c>
      <c r="F411">
        <v>30883</v>
      </c>
      <c r="G411">
        <v>48782</v>
      </c>
      <c r="H411">
        <v>2162</v>
      </c>
      <c r="I411">
        <v>207</v>
      </c>
      <c r="J411">
        <v>235</v>
      </c>
      <c r="K411">
        <v>226</v>
      </c>
      <c r="L411">
        <v>12406</v>
      </c>
      <c r="M411">
        <v>139</v>
      </c>
      <c r="N411" s="1">
        <v>0.5625</v>
      </c>
      <c r="O411" t="s">
        <v>49</v>
      </c>
    </row>
    <row r="412" spans="1:15" x14ac:dyDescent="0.3">
      <c r="A412" t="s">
        <v>453</v>
      </c>
      <c r="B412">
        <v>20260929</v>
      </c>
      <c r="C412" t="s">
        <v>16</v>
      </c>
      <c r="D412" t="s">
        <v>29</v>
      </c>
      <c r="E412" t="s">
        <v>18</v>
      </c>
      <c r="F412">
        <v>32822</v>
      </c>
      <c r="G412">
        <v>51501</v>
      </c>
      <c r="H412">
        <v>1047</v>
      </c>
      <c r="I412">
        <v>45</v>
      </c>
      <c r="J412">
        <v>85</v>
      </c>
      <c r="K412">
        <v>36</v>
      </c>
      <c r="L412">
        <v>0</v>
      </c>
      <c r="M412">
        <v>382</v>
      </c>
      <c r="N412" s="1">
        <v>0.48958333333333331</v>
      </c>
      <c r="O412" t="s">
        <v>53</v>
      </c>
    </row>
    <row r="413" spans="1:15" x14ac:dyDescent="0.3">
      <c r="A413" t="s">
        <v>454</v>
      </c>
      <c r="B413">
        <v>20260702</v>
      </c>
      <c r="C413" t="s">
        <v>44</v>
      </c>
      <c r="D413" t="s">
        <v>33</v>
      </c>
      <c r="E413" t="s">
        <v>51</v>
      </c>
      <c r="F413">
        <v>35729</v>
      </c>
      <c r="G413">
        <v>39736</v>
      </c>
      <c r="H413">
        <v>1708</v>
      </c>
      <c r="I413">
        <v>171</v>
      </c>
      <c r="J413">
        <v>269</v>
      </c>
      <c r="K413">
        <v>150</v>
      </c>
      <c r="L413">
        <v>0</v>
      </c>
      <c r="M413">
        <v>396</v>
      </c>
      <c r="N413" s="1">
        <v>0.9375</v>
      </c>
      <c r="O413" t="s">
        <v>38</v>
      </c>
    </row>
    <row r="414" spans="1:15" x14ac:dyDescent="0.3">
      <c r="A414" t="s">
        <v>455</v>
      </c>
      <c r="B414">
        <v>20260117</v>
      </c>
      <c r="C414" t="s">
        <v>44</v>
      </c>
      <c r="D414" t="s">
        <v>17</v>
      </c>
      <c r="E414" t="s">
        <v>18</v>
      </c>
      <c r="F414">
        <v>79974</v>
      </c>
      <c r="G414">
        <v>86031</v>
      </c>
      <c r="H414">
        <v>6055</v>
      </c>
      <c r="I414">
        <v>221</v>
      </c>
      <c r="J414">
        <v>769</v>
      </c>
      <c r="K414">
        <v>709</v>
      </c>
      <c r="L414">
        <v>0</v>
      </c>
      <c r="M414">
        <v>388</v>
      </c>
      <c r="N414" s="1">
        <v>0.63541666666666663</v>
      </c>
      <c r="O414" t="s">
        <v>30</v>
      </c>
    </row>
    <row r="415" spans="1:15" x14ac:dyDescent="0.3">
      <c r="A415" t="s">
        <v>456</v>
      </c>
      <c r="B415">
        <v>20260417</v>
      </c>
      <c r="C415" t="s">
        <v>44</v>
      </c>
      <c r="D415" t="s">
        <v>17</v>
      </c>
      <c r="E415" t="s">
        <v>41</v>
      </c>
      <c r="F415">
        <v>34808</v>
      </c>
      <c r="G415">
        <v>54757</v>
      </c>
      <c r="H415">
        <v>2180</v>
      </c>
      <c r="I415">
        <v>206</v>
      </c>
      <c r="J415">
        <v>225</v>
      </c>
      <c r="K415">
        <v>254</v>
      </c>
      <c r="L415">
        <v>12245</v>
      </c>
      <c r="M415">
        <v>283</v>
      </c>
      <c r="N415" s="1">
        <v>0.58333333333333337</v>
      </c>
      <c r="O415" t="s">
        <v>49</v>
      </c>
    </row>
    <row r="416" spans="1:15" x14ac:dyDescent="0.3">
      <c r="A416" t="s">
        <v>457</v>
      </c>
      <c r="B416">
        <v>20251130</v>
      </c>
      <c r="C416" t="s">
        <v>44</v>
      </c>
      <c r="D416" t="s">
        <v>61</v>
      </c>
      <c r="E416" t="s">
        <v>51</v>
      </c>
      <c r="F416">
        <v>130758</v>
      </c>
      <c r="G416">
        <v>215202</v>
      </c>
      <c r="H416">
        <v>7404</v>
      </c>
      <c r="I416">
        <v>410</v>
      </c>
      <c r="J416">
        <v>1359</v>
      </c>
      <c r="K416">
        <v>164</v>
      </c>
      <c r="L416">
        <v>0</v>
      </c>
      <c r="M416">
        <v>1135</v>
      </c>
      <c r="N416" s="1">
        <v>0.33333333333333331</v>
      </c>
      <c r="O416" t="s">
        <v>49</v>
      </c>
    </row>
    <row r="417" spans="1:15" x14ac:dyDescent="0.3">
      <c r="A417" t="s">
        <v>458</v>
      </c>
      <c r="B417">
        <v>20260514</v>
      </c>
      <c r="C417" t="s">
        <v>25</v>
      </c>
      <c r="D417" t="s">
        <v>17</v>
      </c>
      <c r="E417" t="s">
        <v>22</v>
      </c>
      <c r="F417">
        <v>11756</v>
      </c>
      <c r="G417">
        <v>14731</v>
      </c>
      <c r="H417">
        <v>734</v>
      </c>
      <c r="I417">
        <v>32</v>
      </c>
      <c r="J417">
        <v>105</v>
      </c>
      <c r="K417">
        <v>71</v>
      </c>
      <c r="L417">
        <v>0</v>
      </c>
      <c r="M417">
        <v>133</v>
      </c>
      <c r="N417" s="1">
        <v>0.83333333333333337</v>
      </c>
      <c r="O417" t="s">
        <v>34</v>
      </c>
    </row>
    <row r="418" spans="1:15" x14ac:dyDescent="0.3">
      <c r="A418" t="s">
        <v>459</v>
      </c>
      <c r="B418">
        <v>20260808</v>
      </c>
      <c r="C418" t="s">
        <v>25</v>
      </c>
      <c r="D418" t="s">
        <v>33</v>
      </c>
      <c r="E418" t="s">
        <v>46</v>
      </c>
      <c r="F418">
        <v>19126</v>
      </c>
      <c r="G418">
        <v>22216</v>
      </c>
      <c r="H418">
        <v>1794</v>
      </c>
      <c r="I418">
        <v>84</v>
      </c>
      <c r="J418">
        <v>305</v>
      </c>
      <c r="K418">
        <v>161</v>
      </c>
      <c r="L418">
        <v>11474</v>
      </c>
      <c r="M418">
        <v>63</v>
      </c>
      <c r="N418" s="1">
        <v>0.30208333333333331</v>
      </c>
      <c r="O418" t="s">
        <v>49</v>
      </c>
    </row>
    <row r="419" spans="1:15" x14ac:dyDescent="0.3">
      <c r="A419" t="s">
        <v>460</v>
      </c>
      <c r="B419">
        <v>20250208</v>
      </c>
      <c r="C419" t="s">
        <v>32</v>
      </c>
      <c r="D419" t="s">
        <v>61</v>
      </c>
      <c r="E419" t="s">
        <v>26</v>
      </c>
      <c r="F419">
        <v>10548</v>
      </c>
      <c r="G419">
        <v>11247</v>
      </c>
      <c r="H419">
        <v>1232</v>
      </c>
      <c r="I419">
        <v>83</v>
      </c>
      <c r="J419">
        <v>123</v>
      </c>
      <c r="K419">
        <v>82</v>
      </c>
      <c r="L419">
        <v>7804</v>
      </c>
      <c r="M419">
        <v>16</v>
      </c>
      <c r="N419" s="1">
        <v>0.82291666666666663</v>
      </c>
      <c r="O419" t="s">
        <v>42</v>
      </c>
    </row>
    <row r="420" spans="1:15" x14ac:dyDescent="0.3">
      <c r="A420" t="s">
        <v>461</v>
      </c>
      <c r="B420">
        <v>20250808</v>
      </c>
      <c r="C420" t="s">
        <v>16</v>
      </c>
      <c r="D420" t="s">
        <v>36</v>
      </c>
      <c r="E420" t="s">
        <v>51</v>
      </c>
      <c r="F420">
        <v>22864</v>
      </c>
      <c r="G420">
        <v>33275</v>
      </c>
      <c r="H420">
        <v>2155</v>
      </c>
      <c r="I420">
        <v>121</v>
      </c>
      <c r="J420">
        <v>296</v>
      </c>
      <c r="K420">
        <v>287</v>
      </c>
      <c r="L420">
        <v>0</v>
      </c>
      <c r="M420">
        <v>43</v>
      </c>
      <c r="N420" s="1">
        <v>0.5</v>
      </c>
      <c r="O420" t="s">
        <v>23</v>
      </c>
    </row>
    <row r="421" spans="1:15" x14ac:dyDescent="0.3">
      <c r="A421" t="s">
        <v>462</v>
      </c>
      <c r="B421">
        <v>20250417</v>
      </c>
      <c r="C421" t="s">
        <v>16</v>
      </c>
      <c r="D421" t="s">
        <v>33</v>
      </c>
      <c r="E421" t="s">
        <v>51</v>
      </c>
      <c r="F421">
        <v>31867</v>
      </c>
      <c r="G421">
        <v>38209</v>
      </c>
      <c r="H421">
        <v>3745</v>
      </c>
      <c r="I421">
        <v>195</v>
      </c>
      <c r="J421">
        <v>324</v>
      </c>
      <c r="K421">
        <v>143</v>
      </c>
      <c r="L421">
        <v>0</v>
      </c>
      <c r="M421">
        <v>62</v>
      </c>
      <c r="N421" s="1">
        <v>0.44791666666666669</v>
      </c>
      <c r="O421" t="s">
        <v>34</v>
      </c>
    </row>
    <row r="422" spans="1:15" x14ac:dyDescent="0.3">
      <c r="A422" t="s">
        <v>463</v>
      </c>
      <c r="B422">
        <v>20260602</v>
      </c>
      <c r="C422" t="s">
        <v>44</v>
      </c>
      <c r="D422" t="s">
        <v>21</v>
      </c>
      <c r="E422" t="s">
        <v>46</v>
      </c>
      <c r="F422">
        <v>38542</v>
      </c>
      <c r="G422">
        <v>49578</v>
      </c>
      <c r="H422">
        <v>2685</v>
      </c>
      <c r="I422">
        <v>217</v>
      </c>
      <c r="J422">
        <v>240</v>
      </c>
      <c r="K422">
        <v>363</v>
      </c>
      <c r="L422">
        <v>13895</v>
      </c>
      <c r="M422">
        <v>39</v>
      </c>
      <c r="N422" s="1">
        <v>0.83333333333333337</v>
      </c>
      <c r="O422" t="s">
        <v>42</v>
      </c>
    </row>
    <row r="423" spans="1:15" x14ac:dyDescent="0.3">
      <c r="A423" t="s">
        <v>464</v>
      </c>
      <c r="B423">
        <v>20250513</v>
      </c>
      <c r="C423" t="s">
        <v>16</v>
      </c>
      <c r="D423" t="s">
        <v>29</v>
      </c>
      <c r="E423" t="s">
        <v>18</v>
      </c>
      <c r="F423">
        <v>30273</v>
      </c>
      <c r="G423">
        <v>45363</v>
      </c>
      <c r="H423">
        <v>1308</v>
      </c>
      <c r="I423">
        <v>174</v>
      </c>
      <c r="J423">
        <v>201</v>
      </c>
      <c r="K423">
        <v>193</v>
      </c>
      <c r="L423">
        <v>0</v>
      </c>
      <c r="M423">
        <v>387</v>
      </c>
      <c r="N423" s="1">
        <v>0.92708333333333337</v>
      </c>
      <c r="O423" t="s">
        <v>19</v>
      </c>
    </row>
    <row r="424" spans="1:15" x14ac:dyDescent="0.3">
      <c r="A424" t="s">
        <v>465</v>
      </c>
      <c r="B424">
        <v>20260418</v>
      </c>
      <c r="C424" t="s">
        <v>32</v>
      </c>
      <c r="D424" t="s">
        <v>21</v>
      </c>
      <c r="E424" t="s">
        <v>41</v>
      </c>
      <c r="F424">
        <v>11099</v>
      </c>
      <c r="G424">
        <v>14888</v>
      </c>
      <c r="H424">
        <v>713</v>
      </c>
      <c r="I424">
        <v>72</v>
      </c>
      <c r="J424">
        <v>134</v>
      </c>
      <c r="K424">
        <v>90</v>
      </c>
      <c r="L424">
        <v>6763</v>
      </c>
      <c r="M424">
        <v>48</v>
      </c>
      <c r="N424" s="1">
        <v>0.53125</v>
      </c>
      <c r="O424" t="s">
        <v>49</v>
      </c>
    </row>
    <row r="425" spans="1:15" x14ac:dyDescent="0.3">
      <c r="A425" t="s">
        <v>466</v>
      </c>
      <c r="B425">
        <v>20251108</v>
      </c>
      <c r="C425" t="s">
        <v>40</v>
      </c>
      <c r="D425" t="s">
        <v>21</v>
      </c>
      <c r="E425" t="s">
        <v>18</v>
      </c>
      <c r="F425">
        <v>22225</v>
      </c>
      <c r="G425">
        <v>24664</v>
      </c>
      <c r="H425">
        <v>2348</v>
      </c>
      <c r="I425">
        <v>70</v>
      </c>
      <c r="J425">
        <v>132</v>
      </c>
      <c r="K425">
        <v>324</v>
      </c>
      <c r="L425">
        <v>0</v>
      </c>
      <c r="M425">
        <v>39</v>
      </c>
      <c r="N425" s="1">
        <v>0.80208333333333337</v>
      </c>
      <c r="O425" t="s">
        <v>38</v>
      </c>
    </row>
    <row r="426" spans="1:15" x14ac:dyDescent="0.3">
      <c r="A426" t="s">
        <v>467</v>
      </c>
      <c r="B426">
        <v>20260601</v>
      </c>
      <c r="C426" t="s">
        <v>44</v>
      </c>
      <c r="D426" t="s">
        <v>33</v>
      </c>
      <c r="E426" t="s">
        <v>46</v>
      </c>
      <c r="F426">
        <v>30382</v>
      </c>
      <c r="G426">
        <v>39237</v>
      </c>
      <c r="H426">
        <v>2055</v>
      </c>
      <c r="I426">
        <v>179</v>
      </c>
      <c r="J426">
        <v>267</v>
      </c>
      <c r="K426">
        <v>290</v>
      </c>
      <c r="L426">
        <v>18203</v>
      </c>
      <c r="M426">
        <v>319</v>
      </c>
      <c r="N426" s="1">
        <v>0.39583333333333331</v>
      </c>
      <c r="O426" t="s">
        <v>47</v>
      </c>
    </row>
    <row r="427" spans="1:15" x14ac:dyDescent="0.3">
      <c r="A427" t="s">
        <v>468</v>
      </c>
      <c r="B427">
        <v>20250207</v>
      </c>
      <c r="C427" t="s">
        <v>25</v>
      </c>
      <c r="D427" t="s">
        <v>36</v>
      </c>
      <c r="E427" t="s">
        <v>26</v>
      </c>
      <c r="F427">
        <v>8306</v>
      </c>
      <c r="G427">
        <v>12173</v>
      </c>
      <c r="H427">
        <v>919</v>
      </c>
      <c r="I427">
        <v>80</v>
      </c>
      <c r="J427">
        <v>96</v>
      </c>
      <c r="K427">
        <v>143</v>
      </c>
      <c r="L427">
        <v>6755</v>
      </c>
      <c r="M427">
        <v>11</v>
      </c>
      <c r="N427" s="1">
        <v>0.42708333333333331</v>
      </c>
      <c r="O427" t="s">
        <v>42</v>
      </c>
    </row>
    <row r="428" spans="1:15" x14ac:dyDescent="0.3">
      <c r="A428" t="s">
        <v>469</v>
      </c>
      <c r="B428">
        <v>20250120</v>
      </c>
      <c r="C428" t="s">
        <v>44</v>
      </c>
      <c r="D428" t="s">
        <v>29</v>
      </c>
      <c r="E428" t="s">
        <v>46</v>
      </c>
      <c r="F428">
        <v>52428</v>
      </c>
      <c r="G428">
        <v>69559</v>
      </c>
      <c r="H428">
        <v>5245</v>
      </c>
      <c r="I428">
        <v>631</v>
      </c>
      <c r="J428">
        <v>650</v>
      </c>
      <c r="K428">
        <v>762</v>
      </c>
      <c r="L428">
        <v>24270</v>
      </c>
      <c r="M428">
        <v>392</v>
      </c>
      <c r="N428" s="1">
        <v>0.53125</v>
      </c>
      <c r="O428" t="s">
        <v>38</v>
      </c>
    </row>
    <row r="429" spans="1:15" x14ac:dyDescent="0.3">
      <c r="A429" t="s">
        <v>470</v>
      </c>
      <c r="B429">
        <v>20260805</v>
      </c>
      <c r="C429" t="s">
        <v>40</v>
      </c>
      <c r="D429" t="s">
        <v>36</v>
      </c>
      <c r="E429" t="s">
        <v>22</v>
      </c>
      <c r="F429">
        <v>15871</v>
      </c>
      <c r="G429">
        <v>25099</v>
      </c>
      <c r="H429">
        <v>1885</v>
      </c>
      <c r="I429">
        <v>184</v>
      </c>
      <c r="J429">
        <v>89</v>
      </c>
      <c r="K429">
        <v>175</v>
      </c>
      <c r="L429">
        <v>0</v>
      </c>
      <c r="M429">
        <v>279</v>
      </c>
      <c r="N429" s="1">
        <v>0.48958333333333331</v>
      </c>
      <c r="O429" t="s">
        <v>30</v>
      </c>
    </row>
    <row r="430" spans="1:15" x14ac:dyDescent="0.3">
      <c r="A430" t="s">
        <v>471</v>
      </c>
      <c r="B430">
        <v>20260701</v>
      </c>
      <c r="C430" t="s">
        <v>44</v>
      </c>
      <c r="D430" t="s">
        <v>36</v>
      </c>
      <c r="E430" t="s">
        <v>46</v>
      </c>
      <c r="F430">
        <v>29524</v>
      </c>
      <c r="G430">
        <v>40427</v>
      </c>
      <c r="H430">
        <v>1646</v>
      </c>
      <c r="I430">
        <v>186</v>
      </c>
      <c r="J430">
        <v>171</v>
      </c>
      <c r="K430">
        <v>133</v>
      </c>
      <c r="L430">
        <v>14465</v>
      </c>
      <c r="M430">
        <v>381</v>
      </c>
      <c r="N430" s="1">
        <v>0.63541666666666663</v>
      </c>
      <c r="O430" t="s">
        <v>19</v>
      </c>
    </row>
    <row r="431" spans="1:15" x14ac:dyDescent="0.3">
      <c r="A431" t="s">
        <v>472</v>
      </c>
      <c r="B431">
        <v>20260721</v>
      </c>
      <c r="C431" t="s">
        <v>16</v>
      </c>
      <c r="D431" t="s">
        <v>61</v>
      </c>
      <c r="E431" t="s">
        <v>26</v>
      </c>
      <c r="F431">
        <v>19092</v>
      </c>
      <c r="G431">
        <v>29637</v>
      </c>
      <c r="H431">
        <v>1472</v>
      </c>
      <c r="I431">
        <v>181</v>
      </c>
      <c r="J431">
        <v>86</v>
      </c>
      <c r="K431">
        <v>52</v>
      </c>
      <c r="L431">
        <v>8353</v>
      </c>
      <c r="M431">
        <v>319</v>
      </c>
      <c r="N431" s="1">
        <v>0.88541666666666663</v>
      </c>
      <c r="O431" t="s">
        <v>47</v>
      </c>
    </row>
    <row r="432" spans="1:15" x14ac:dyDescent="0.3">
      <c r="A432" t="s">
        <v>473</v>
      </c>
      <c r="B432">
        <v>20251227</v>
      </c>
      <c r="C432" t="s">
        <v>44</v>
      </c>
      <c r="D432" t="s">
        <v>21</v>
      </c>
      <c r="E432" t="s">
        <v>46</v>
      </c>
      <c r="F432">
        <v>28031</v>
      </c>
      <c r="G432">
        <v>33297</v>
      </c>
      <c r="H432">
        <v>2120</v>
      </c>
      <c r="I432">
        <v>63</v>
      </c>
      <c r="J432">
        <v>86</v>
      </c>
      <c r="K432">
        <v>330</v>
      </c>
      <c r="L432">
        <v>19925</v>
      </c>
      <c r="M432">
        <v>367</v>
      </c>
      <c r="N432" s="1">
        <v>0.47916666666666669</v>
      </c>
      <c r="O432" t="s">
        <v>19</v>
      </c>
    </row>
    <row r="433" spans="1:15" x14ac:dyDescent="0.3">
      <c r="A433" t="s">
        <v>474</v>
      </c>
      <c r="B433">
        <v>20250929</v>
      </c>
      <c r="C433" t="s">
        <v>32</v>
      </c>
      <c r="D433" t="s">
        <v>17</v>
      </c>
      <c r="E433" t="s">
        <v>26</v>
      </c>
      <c r="F433">
        <v>6926</v>
      </c>
      <c r="G433">
        <v>8542</v>
      </c>
      <c r="H433">
        <v>306</v>
      </c>
      <c r="I433">
        <v>10</v>
      </c>
      <c r="J433">
        <v>38</v>
      </c>
      <c r="K433">
        <v>17</v>
      </c>
      <c r="L433">
        <v>2831</v>
      </c>
      <c r="M433">
        <v>64</v>
      </c>
      <c r="N433" s="1">
        <v>0.90625</v>
      </c>
      <c r="O433" t="s">
        <v>53</v>
      </c>
    </row>
    <row r="434" spans="1:15" x14ac:dyDescent="0.3">
      <c r="A434" t="s">
        <v>475</v>
      </c>
      <c r="B434">
        <v>20250212</v>
      </c>
      <c r="C434" t="s">
        <v>40</v>
      </c>
      <c r="D434" t="s">
        <v>29</v>
      </c>
      <c r="E434" t="s">
        <v>22</v>
      </c>
      <c r="F434">
        <v>9270</v>
      </c>
      <c r="G434">
        <v>13442</v>
      </c>
      <c r="H434">
        <v>802</v>
      </c>
      <c r="I434">
        <v>73</v>
      </c>
      <c r="J434">
        <v>88</v>
      </c>
      <c r="K434">
        <v>68</v>
      </c>
      <c r="L434">
        <v>0</v>
      </c>
      <c r="M434">
        <v>19</v>
      </c>
      <c r="N434" s="1">
        <v>0.86458333333333337</v>
      </c>
      <c r="O434" t="s">
        <v>49</v>
      </c>
    </row>
    <row r="435" spans="1:15" x14ac:dyDescent="0.3">
      <c r="A435" t="s">
        <v>476</v>
      </c>
      <c r="B435">
        <v>20260812</v>
      </c>
      <c r="C435" t="s">
        <v>40</v>
      </c>
      <c r="D435" t="s">
        <v>17</v>
      </c>
      <c r="E435" t="s">
        <v>46</v>
      </c>
      <c r="F435">
        <v>25523</v>
      </c>
      <c r="G435">
        <v>38387</v>
      </c>
      <c r="H435">
        <v>2752</v>
      </c>
      <c r="I435">
        <v>307</v>
      </c>
      <c r="J435">
        <v>212</v>
      </c>
      <c r="K435">
        <v>241</v>
      </c>
      <c r="L435">
        <v>13804</v>
      </c>
      <c r="M435">
        <v>197</v>
      </c>
      <c r="N435" s="1">
        <v>0.51041666666666663</v>
      </c>
      <c r="O435" t="s">
        <v>42</v>
      </c>
    </row>
    <row r="436" spans="1:15" x14ac:dyDescent="0.3">
      <c r="A436" t="s">
        <v>477</v>
      </c>
      <c r="B436">
        <v>20251229</v>
      </c>
      <c r="C436" t="s">
        <v>44</v>
      </c>
      <c r="D436" t="s">
        <v>21</v>
      </c>
      <c r="E436" t="s">
        <v>26</v>
      </c>
      <c r="F436">
        <v>31234</v>
      </c>
      <c r="G436">
        <v>41864</v>
      </c>
      <c r="H436">
        <v>3536</v>
      </c>
      <c r="I436">
        <v>309</v>
      </c>
      <c r="J436">
        <v>394</v>
      </c>
      <c r="K436">
        <v>403</v>
      </c>
      <c r="L436">
        <v>24691</v>
      </c>
      <c r="M436">
        <v>124</v>
      </c>
      <c r="N436" s="1">
        <v>0.66666666666666663</v>
      </c>
      <c r="O436" t="s">
        <v>47</v>
      </c>
    </row>
    <row r="437" spans="1:15" x14ac:dyDescent="0.3">
      <c r="A437" t="s">
        <v>478</v>
      </c>
      <c r="B437">
        <v>20251012</v>
      </c>
      <c r="C437" t="s">
        <v>32</v>
      </c>
      <c r="D437" t="s">
        <v>36</v>
      </c>
      <c r="E437" t="s">
        <v>22</v>
      </c>
      <c r="F437">
        <v>9137</v>
      </c>
      <c r="G437">
        <v>12495</v>
      </c>
      <c r="H437">
        <v>589</v>
      </c>
      <c r="I437">
        <v>31</v>
      </c>
      <c r="J437">
        <v>39</v>
      </c>
      <c r="K437">
        <v>77</v>
      </c>
      <c r="L437">
        <v>0</v>
      </c>
      <c r="M437">
        <v>130</v>
      </c>
      <c r="N437" s="1">
        <v>0.44791666666666669</v>
      </c>
      <c r="O437" t="s">
        <v>47</v>
      </c>
    </row>
    <row r="438" spans="1:15" x14ac:dyDescent="0.3">
      <c r="A438" t="s">
        <v>479</v>
      </c>
      <c r="B438">
        <v>20250921</v>
      </c>
      <c r="C438" t="s">
        <v>16</v>
      </c>
      <c r="D438" t="s">
        <v>68</v>
      </c>
      <c r="E438" t="s">
        <v>26</v>
      </c>
      <c r="F438">
        <v>29015</v>
      </c>
      <c r="G438">
        <v>46260</v>
      </c>
      <c r="H438">
        <v>2606</v>
      </c>
      <c r="I438">
        <v>201</v>
      </c>
      <c r="J438">
        <v>393</v>
      </c>
      <c r="K438">
        <v>401</v>
      </c>
      <c r="L438">
        <v>16472</v>
      </c>
      <c r="M438">
        <v>433</v>
      </c>
      <c r="N438" s="1">
        <v>0.9375</v>
      </c>
      <c r="O438" t="s">
        <v>34</v>
      </c>
    </row>
    <row r="439" spans="1:15" x14ac:dyDescent="0.3">
      <c r="A439" t="s">
        <v>480</v>
      </c>
      <c r="B439">
        <v>20251020</v>
      </c>
      <c r="C439" t="s">
        <v>44</v>
      </c>
      <c r="D439" t="s">
        <v>61</v>
      </c>
      <c r="E439" t="s">
        <v>26</v>
      </c>
      <c r="F439">
        <v>54155</v>
      </c>
      <c r="G439">
        <v>77201</v>
      </c>
      <c r="H439">
        <v>4344</v>
      </c>
      <c r="I439">
        <v>593</v>
      </c>
      <c r="J439">
        <v>159</v>
      </c>
      <c r="K439">
        <v>490</v>
      </c>
      <c r="L439">
        <v>39866</v>
      </c>
      <c r="M439">
        <v>748</v>
      </c>
      <c r="N439" s="1">
        <v>0.91666666666666663</v>
      </c>
      <c r="O439" t="s">
        <v>23</v>
      </c>
    </row>
    <row r="440" spans="1:15" x14ac:dyDescent="0.3">
      <c r="A440" t="s">
        <v>481</v>
      </c>
      <c r="B440">
        <v>20260707</v>
      </c>
      <c r="C440" t="s">
        <v>32</v>
      </c>
      <c r="D440" t="s">
        <v>21</v>
      </c>
      <c r="E440" t="s">
        <v>46</v>
      </c>
      <c r="F440">
        <v>13408</v>
      </c>
      <c r="G440">
        <v>20522</v>
      </c>
      <c r="H440">
        <v>731</v>
      </c>
      <c r="I440">
        <v>76</v>
      </c>
      <c r="J440">
        <v>54</v>
      </c>
      <c r="K440">
        <v>77</v>
      </c>
      <c r="L440">
        <v>6317</v>
      </c>
      <c r="M440">
        <v>40</v>
      </c>
      <c r="N440" s="1">
        <v>0.85416666666666663</v>
      </c>
      <c r="O440" t="s">
        <v>49</v>
      </c>
    </row>
    <row r="441" spans="1:15" x14ac:dyDescent="0.3">
      <c r="A441" t="s">
        <v>482</v>
      </c>
      <c r="B441">
        <v>20250908</v>
      </c>
      <c r="C441" t="s">
        <v>44</v>
      </c>
      <c r="D441" t="s">
        <v>29</v>
      </c>
      <c r="E441" t="s">
        <v>46</v>
      </c>
      <c r="F441">
        <v>56329</v>
      </c>
      <c r="G441">
        <v>64106</v>
      </c>
      <c r="H441">
        <v>2178</v>
      </c>
      <c r="I441">
        <v>179</v>
      </c>
      <c r="J441">
        <v>422</v>
      </c>
      <c r="K441">
        <v>172</v>
      </c>
      <c r="L441">
        <v>50204</v>
      </c>
      <c r="M441">
        <v>873</v>
      </c>
      <c r="N441" s="1">
        <v>0.3125</v>
      </c>
    </row>
    <row r="442" spans="1:15" x14ac:dyDescent="0.3">
      <c r="A442" t="s">
        <v>483</v>
      </c>
      <c r="B442">
        <v>20260917</v>
      </c>
      <c r="C442" t="s">
        <v>44</v>
      </c>
      <c r="D442" t="s">
        <v>17</v>
      </c>
      <c r="E442" t="s">
        <v>46</v>
      </c>
      <c r="F442">
        <v>136950</v>
      </c>
      <c r="G442">
        <v>221085</v>
      </c>
      <c r="H442">
        <v>13236</v>
      </c>
      <c r="I442">
        <v>645</v>
      </c>
      <c r="J442">
        <v>918</v>
      </c>
      <c r="K442">
        <v>1205</v>
      </c>
      <c r="L442">
        <v>61763</v>
      </c>
      <c r="M442">
        <v>469</v>
      </c>
      <c r="N442" s="1">
        <v>0.92708333333333337</v>
      </c>
      <c r="O442" t="s">
        <v>23</v>
      </c>
    </row>
    <row r="443" spans="1:15" x14ac:dyDescent="0.3">
      <c r="A443" t="s">
        <v>484</v>
      </c>
      <c r="B443">
        <v>20251119</v>
      </c>
      <c r="C443" t="s">
        <v>16</v>
      </c>
      <c r="D443" t="s">
        <v>61</v>
      </c>
      <c r="E443" t="s">
        <v>26</v>
      </c>
      <c r="F443">
        <v>15793</v>
      </c>
      <c r="G443">
        <v>23217</v>
      </c>
      <c r="H443">
        <v>1225</v>
      </c>
      <c r="I443">
        <v>90</v>
      </c>
      <c r="J443">
        <v>226</v>
      </c>
      <c r="K443">
        <v>189</v>
      </c>
      <c r="L443">
        <v>10433</v>
      </c>
      <c r="M443">
        <v>251</v>
      </c>
      <c r="N443" s="1">
        <v>0.85416666666666663</v>
      </c>
      <c r="O443" t="s">
        <v>19</v>
      </c>
    </row>
    <row r="444" spans="1:15" x14ac:dyDescent="0.3">
      <c r="A444" t="s">
        <v>485</v>
      </c>
      <c r="B444">
        <v>20250726</v>
      </c>
      <c r="C444" t="s">
        <v>44</v>
      </c>
      <c r="D444" t="s">
        <v>21</v>
      </c>
      <c r="E444" t="s">
        <v>46</v>
      </c>
      <c r="F444">
        <v>17712</v>
      </c>
      <c r="G444">
        <v>22852</v>
      </c>
      <c r="H444">
        <v>473</v>
      </c>
      <c r="I444">
        <v>49</v>
      </c>
      <c r="J444">
        <v>62</v>
      </c>
      <c r="K444">
        <v>35</v>
      </c>
      <c r="L444">
        <v>11182</v>
      </c>
      <c r="M444">
        <v>23</v>
      </c>
      <c r="N444" s="1">
        <v>0.45833333333333331</v>
      </c>
      <c r="O444" t="s">
        <v>42</v>
      </c>
    </row>
    <row r="445" spans="1:15" x14ac:dyDescent="0.3">
      <c r="A445" t="s">
        <v>486</v>
      </c>
      <c r="B445">
        <v>20250513</v>
      </c>
      <c r="C445" t="s">
        <v>44</v>
      </c>
      <c r="D445" t="s">
        <v>68</v>
      </c>
      <c r="E445" t="s">
        <v>41</v>
      </c>
      <c r="F445">
        <v>24867</v>
      </c>
      <c r="G445">
        <v>39114</v>
      </c>
      <c r="H445">
        <v>2087</v>
      </c>
      <c r="I445">
        <v>54</v>
      </c>
      <c r="J445">
        <v>264</v>
      </c>
      <c r="K445">
        <v>254</v>
      </c>
      <c r="L445">
        <v>9413</v>
      </c>
      <c r="M445">
        <v>201</v>
      </c>
      <c r="N445" s="1">
        <v>0.44791666666666669</v>
      </c>
      <c r="O445" t="s">
        <v>34</v>
      </c>
    </row>
    <row r="446" spans="1:15" x14ac:dyDescent="0.3">
      <c r="A446" t="s">
        <v>487</v>
      </c>
      <c r="B446">
        <v>20250304</v>
      </c>
      <c r="C446" t="s">
        <v>44</v>
      </c>
      <c r="D446" t="s">
        <v>36</v>
      </c>
      <c r="E446" t="s">
        <v>26</v>
      </c>
      <c r="F446">
        <v>37476</v>
      </c>
      <c r="G446">
        <v>59396</v>
      </c>
      <c r="H446">
        <v>1584</v>
      </c>
      <c r="I446">
        <v>106</v>
      </c>
      <c r="J446">
        <v>190</v>
      </c>
      <c r="K446">
        <v>123</v>
      </c>
      <c r="L446">
        <v>19692</v>
      </c>
      <c r="M446">
        <v>607</v>
      </c>
      <c r="N446" s="1">
        <v>0.86458333333333337</v>
      </c>
      <c r="O446" t="s">
        <v>30</v>
      </c>
    </row>
    <row r="447" spans="1:15" x14ac:dyDescent="0.3">
      <c r="A447" t="s">
        <v>488</v>
      </c>
      <c r="B447">
        <v>20260531</v>
      </c>
      <c r="C447" t="s">
        <v>16</v>
      </c>
      <c r="D447" t="s">
        <v>21</v>
      </c>
      <c r="E447" t="s">
        <v>46</v>
      </c>
      <c r="F447">
        <v>28882</v>
      </c>
      <c r="G447">
        <v>30427</v>
      </c>
      <c r="H447">
        <v>1997</v>
      </c>
      <c r="I447">
        <v>89</v>
      </c>
      <c r="J447">
        <v>318</v>
      </c>
      <c r="K447">
        <v>47</v>
      </c>
      <c r="L447">
        <v>13093</v>
      </c>
      <c r="M447">
        <v>172</v>
      </c>
      <c r="N447" s="1">
        <v>0.48958333333333331</v>
      </c>
      <c r="O447" t="s">
        <v>30</v>
      </c>
    </row>
    <row r="448" spans="1:15" x14ac:dyDescent="0.3">
      <c r="A448" t="s">
        <v>489</v>
      </c>
      <c r="B448">
        <v>20260205</v>
      </c>
      <c r="C448" t="s">
        <v>44</v>
      </c>
      <c r="D448" t="s">
        <v>61</v>
      </c>
      <c r="E448" t="s">
        <v>26</v>
      </c>
      <c r="F448">
        <v>17877</v>
      </c>
      <c r="G448">
        <v>28237</v>
      </c>
      <c r="H448">
        <v>578</v>
      </c>
      <c r="I448">
        <v>17</v>
      </c>
      <c r="J448">
        <v>84</v>
      </c>
      <c r="K448">
        <v>83</v>
      </c>
      <c r="L448">
        <v>7561</v>
      </c>
      <c r="M448">
        <v>277</v>
      </c>
      <c r="N448" s="1">
        <v>0.625</v>
      </c>
      <c r="O448" t="s">
        <v>38</v>
      </c>
    </row>
    <row r="449" spans="1:15" x14ac:dyDescent="0.3">
      <c r="A449" t="s">
        <v>490</v>
      </c>
      <c r="B449">
        <v>20250830</v>
      </c>
      <c r="C449" t="s">
        <v>16</v>
      </c>
      <c r="D449" t="s">
        <v>61</v>
      </c>
      <c r="E449" t="s">
        <v>46</v>
      </c>
      <c r="F449">
        <v>20516</v>
      </c>
      <c r="G449">
        <v>26829</v>
      </c>
      <c r="H449">
        <v>1297</v>
      </c>
      <c r="I449">
        <v>140</v>
      </c>
      <c r="J449">
        <v>87</v>
      </c>
      <c r="K449">
        <v>83</v>
      </c>
      <c r="L449">
        <v>17142</v>
      </c>
      <c r="M449">
        <v>64</v>
      </c>
      <c r="N449" s="1">
        <v>0.80208333333333337</v>
      </c>
      <c r="O449" t="s">
        <v>38</v>
      </c>
    </row>
    <row r="450" spans="1:15" x14ac:dyDescent="0.3">
      <c r="A450" t="s">
        <v>491</v>
      </c>
      <c r="B450">
        <v>20251116</v>
      </c>
      <c r="C450" t="s">
        <v>44</v>
      </c>
      <c r="E450" t="s">
        <v>22</v>
      </c>
      <c r="F450">
        <v>16566</v>
      </c>
      <c r="G450">
        <v>18827</v>
      </c>
      <c r="H450">
        <v>472</v>
      </c>
      <c r="I450">
        <v>27</v>
      </c>
      <c r="J450">
        <v>48</v>
      </c>
      <c r="K450">
        <v>40</v>
      </c>
      <c r="L450">
        <v>0</v>
      </c>
      <c r="M450">
        <v>206</v>
      </c>
      <c r="N450" s="1">
        <v>0.92708333333333337</v>
      </c>
      <c r="O450" t="s">
        <v>30</v>
      </c>
    </row>
    <row r="451" spans="1:15" x14ac:dyDescent="0.3">
      <c r="A451" t="s">
        <v>492</v>
      </c>
      <c r="B451">
        <v>20260905</v>
      </c>
      <c r="C451" t="s">
        <v>40</v>
      </c>
      <c r="D451" t="s">
        <v>36</v>
      </c>
      <c r="E451" t="s">
        <v>46</v>
      </c>
      <c r="F451">
        <v>12394</v>
      </c>
      <c r="G451">
        <v>18174</v>
      </c>
      <c r="H451">
        <v>653</v>
      </c>
      <c r="I451">
        <v>56</v>
      </c>
      <c r="J451">
        <v>27</v>
      </c>
      <c r="K451">
        <v>52</v>
      </c>
      <c r="L451">
        <v>4418</v>
      </c>
      <c r="M451">
        <v>59</v>
      </c>
      <c r="N451" s="1">
        <v>0.60416666666666663</v>
      </c>
      <c r="O451" t="s">
        <v>42</v>
      </c>
    </row>
    <row r="452" spans="1:15" x14ac:dyDescent="0.3">
      <c r="A452" t="s">
        <v>493</v>
      </c>
      <c r="B452">
        <v>20250423</v>
      </c>
      <c r="C452" t="s">
        <v>44</v>
      </c>
      <c r="D452" t="s">
        <v>21</v>
      </c>
      <c r="E452" t="s">
        <v>51</v>
      </c>
      <c r="F452">
        <v>69516</v>
      </c>
      <c r="G452">
        <v>86381</v>
      </c>
      <c r="H452">
        <v>6949</v>
      </c>
      <c r="I452">
        <v>353</v>
      </c>
      <c r="J452">
        <v>665</v>
      </c>
      <c r="K452">
        <v>633</v>
      </c>
      <c r="L452">
        <v>0</v>
      </c>
      <c r="M452">
        <v>973</v>
      </c>
      <c r="N452" s="1">
        <v>0.72916666666666663</v>
      </c>
      <c r="O452" t="s">
        <v>19</v>
      </c>
    </row>
    <row r="453" spans="1:15" x14ac:dyDescent="0.3">
      <c r="A453" t="s">
        <v>494</v>
      </c>
      <c r="B453">
        <v>20260121</v>
      </c>
      <c r="C453" t="s">
        <v>40</v>
      </c>
      <c r="D453" t="s">
        <v>33</v>
      </c>
      <c r="E453" t="s">
        <v>46</v>
      </c>
      <c r="F453">
        <v>9927</v>
      </c>
      <c r="G453">
        <v>13526</v>
      </c>
      <c r="H453">
        <v>596</v>
      </c>
      <c r="I453">
        <v>63</v>
      </c>
      <c r="J453">
        <v>32</v>
      </c>
      <c r="K453">
        <v>50</v>
      </c>
      <c r="L453">
        <v>3493</v>
      </c>
      <c r="M453">
        <v>59</v>
      </c>
      <c r="N453" s="1">
        <v>0.91666666666666663</v>
      </c>
      <c r="O453" t="s">
        <v>49</v>
      </c>
    </row>
    <row r="454" spans="1:15" x14ac:dyDescent="0.3">
      <c r="A454" t="s">
        <v>495</v>
      </c>
      <c r="B454">
        <v>20251111</v>
      </c>
      <c r="C454" t="s">
        <v>16</v>
      </c>
      <c r="D454" t="s">
        <v>17</v>
      </c>
      <c r="E454" t="s">
        <v>22</v>
      </c>
      <c r="F454">
        <v>18488</v>
      </c>
      <c r="G454">
        <v>27659</v>
      </c>
      <c r="H454">
        <v>1403</v>
      </c>
      <c r="I454">
        <v>74</v>
      </c>
      <c r="J454">
        <v>101</v>
      </c>
      <c r="K454">
        <v>138</v>
      </c>
      <c r="L454">
        <v>0</v>
      </c>
      <c r="M454">
        <v>114</v>
      </c>
      <c r="N454" s="1">
        <v>0.46875</v>
      </c>
      <c r="O454" t="s">
        <v>23</v>
      </c>
    </row>
    <row r="455" spans="1:15" x14ac:dyDescent="0.3">
      <c r="A455" t="s">
        <v>496</v>
      </c>
      <c r="B455">
        <v>20260615</v>
      </c>
      <c r="C455" t="s">
        <v>40</v>
      </c>
      <c r="D455" t="s">
        <v>21</v>
      </c>
      <c r="E455" t="s">
        <v>51</v>
      </c>
      <c r="F455">
        <v>24054</v>
      </c>
      <c r="G455">
        <v>34882</v>
      </c>
      <c r="H455">
        <v>1631</v>
      </c>
      <c r="I455">
        <v>161</v>
      </c>
      <c r="J455">
        <v>212</v>
      </c>
      <c r="K455">
        <v>235</v>
      </c>
      <c r="L455">
        <v>0</v>
      </c>
      <c r="M455">
        <v>296</v>
      </c>
      <c r="N455" s="1">
        <v>0.42708333333333331</v>
      </c>
      <c r="O455" t="s">
        <v>19</v>
      </c>
    </row>
    <row r="456" spans="1:15" x14ac:dyDescent="0.3">
      <c r="A456" t="s">
        <v>497</v>
      </c>
      <c r="B456">
        <v>20251108</v>
      </c>
      <c r="C456" t="s">
        <v>32</v>
      </c>
      <c r="D456" t="s">
        <v>17</v>
      </c>
      <c r="E456" t="s">
        <v>22</v>
      </c>
      <c r="F456">
        <v>3377</v>
      </c>
      <c r="G456">
        <v>4815</v>
      </c>
      <c r="H456">
        <v>336</v>
      </c>
      <c r="I456">
        <v>33</v>
      </c>
      <c r="J456">
        <v>19</v>
      </c>
      <c r="K456">
        <v>30</v>
      </c>
      <c r="L456">
        <v>0</v>
      </c>
      <c r="M456">
        <v>14</v>
      </c>
      <c r="N456" s="1">
        <v>0.64583333333333337</v>
      </c>
      <c r="O456" t="s">
        <v>49</v>
      </c>
    </row>
    <row r="457" spans="1:15" x14ac:dyDescent="0.3">
      <c r="A457" t="s">
        <v>498</v>
      </c>
      <c r="B457">
        <v>20260520</v>
      </c>
      <c r="C457" t="s">
        <v>44</v>
      </c>
      <c r="D457" t="s">
        <v>68</v>
      </c>
      <c r="E457" t="s">
        <v>18</v>
      </c>
      <c r="F457">
        <v>50178</v>
      </c>
      <c r="G457">
        <v>69028</v>
      </c>
      <c r="H457">
        <v>4511</v>
      </c>
      <c r="I457">
        <v>154</v>
      </c>
      <c r="J457">
        <v>142</v>
      </c>
      <c r="K457">
        <v>661</v>
      </c>
      <c r="L457">
        <v>0</v>
      </c>
      <c r="M457">
        <v>604</v>
      </c>
      <c r="N457" s="1">
        <v>0.375</v>
      </c>
      <c r="O457" t="s">
        <v>42</v>
      </c>
    </row>
    <row r="458" spans="1:15" x14ac:dyDescent="0.3">
      <c r="A458" t="s">
        <v>499</v>
      </c>
      <c r="B458">
        <v>20260526</v>
      </c>
      <c r="C458" t="s">
        <v>40</v>
      </c>
      <c r="D458" t="s">
        <v>17</v>
      </c>
      <c r="E458" t="s">
        <v>46</v>
      </c>
      <c r="F458">
        <v>31810</v>
      </c>
      <c r="G458">
        <v>49041</v>
      </c>
      <c r="H458">
        <v>1570</v>
      </c>
      <c r="I458">
        <v>133</v>
      </c>
      <c r="J458">
        <v>130</v>
      </c>
      <c r="K458">
        <v>67</v>
      </c>
      <c r="L458">
        <v>22693</v>
      </c>
      <c r="M458">
        <v>253</v>
      </c>
      <c r="N458" s="1">
        <v>0.44791666666666669</v>
      </c>
      <c r="O458" t="s">
        <v>23</v>
      </c>
    </row>
    <row r="459" spans="1:15" x14ac:dyDescent="0.3">
      <c r="A459" t="s">
        <v>500</v>
      </c>
      <c r="B459">
        <v>20250615</v>
      </c>
      <c r="C459" t="s">
        <v>16</v>
      </c>
      <c r="D459" t="s">
        <v>61</v>
      </c>
      <c r="E459" t="s">
        <v>22</v>
      </c>
      <c r="F459">
        <v>32570</v>
      </c>
      <c r="G459">
        <v>39659</v>
      </c>
      <c r="H459">
        <v>1836</v>
      </c>
      <c r="I459">
        <v>136</v>
      </c>
      <c r="J459">
        <v>238</v>
      </c>
      <c r="K459">
        <v>99</v>
      </c>
      <c r="L459">
        <v>0</v>
      </c>
      <c r="M459">
        <v>409</v>
      </c>
      <c r="N459" s="1">
        <v>0.82291666666666663</v>
      </c>
      <c r="O459" t="s">
        <v>19</v>
      </c>
    </row>
    <row r="460" spans="1:15" x14ac:dyDescent="0.3">
      <c r="A460" t="s">
        <v>501</v>
      </c>
      <c r="B460">
        <v>20251023</v>
      </c>
      <c r="C460" t="s">
        <v>16</v>
      </c>
      <c r="D460" t="s">
        <v>68</v>
      </c>
      <c r="E460" t="s">
        <v>18</v>
      </c>
      <c r="F460">
        <v>11207</v>
      </c>
      <c r="G460">
        <v>14152</v>
      </c>
      <c r="H460">
        <v>393</v>
      </c>
      <c r="I460">
        <v>41</v>
      </c>
      <c r="J460">
        <v>12</v>
      </c>
      <c r="K460">
        <v>53</v>
      </c>
      <c r="L460">
        <v>0</v>
      </c>
      <c r="M460">
        <v>193</v>
      </c>
      <c r="N460" s="1">
        <v>0.65625</v>
      </c>
      <c r="O460" t="s">
        <v>23</v>
      </c>
    </row>
    <row r="461" spans="1:15" x14ac:dyDescent="0.3">
      <c r="A461" t="s">
        <v>502</v>
      </c>
      <c r="B461">
        <v>20250409</v>
      </c>
      <c r="C461" t="s">
        <v>44</v>
      </c>
      <c r="D461" t="s">
        <v>33</v>
      </c>
      <c r="E461" t="s">
        <v>41</v>
      </c>
      <c r="F461">
        <v>24678</v>
      </c>
      <c r="G461">
        <v>31464</v>
      </c>
      <c r="H461">
        <v>2520</v>
      </c>
      <c r="I461">
        <v>136</v>
      </c>
      <c r="J461">
        <v>291</v>
      </c>
      <c r="K461">
        <v>271</v>
      </c>
      <c r="L461">
        <v>11952</v>
      </c>
      <c r="M461">
        <v>312</v>
      </c>
      <c r="N461" s="1">
        <v>0.67708333333333337</v>
      </c>
      <c r="O461" t="s">
        <v>42</v>
      </c>
    </row>
    <row r="462" spans="1:15" x14ac:dyDescent="0.3">
      <c r="A462" t="s">
        <v>503</v>
      </c>
      <c r="B462">
        <v>20250215</v>
      </c>
      <c r="C462" t="s">
        <v>25</v>
      </c>
      <c r="D462" t="s">
        <v>68</v>
      </c>
      <c r="E462" t="s">
        <v>18</v>
      </c>
      <c r="F462">
        <v>6996</v>
      </c>
      <c r="G462">
        <v>9145</v>
      </c>
      <c r="H462">
        <v>835</v>
      </c>
      <c r="I462">
        <v>24</v>
      </c>
      <c r="J462">
        <v>134</v>
      </c>
      <c r="K462">
        <v>76</v>
      </c>
      <c r="L462">
        <v>0</v>
      </c>
      <c r="M462">
        <v>83</v>
      </c>
      <c r="N462" s="1">
        <v>0.44791666666666669</v>
      </c>
      <c r="O462" t="s">
        <v>23</v>
      </c>
    </row>
    <row r="463" spans="1:15" x14ac:dyDescent="0.3">
      <c r="A463" t="s">
        <v>504</v>
      </c>
      <c r="B463">
        <v>20250819</v>
      </c>
      <c r="C463" t="s">
        <v>16</v>
      </c>
      <c r="D463" t="s">
        <v>17</v>
      </c>
      <c r="E463" t="s">
        <v>26</v>
      </c>
      <c r="F463">
        <v>6736</v>
      </c>
      <c r="G463">
        <v>10268</v>
      </c>
      <c r="H463">
        <v>517</v>
      </c>
      <c r="I463">
        <v>65</v>
      </c>
      <c r="J463">
        <v>34</v>
      </c>
      <c r="K463">
        <v>55</v>
      </c>
      <c r="L463">
        <v>4390</v>
      </c>
      <c r="M463">
        <v>84</v>
      </c>
      <c r="N463" s="1">
        <v>0.40625</v>
      </c>
      <c r="O463" t="s">
        <v>53</v>
      </c>
    </row>
    <row r="464" spans="1:15" x14ac:dyDescent="0.3">
      <c r="A464" t="s">
        <v>505</v>
      </c>
      <c r="B464">
        <v>20250205</v>
      </c>
      <c r="C464" t="s">
        <v>44</v>
      </c>
      <c r="D464" t="s">
        <v>21</v>
      </c>
      <c r="E464" t="s">
        <v>51</v>
      </c>
      <c r="F464">
        <v>33304</v>
      </c>
      <c r="G464">
        <v>39919</v>
      </c>
      <c r="H464">
        <v>1071</v>
      </c>
      <c r="I464">
        <v>64</v>
      </c>
      <c r="J464">
        <v>191</v>
      </c>
      <c r="K464">
        <v>71</v>
      </c>
      <c r="L464">
        <v>0</v>
      </c>
      <c r="M464">
        <v>430</v>
      </c>
      <c r="N464" s="1">
        <v>0.79166666666666663</v>
      </c>
      <c r="O464" t="s">
        <v>47</v>
      </c>
    </row>
    <row r="465" spans="1:15" x14ac:dyDescent="0.3">
      <c r="A465" t="s">
        <v>506</v>
      </c>
      <c r="B465">
        <v>20260322</v>
      </c>
      <c r="C465" t="s">
        <v>16</v>
      </c>
      <c r="D465" t="s">
        <v>36</v>
      </c>
      <c r="E465" t="s">
        <v>22</v>
      </c>
      <c r="F465">
        <v>22147</v>
      </c>
      <c r="G465">
        <v>36007</v>
      </c>
      <c r="H465">
        <v>1395</v>
      </c>
      <c r="I465">
        <v>166</v>
      </c>
      <c r="J465">
        <v>112</v>
      </c>
      <c r="K465">
        <v>75</v>
      </c>
      <c r="L465">
        <v>0</v>
      </c>
      <c r="M465">
        <v>341</v>
      </c>
      <c r="N465" s="1">
        <v>0.63541666666666663</v>
      </c>
      <c r="O465" t="s">
        <v>47</v>
      </c>
    </row>
    <row r="466" spans="1:15" x14ac:dyDescent="0.3">
      <c r="A466" t="s">
        <v>507</v>
      </c>
      <c r="B466">
        <v>20250109</v>
      </c>
      <c r="C466" t="s">
        <v>40</v>
      </c>
      <c r="D466" t="s">
        <v>68</v>
      </c>
      <c r="E466" t="s">
        <v>26</v>
      </c>
      <c r="F466">
        <v>13878</v>
      </c>
      <c r="G466">
        <v>19128</v>
      </c>
      <c r="H466">
        <v>1630</v>
      </c>
      <c r="I466">
        <v>160</v>
      </c>
      <c r="J466">
        <v>311</v>
      </c>
      <c r="K466">
        <v>178</v>
      </c>
      <c r="L466">
        <v>10563</v>
      </c>
      <c r="M466">
        <v>74</v>
      </c>
      <c r="N466" s="1">
        <v>0.39583333333333331</v>
      </c>
      <c r="O466" t="s">
        <v>23</v>
      </c>
    </row>
    <row r="467" spans="1:15" x14ac:dyDescent="0.3">
      <c r="A467" t="s">
        <v>508</v>
      </c>
      <c r="B467">
        <v>20260205</v>
      </c>
      <c r="C467" t="s">
        <v>16</v>
      </c>
      <c r="D467" t="s">
        <v>68</v>
      </c>
      <c r="E467" t="s">
        <v>41</v>
      </c>
      <c r="F467">
        <v>23317</v>
      </c>
      <c r="G467">
        <v>34857</v>
      </c>
      <c r="H467">
        <v>1051</v>
      </c>
      <c r="I467">
        <v>137</v>
      </c>
      <c r="J467">
        <v>122</v>
      </c>
      <c r="K467">
        <v>113</v>
      </c>
      <c r="L467">
        <v>16187</v>
      </c>
      <c r="M467">
        <v>177</v>
      </c>
      <c r="N467" s="1">
        <v>0.65625</v>
      </c>
      <c r="O467" t="s">
        <v>42</v>
      </c>
    </row>
    <row r="468" spans="1:15" x14ac:dyDescent="0.3">
      <c r="A468" t="s">
        <v>509</v>
      </c>
      <c r="B468">
        <v>20250811</v>
      </c>
      <c r="C468" t="s">
        <v>44</v>
      </c>
      <c r="D468" t="s">
        <v>21</v>
      </c>
      <c r="E468" t="s">
        <v>46</v>
      </c>
      <c r="F468">
        <v>64974</v>
      </c>
      <c r="G468">
        <v>102283</v>
      </c>
      <c r="H468">
        <v>6821</v>
      </c>
      <c r="I468">
        <v>327</v>
      </c>
      <c r="J468">
        <v>798</v>
      </c>
      <c r="K468">
        <v>420</v>
      </c>
      <c r="L468">
        <v>37324</v>
      </c>
      <c r="M468">
        <v>963</v>
      </c>
      <c r="N468" s="1">
        <v>0.76041666666666663</v>
      </c>
      <c r="O468" t="s">
        <v>34</v>
      </c>
    </row>
    <row r="469" spans="1:15" x14ac:dyDescent="0.3">
      <c r="A469" t="s">
        <v>510</v>
      </c>
      <c r="B469">
        <v>20260913</v>
      </c>
      <c r="C469" t="s">
        <v>44</v>
      </c>
      <c r="D469" t="s">
        <v>68</v>
      </c>
      <c r="E469" t="s">
        <v>46</v>
      </c>
      <c r="F469">
        <v>30891</v>
      </c>
      <c r="G469">
        <v>49584</v>
      </c>
      <c r="H469">
        <v>1045</v>
      </c>
      <c r="I469">
        <v>115</v>
      </c>
      <c r="J469">
        <v>147</v>
      </c>
      <c r="K469">
        <v>82</v>
      </c>
      <c r="L469">
        <v>24093</v>
      </c>
      <c r="M469">
        <v>263</v>
      </c>
      <c r="N469" s="1">
        <v>0.86458333333333337</v>
      </c>
      <c r="O469" t="s">
        <v>19</v>
      </c>
    </row>
    <row r="470" spans="1:15" x14ac:dyDescent="0.3">
      <c r="A470" t="s">
        <v>511</v>
      </c>
      <c r="B470">
        <v>20250911</v>
      </c>
      <c r="C470" t="s">
        <v>44</v>
      </c>
      <c r="D470" t="s">
        <v>68</v>
      </c>
      <c r="E470" t="s">
        <v>22</v>
      </c>
      <c r="F470">
        <v>17124</v>
      </c>
      <c r="G470">
        <v>18788</v>
      </c>
      <c r="H470">
        <v>888</v>
      </c>
      <c r="I470">
        <v>98</v>
      </c>
      <c r="J470">
        <v>149</v>
      </c>
      <c r="K470">
        <v>133</v>
      </c>
      <c r="L470">
        <v>0</v>
      </c>
      <c r="M470">
        <v>158</v>
      </c>
      <c r="N470" s="1">
        <v>0.48958333333333331</v>
      </c>
      <c r="O470" t="s">
        <v>49</v>
      </c>
    </row>
    <row r="471" spans="1:15" x14ac:dyDescent="0.3">
      <c r="A471" t="s">
        <v>512</v>
      </c>
      <c r="B471">
        <v>20260827</v>
      </c>
      <c r="C471" t="s">
        <v>25</v>
      </c>
      <c r="D471" t="s">
        <v>17</v>
      </c>
      <c r="E471" t="s">
        <v>18</v>
      </c>
      <c r="F471">
        <v>4452</v>
      </c>
      <c r="G471">
        <v>5577</v>
      </c>
      <c r="H471">
        <v>154</v>
      </c>
      <c r="I471">
        <v>18</v>
      </c>
      <c r="J471">
        <v>10</v>
      </c>
      <c r="K471">
        <v>10</v>
      </c>
      <c r="L471">
        <v>0</v>
      </c>
      <c r="M471">
        <v>6</v>
      </c>
      <c r="N471" s="1">
        <v>0.71875</v>
      </c>
      <c r="O471" t="s">
        <v>19</v>
      </c>
    </row>
    <row r="472" spans="1:15" x14ac:dyDescent="0.3">
      <c r="A472" t="s">
        <v>513</v>
      </c>
      <c r="B472">
        <v>20260421</v>
      </c>
      <c r="C472" t="s">
        <v>16</v>
      </c>
      <c r="D472" t="s">
        <v>33</v>
      </c>
      <c r="E472" t="s">
        <v>46</v>
      </c>
      <c r="F472">
        <v>15337</v>
      </c>
      <c r="G472">
        <v>22816</v>
      </c>
      <c r="H472">
        <v>1397</v>
      </c>
      <c r="I472">
        <v>143</v>
      </c>
      <c r="J472">
        <v>262</v>
      </c>
      <c r="K472">
        <v>60</v>
      </c>
      <c r="L472">
        <v>13177</v>
      </c>
      <c r="M472">
        <v>106</v>
      </c>
      <c r="N472" s="1">
        <v>0.66666666666666663</v>
      </c>
      <c r="O472" t="s">
        <v>53</v>
      </c>
    </row>
    <row r="473" spans="1:15" x14ac:dyDescent="0.3">
      <c r="A473" t="s">
        <v>514</v>
      </c>
      <c r="B473">
        <v>20250327</v>
      </c>
      <c r="C473" t="s">
        <v>16</v>
      </c>
      <c r="D473" t="s">
        <v>68</v>
      </c>
      <c r="E473" t="s">
        <v>18</v>
      </c>
      <c r="F473">
        <v>6516</v>
      </c>
      <c r="G473">
        <v>9158</v>
      </c>
      <c r="H473">
        <v>224</v>
      </c>
      <c r="I473">
        <v>17</v>
      </c>
      <c r="J473">
        <v>17</v>
      </c>
      <c r="K473">
        <v>18</v>
      </c>
      <c r="L473">
        <v>0</v>
      </c>
      <c r="M473">
        <v>115</v>
      </c>
      <c r="N473" s="1">
        <v>0.71875</v>
      </c>
      <c r="O473" t="s">
        <v>38</v>
      </c>
    </row>
    <row r="474" spans="1:15" x14ac:dyDescent="0.3">
      <c r="A474" t="s">
        <v>515</v>
      </c>
      <c r="B474">
        <v>20260606</v>
      </c>
      <c r="C474" t="s">
        <v>40</v>
      </c>
      <c r="D474" t="s">
        <v>61</v>
      </c>
      <c r="E474" t="s">
        <v>46</v>
      </c>
      <c r="F474">
        <v>54179</v>
      </c>
      <c r="G474">
        <v>61307</v>
      </c>
      <c r="H474">
        <v>4444</v>
      </c>
      <c r="I474">
        <v>286</v>
      </c>
      <c r="J474">
        <v>356</v>
      </c>
      <c r="K474">
        <v>254</v>
      </c>
      <c r="L474">
        <v>30170</v>
      </c>
      <c r="M474">
        <v>375</v>
      </c>
      <c r="N474" s="1">
        <v>0.57291666666666663</v>
      </c>
      <c r="O474" t="s">
        <v>19</v>
      </c>
    </row>
    <row r="475" spans="1:15" x14ac:dyDescent="0.3">
      <c r="A475" t="s">
        <v>516</v>
      </c>
      <c r="B475">
        <v>20250527</v>
      </c>
      <c r="C475" t="s">
        <v>40</v>
      </c>
      <c r="D475" t="s">
        <v>33</v>
      </c>
      <c r="E475" t="s">
        <v>41</v>
      </c>
      <c r="F475">
        <v>46875</v>
      </c>
      <c r="G475">
        <v>56152</v>
      </c>
      <c r="H475">
        <v>5202</v>
      </c>
      <c r="I475">
        <v>650</v>
      </c>
      <c r="J475">
        <v>373</v>
      </c>
      <c r="K475">
        <v>778</v>
      </c>
      <c r="L475">
        <v>16620</v>
      </c>
      <c r="M475">
        <v>793</v>
      </c>
      <c r="N475" s="1">
        <v>0.48958333333333331</v>
      </c>
      <c r="O475" t="s">
        <v>30</v>
      </c>
    </row>
    <row r="476" spans="1:15" x14ac:dyDescent="0.3">
      <c r="A476" t="s">
        <v>517</v>
      </c>
      <c r="B476">
        <v>20260314</v>
      </c>
      <c r="C476" t="s">
        <v>44</v>
      </c>
      <c r="D476" t="s">
        <v>61</v>
      </c>
      <c r="E476" t="s">
        <v>46</v>
      </c>
      <c r="F476">
        <v>51586</v>
      </c>
      <c r="G476">
        <v>76879</v>
      </c>
      <c r="H476">
        <v>5745</v>
      </c>
      <c r="I476">
        <v>235</v>
      </c>
      <c r="J476">
        <v>775</v>
      </c>
      <c r="K476">
        <v>515</v>
      </c>
      <c r="L476">
        <v>18847</v>
      </c>
      <c r="M476">
        <v>478</v>
      </c>
      <c r="N476" s="1">
        <v>0.5</v>
      </c>
      <c r="O476" t="s">
        <v>49</v>
      </c>
    </row>
    <row r="477" spans="1:15" x14ac:dyDescent="0.3">
      <c r="A477" t="s">
        <v>518</v>
      </c>
      <c r="B477">
        <v>20250115</v>
      </c>
      <c r="C477" t="s">
        <v>44</v>
      </c>
      <c r="D477" t="s">
        <v>21</v>
      </c>
      <c r="E477" t="s">
        <v>46</v>
      </c>
      <c r="F477">
        <v>96761</v>
      </c>
      <c r="G477">
        <v>102287</v>
      </c>
      <c r="H477">
        <v>4723</v>
      </c>
      <c r="I477">
        <v>649</v>
      </c>
      <c r="J477">
        <v>748</v>
      </c>
      <c r="K477">
        <v>401</v>
      </c>
      <c r="L477">
        <v>48315</v>
      </c>
      <c r="M477">
        <v>472</v>
      </c>
      <c r="N477" s="1">
        <v>0.57291666666666663</v>
      </c>
      <c r="O477" t="s">
        <v>23</v>
      </c>
    </row>
    <row r="478" spans="1:15" x14ac:dyDescent="0.3">
      <c r="A478" t="s">
        <v>519</v>
      </c>
      <c r="B478">
        <v>20250227</v>
      </c>
      <c r="C478" t="s">
        <v>16</v>
      </c>
      <c r="D478" t="s">
        <v>29</v>
      </c>
      <c r="E478" t="s">
        <v>46</v>
      </c>
      <c r="F478">
        <v>52142</v>
      </c>
      <c r="G478">
        <v>63348</v>
      </c>
      <c r="H478">
        <v>3671</v>
      </c>
      <c r="I478">
        <v>341</v>
      </c>
      <c r="J478">
        <v>294</v>
      </c>
      <c r="K478">
        <v>344</v>
      </c>
      <c r="L478">
        <v>27084</v>
      </c>
      <c r="M478">
        <v>912</v>
      </c>
      <c r="N478" s="1">
        <v>0.88541666666666663</v>
      </c>
      <c r="O478" t="s">
        <v>19</v>
      </c>
    </row>
    <row r="479" spans="1:15" x14ac:dyDescent="0.3">
      <c r="A479" t="s">
        <v>520</v>
      </c>
      <c r="B479">
        <v>20260918</v>
      </c>
      <c r="C479" t="s">
        <v>16</v>
      </c>
      <c r="D479" t="s">
        <v>61</v>
      </c>
      <c r="E479" t="s">
        <v>18</v>
      </c>
      <c r="F479">
        <v>29674</v>
      </c>
      <c r="G479">
        <v>40087</v>
      </c>
      <c r="H479">
        <v>1739</v>
      </c>
      <c r="I479">
        <v>77</v>
      </c>
      <c r="J479">
        <v>300</v>
      </c>
      <c r="K479">
        <v>49</v>
      </c>
      <c r="L479">
        <v>0</v>
      </c>
      <c r="M479">
        <v>278</v>
      </c>
      <c r="N479" s="1">
        <v>0.41666666666666669</v>
      </c>
      <c r="O479" t="s">
        <v>38</v>
      </c>
    </row>
    <row r="480" spans="1:15" x14ac:dyDescent="0.3">
      <c r="A480" t="s">
        <v>521</v>
      </c>
      <c r="B480">
        <v>20251208</v>
      </c>
      <c r="C480" t="s">
        <v>40</v>
      </c>
      <c r="D480" t="s">
        <v>36</v>
      </c>
      <c r="E480" t="s">
        <v>51</v>
      </c>
      <c r="F480">
        <v>12090</v>
      </c>
      <c r="G480">
        <v>19233</v>
      </c>
      <c r="H480">
        <v>506</v>
      </c>
      <c r="I480">
        <v>54</v>
      </c>
      <c r="J480">
        <v>43</v>
      </c>
      <c r="K480">
        <v>29</v>
      </c>
      <c r="L480">
        <v>0</v>
      </c>
      <c r="M480">
        <v>187</v>
      </c>
      <c r="N480" s="1">
        <v>0.84375</v>
      </c>
      <c r="O480" t="s">
        <v>19</v>
      </c>
    </row>
    <row r="481" spans="1:15" x14ac:dyDescent="0.3">
      <c r="A481" t="s">
        <v>522</v>
      </c>
      <c r="B481">
        <v>20260706</v>
      </c>
      <c r="C481" t="s">
        <v>40</v>
      </c>
      <c r="D481" t="s">
        <v>17</v>
      </c>
      <c r="E481" t="s">
        <v>26</v>
      </c>
      <c r="F481">
        <v>20085</v>
      </c>
      <c r="G481">
        <v>28634</v>
      </c>
      <c r="H481">
        <v>1552</v>
      </c>
      <c r="I481">
        <v>85</v>
      </c>
      <c r="J481">
        <v>289</v>
      </c>
      <c r="K481">
        <v>236</v>
      </c>
      <c r="L481">
        <v>12139</v>
      </c>
      <c r="M481">
        <v>306</v>
      </c>
      <c r="N481" s="1">
        <v>0.52083333333333337</v>
      </c>
      <c r="O481" t="s">
        <v>53</v>
      </c>
    </row>
    <row r="482" spans="1:15" x14ac:dyDescent="0.3">
      <c r="A482" t="s">
        <v>523</v>
      </c>
      <c r="B482">
        <v>20250308</v>
      </c>
      <c r="C482" t="s">
        <v>16</v>
      </c>
      <c r="D482" t="s">
        <v>29</v>
      </c>
      <c r="E482" t="s">
        <v>18</v>
      </c>
      <c r="F482">
        <v>26171</v>
      </c>
      <c r="G482">
        <v>39436</v>
      </c>
      <c r="H482">
        <v>1029</v>
      </c>
      <c r="I482">
        <v>40</v>
      </c>
      <c r="J482">
        <v>38</v>
      </c>
      <c r="K482">
        <v>157</v>
      </c>
      <c r="L482">
        <v>0</v>
      </c>
      <c r="M482">
        <v>373</v>
      </c>
      <c r="N482" s="1">
        <v>0.375</v>
      </c>
      <c r="O482" t="s">
        <v>19</v>
      </c>
    </row>
    <row r="483" spans="1:15" x14ac:dyDescent="0.3">
      <c r="A483" t="s">
        <v>524</v>
      </c>
      <c r="B483">
        <v>20250605</v>
      </c>
      <c r="C483" t="s">
        <v>16</v>
      </c>
      <c r="D483" t="s">
        <v>17</v>
      </c>
      <c r="E483" t="s">
        <v>51</v>
      </c>
      <c r="F483">
        <v>29556</v>
      </c>
      <c r="G483">
        <v>34231</v>
      </c>
      <c r="H483">
        <v>1340</v>
      </c>
      <c r="I483">
        <v>156</v>
      </c>
      <c r="J483">
        <v>147</v>
      </c>
      <c r="K483">
        <v>86</v>
      </c>
      <c r="L483">
        <v>0</v>
      </c>
      <c r="M483">
        <v>337</v>
      </c>
      <c r="N483" s="1">
        <v>0.40625</v>
      </c>
      <c r="O483" t="s">
        <v>49</v>
      </c>
    </row>
    <row r="484" spans="1:15" x14ac:dyDescent="0.3">
      <c r="A484" t="s">
        <v>525</v>
      </c>
      <c r="B484">
        <v>20250603</v>
      </c>
      <c r="C484" t="s">
        <v>16</v>
      </c>
      <c r="D484" t="s">
        <v>17</v>
      </c>
      <c r="E484" t="s">
        <v>46</v>
      </c>
      <c r="F484">
        <v>40084</v>
      </c>
      <c r="G484">
        <v>45070</v>
      </c>
      <c r="H484">
        <v>4326</v>
      </c>
      <c r="I484">
        <v>384</v>
      </c>
      <c r="J484">
        <v>806</v>
      </c>
      <c r="K484">
        <v>335</v>
      </c>
      <c r="L484">
        <v>32316</v>
      </c>
      <c r="M484">
        <v>453</v>
      </c>
      <c r="N484" s="1">
        <v>0.39583333333333331</v>
      </c>
      <c r="O484" t="s">
        <v>38</v>
      </c>
    </row>
    <row r="485" spans="1:15" x14ac:dyDescent="0.3">
      <c r="A485" t="s">
        <v>526</v>
      </c>
      <c r="B485">
        <v>20260201</v>
      </c>
      <c r="C485" t="s">
        <v>16</v>
      </c>
      <c r="D485" t="s">
        <v>21</v>
      </c>
      <c r="E485" t="s">
        <v>46</v>
      </c>
      <c r="F485">
        <v>17796</v>
      </c>
      <c r="G485">
        <v>21157</v>
      </c>
      <c r="H485">
        <v>1486</v>
      </c>
      <c r="I485">
        <v>199</v>
      </c>
      <c r="J485">
        <v>164</v>
      </c>
      <c r="K485">
        <v>197</v>
      </c>
      <c r="L485">
        <v>11503</v>
      </c>
      <c r="M485">
        <v>267</v>
      </c>
      <c r="N485" s="1">
        <v>0.57291666666666663</v>
      </c>
      <c r="O485" t="s">
        <v>47</v>
      </c>
    </row>
    <row r="486" spans="1:15" x14ac:dyDescent="0.3">
      <c r="A486" t="s">
        <v>527</v>
      </c>
      <c r="B486">
        <v>20260507</v>
      </c>
      <c r="C486" t="s">
        <v>44</v>
      </c>
      <c r="D486" t="s">
        <v>17</v>
      </c>
      <c r="E486" t="s">
        <v>46</v>
      </c>
      <c r="F486">
        <v>23931</v>
      </c>
      <c r="G486">
        <v>36687</v>
      </c>
      <c r="H486">
        <v>854</v>
      </c>
      <c r="I486">
        <v>108</v>
      </c>
      <c r="K486">
        <v>113</v>
      </c>
      <c r="L486">
        <v>16068</v>
      </c>
      <c r="M486">
        <v>141</v>
      </c>
      <c r="N486" s="1">
        <v>0.90625</v>
      </c>
      <c r="O486" t="s">
        <v>42</v>
      </c>
    </row>
    <row r="487" spans="1:15" x14ac:dyDescent="0.3">
      <c r="A487" t="s">
        <v>528</v>
      </c>
      <c r="B487">
        <v>20260224</v>
      </c>
      <c r="C487" t="s">
        <v>32</v>
      </c>
      <c r="D487" t="s">
        <v>21</v>
      </c>
      <c r="E487" t="s">
        <v>26</v>
      </c>
      <c r="F487">
        <v>4293</v>
      </c>
      <c r="G487">
        <v>6790</v>
      </c>
      <c r="H487">
        <v>136</v>
      </c>
      <c r="I487">
        <v>15</v>
      </c>
      <c r="J487">
        <v>11</v>
      </c>
      <c r="K487">
        <v>16</v>
      </c>
      <c r="L487">
        <v>2618</v>
      </c>
      <c r="M487">
        <v>50</v>
      </c>
      <c r="N487" s="1">
        <v>0.78125</v>
      </c>
      <c r="O487" t="s">
        <v>27</v>
      </c>
    </row>
    <row r="488" spans="1:15" x14ac:dyDescent="0.3">
      <c r="A488" t="s">
        <v>529</v>
      </c>
      <c r="B488">
        <v>20251109</v>
      </c>
      <c r="C488" t="s">
        <v>16</v>
      </c>
      <c r="D488" t="s">
        <v>36</v>
      </c>
      <c r="E488" t="s">
        <v>41</v>
      </c>
      <c r="F488">
        <v>64585</v>
      </c>
      <c r="G488">
        <v>68367</v>
      </c>
      <c r="H488">
        <v>4718</v>
      </c>
      <c r="I488">
        <v>430</v>
      </c>
      <c r="J488">
        <v>233</v>
      </c>
      <c r="K488">
        <v>376</v>
      </c>
      <c r="L488">
        <v>44117</v>
      </c>
      <c r="M488">
        <v>352</v>
      </c>
      <c r="N488" s="1">
        <v>0.82291666666666663</v>
      </c>
      <c r="O488" t="s">
        <v>53</v>
      </c>
    </row>
    <row r="489" spans="1:15" x14ac:dyDescent="0.3">
      <c r="A489" t="s">
        <v>530</v>
      </c>
      <c r="B489">
        <v>20250805</v>
      </c>
      <c r="C489" t="s">
        <v>44</v>
      </c>
      <c r="D489" t="s">
        <v>68</v>
      </c>
      <c r="E489" t="s">
        <v>18</v>
      </c>
      <c r="F489">
        <v>20438</v>
      </c>
      <c r="G489">
        <v>28243</v>
      </c>
      <c r="H489">
        <v>1614</v>
      </c>
      <c r="I489">
        <v>84</v>
      </c>
      <c r="J489">
        <v>316</v>
      </c>
      <c r="K489">
        <v>169</v>
      </c>
      <c r="L489">
        <v>0</v>
      </c>
      <c r="M489">
        <v>188</v>
      </c>
      <c r="N489" s="1">
        <v>0.75</v>
      </c>
      <c r="O489" t="s">
        <v>38</v>
      </c>
    </row>
    <row r="490" spans="1:15" x14ac:dyDescent="0.3">
      <c r="A490" t="s">
        <v>531</v>
      </c>
      <c r="B490">
        <v>20260508</v>
      </c>
      <c r="C490" t="s">
        <v>40</v>
      </c>
      <c r="D490" t="s">
        <v>61</v>
      </c>
      <c r="E490" t="s">
        <v>26</v>
      </c>
      <c r="F490">
        <v>7499</v>
      </c>
      <c r="G490">
        <v>8507</v>
      </c>
      <c r="H490">
        <v>332</v>
      </c>
      <c r="I490">
        <v>45</v>
      </c>
      <c r="J490">
        <v>25</v>
      </c>
      <c r="K490">
        <v>24</v>
      </c>
      <c r="L490">
        <v>3076</v>
      </c>
      <c r="M490">
        <v>88</v>
      </c>
      <c r="N490" s="1">
        <v>0.89583333333333337</v>
      </c>
      <c r="O490" t="s">
        <v>42</v>
      </c>
    </row>
    <row r="491" spans="1:15" x14ac:dyDescent="0.3">
      <c r="A491" t="s">
        <v>532</v>
      </c>
      <c r="B491">
        <v>20251120</v>
      </c>
      <c r="C491" t="s">
        <v>25</v>
      </c>
      <c r="D491" t="s">
        <v>61</v>
      </c>
      <c r="E491" t="s">
        <v>41</v>
      </c>
      <c r="F491">
        <v>54277</v>
      </c>
      <c r="G491">
        <v>71628</v>
      </c>
      <c r="H491">
        <v>5671</v>
      </c>
      <c r="I491">
        <v>615</v>
      </c>
      <c r="J491">
        <v>247</v>
      </c>
      <c r="K491">
        <v>618</v>
      </c>
      <c r="L491">
        <v>28677</v>
      </c>
      <c r="M491">
        <v>746</v>
      </c>
      <c r="N491" s="1">
        <v>0.84375</v>
      </c>
      <c r="O491" t="s">
        <v>19</v>
      </c>
    </row>
    <row r="492" spans="1:15" x14ac:dyDescent="0.3">
      <c r="A492" t="s">
        <v>533</v>
      </c>
      <c r="B492">
        <v>20250709</v>
      </c>
      <c r="C492" t="s">
        <v>16</v>
      </c>
      <c r="D492" t="s">
        <v>68</v>
      </c>
      <c r="E492" t="s">
        <v>41</v>
      </c>
      <c r="F492">
        <v>66584</v>
      </c>
      <c r="G492">
        <v>71198</v>
      </c>
      <c r="H492">
        <v>7907</v>
      </c>
      <c r="I492">
        <v>324</v>
      </c>
      <c r="J492">
        <v>396</v>
      </c>
      <c r="K492">
        <v>515</v>
      </c>
      <c r="L492">
        <v>54358</v>
      </c>
      <c r="M492">
        <v>496</v>
      </c>
      <c r="N492" s="1">
        <v>0.48958333333333331</v>
      </c>
      <c r="O492" t="s">
        <v>19</v>
      </c>
    </row>
    <row r="493" spans="1:15" x14ac:dyDescent="0.3">
      <c r="A493" t="s">
        <v>534</v>
      </c>
      <c r="B493">
        <v>20250510</v>
      </c>
      <c r="C493" t="s">
        <v>16</v>
      </c>
      <c r="D493" t="s">
        <v>17</v>
      </c>
      <c r="E493" t="s">
        <v>41</v>
      </c>
      <c r="F493">
        <v>67785</v>
      </c>
      <c r="G493">
        <v>94284</v>
      </c>
      <c r="H493">
        <v>4522</v>
      </c>
      <c r="I493">
        <v>277</v>
      </c>
      <c r="J493">
        <v>479</v>
      </c>
      <c r="K493">
        <v>352</v>
      </c>
      <c r="L493">
        <v>53855</v>
      </c>
      <c r="M493">
        <v>700</v>
      </c>
      <c r="N493" s="1">
        <v>0.79166666666666663</v>
      </c>
      <c r="O493" t="s">
        <v>19</v>
      </c>
    </row>
    <row r="494" spans="1:15" x14ac:dyDescent="0.3">
      <c r="A494" t="s">
        <v>535</v>
      </c>
      <c r="B494">
        <v>20260317</v>
      </c>
      <c r="C494" t="s">
        <v>16</v>
      </c>
      <c r="D494" t="s">
        <v>21</v>
      </c>
      <c r="E494" t="s">
        <v>41</v>
      </c>
      <c r="F494">
        <v>13026</v>
      </c>
      <c r="G494">
        <v>18822</v>
      </c>
      <c r="H494">
        <v>1467</v>
      </c>
      <c r="I494">
        <v>45</v>
      </c>
      <c r="J494">
        <v>251</v>
      </c>
      <c r="K494">
        <v>188</v>
      </c>
      <c r="L494">
        <v>9208</v>
      </c>
      <c r="M494">
        <v>99</v>
      </c>
      <c r="N494" s="1">
        <v>0.71875</v>
      </c>
      <c r="O494" t="s">
        <v>42</v>
      </c>
    </row>
    <row r="495" spans="1:15" x14ac:dyDescent="0.3">
      <c r="A495" t="s">
        <v>536</v>
      </c>
      <c r="B495">
        <v>20260125</v>
      </c>
      <c r="C495" t="s">
        <v>44</v>
      </c>
      <c r="D495" t="s">
        <v>29</v>
      </c>
      <c r="E495" t="s">
        <v>51</v>
      </c>
      <c r="F495">
        <v>32764</v>
      </c>
      <c r="G495">
        <v>35806</v>
      </c>
      <c r="H495">
        <v>1141</v>
      </c>
      <c r="I495">
        <v>47</v>
      </c>
      <c r="J495">
        <v>49</v>
      </c>
      <c r="K495">
        <v>138</v>
      </c>
      <c r="L495">
        <v>0</v>
      </c>
      <c r="M495">
        <v>328</v>
      </c>
      <c r="N495" s="1">
        <v>0.88541666666666663</v>
      </c>
      <c r="O495" t="s">
        <v>27</v>
      </c>
    </row>
    <row r="496" spans="1:15" x14ac:dyDescent="0.3">
      <c r="A496" t="s">
        <v>537</v>
      </c>
      <c r="B496">
        <v>20251101</v>
      </c>
      <c r="C496" t="s">
        <v>25</v>
      </c>
      <c r="D496" t="s">
        <v>36</v>
      </c>
      <c r="E496" t="s">
        <v>18</v>
      </c>
      <c r="F496">
        <v>19918</v>
      </c>
      <c r="G496">
        <v>23555</v>
      </c>
      <c r="H496">
        <v>1921</v>
      </c>
      <c r="I496">
        <v>93</v>
      </c>
      <c r="J496">
        <v>261</v>
      </c>
      <c r="K496">
        <v>261</v>
      </c>
      <c r="L496">
        <v>0</v>
      </c>
      <c r="M496">
        <v>149</v>
      </c>
      <c r="N496" s="1">
        <v>0.55208333333333337</v>
      </c>
      <c r="O496" t="s">
        <v>42</v>
      </c>
    </row>
    <row r="497" spans="1:15" x14ac:dyDescent="0.3">
      <c r="A497" t="s">
        <v>538</v>
      </c>
      <c r="B497">
        <v>20260828</v>
      </c>
      <c r="C497" t="s">
        <v>40</v>
      </c>
      <c r="D497" t="s">
        <v>68</v>
      </c>
      <c r="E497" t="s">
        <v>18</v>
      </c>
      <c r="F497">
        <v>15811</v>
      </c>
      <c r="G497">
        <v>21584</v>
      </c>
      <c r="H497">
        <v>865</v>
      </c>
      <c r="I497">
        <v>32</v>
      </c>
      <c r="J497">
        <v>82</v>
      </c>
      <c r="K497">
        <v>134</v>
      </c>
      <c r="L497">
        <v>0</v>
      </c>
      <c r="M497">
        <v>264</v>
      </c>
      <c r="N497" s="1">
        <v>0.55208333333333337</v>
      </c>
      <c r="O497" t="s">
        <v>49</v>
      </c>
    </row>
    <row r="498" spans="1:15" x14ac:dyDescent="0.3">
      <c r="A498" t="s">
        <v>539</v>
      </c>
      <c r="B498">
        <v>20260126</v>
      </c>
      <c r="C498" t="s">
        <v>16</v>
      </c>
      <c r="D498" t="s">
        <v>21</v>
      </c>
      <c r="E498" t="s">
        <v>46</v>
      </c>
      <c r="F498">
        <v>47714</v>
      </c>
      <c r="G498">
        <v>62470</v>
      </c>
      <c r="H498">
        <v>1872</v>
      </c>
      <c r="I498">
        <v>217</v>
      </c>
      <c r="J498">
        <v>144</v>
      </c>
      <c r="K498">
        <v>188</v>
      </c>
      <c r="L498">
        <v>39216</v>
      </c>
      <c r="M498">
        <v>461</v>
      </c>
      <c r="N498" s="1">
        <v>0.33333333333333331</v>
      </c>
      <c r="O498" t="s">
        <v>49</v>
      </c>
    </row>
    <row r="499" spans="1:15" x14ac:dyDescent="0.3">
      <c r="A499" t="s">
        <v>540</v>
      </c>
      <c r="B499">
        <v>20250429</v>
      </c>
      <c r="C499" t="s">
        <v>40</v>
      </c>
      <c r="D499" t="s">
        <v>61</v>
      </c>
      <c r="E499" t="s">
        <v>46</v>
      </c>
      <c r="F499">
        <v>30901</v>
      </c>
      <c r="G499">
        <v>45459</v>
      </c>
      <c r="H499">
        <v>2211</v>
      </c>
      <c r="I499">
        <v>77</v>
      </c>
      <c r="J499">
        <v>368</v>
      </c>
      <c r="K499">
        <v>182</v>
      </c>
      <c r="L499">
        <v>14219</v>
      </c>
      <c r="M499">
        <v>166</v>
      </c>
      <c r="N499" s="1">
        <v>0.91666666666666663</v>
      </c>
      <c r="O499" t="s">
        <v>38</v>
      </c>
    </row>
    <row r="500" spans="1:15" x14ac:dyDescent="0.3">
      <c r="A500" t="s">
        <v>541</v>
      </c>
      <c r="B500">
        <v>20250723</v>
      </c>
      <c r="C500" t="s">
        <v>40</v>
      </c>
      <c r="D500" t="s">
        <v>68</v>
      </c>
      <c r="E500" t="s">
        <v>26</v>
      </c>
      <c r="F500">
        <v>22045</v>
      </c>
      <c r="G500">
        <v>30314</v>
      </c>
      <c r="H500">
        <v>1839</v>
      </c>
      <c r="I500">
        <v>125</v>
      </c>
      <c r="J500">
        <v>62</v>
      </c>
      <c r="K500">
        <v>47</v>
      </c>
      <c r="L500">
        <v>9573</v>
      </c>
      <c r="M500">
        <v>153</v>
      </c>
      <c r="N500" s="1">
        <v>0.38541666666666669</v>
      </c>
      <c r="O500" t="s">
        <v>42</v>
      </c>
    </row>
    <row r="501" spans="1:15" x14ac:dyDescent="0.3">
      <c r="A501" t="s">
        <v>542</v>
      </c>
      <c r="B501">
        <v>20250925</v>
      </c>
      <c r="C501" t="s">
        <v>44</v>
      </c>
      <c r="D501" t="s">
        <v>33</v>
      </c>
      <c r="E501" t="s">
        <v>46</v>
      </c>
      <c r="F501">
        <v>62411</v>
      </c>
      <c r="G501">
        <v>83831</v>
      </c>
      <c r="H501">
        <v>7252</v>
      </c>
      <c r="I501">
        <v>736</v>
      </c>
      <c r="J501">
        <v>846</v>
      </c>
      <c r="K501">
        <v>628</v>
      </c>
      <c r="L501">
        <v>26212</v>
      </c>
      <c r="M501">
        <v>293</v>
      </c>
      <c r="N501" s="1">
        <v>0.76041666666666663</v>
      </c>
      <c r="O501" t="s">
        <v>23</v>
      </c>
    </row>
    <row r="502" spans="1:15" x14ac:dyDescent="0.3">
      <c r="A502" t="s">
        <v>543</v>
      </c>
      <c r="B502">
        <v>20260914</v>
      </c>
      <c r="C502" t="s">
        <v>44</v>
      </c>
      <c r="D502" t="s">
        <v>29</v>
      </c>
      <c r="E502" t="s">
        <v>51</v>
      </c>
      <c r="F502">
        <v>46764</v>
      </c>
      <c r="G502">
        <v>71123</v>
      </c>
      <c r="H502">
        <v>4674</v>
      </c>
      <c r="I502">
        <v>575</v>
      </c>
      <c r="J502">
        <v>654</v>
      </c>
      <c r="K502">
        <v>439</v>
      </c>
      <c r="L502">
        <v>0</v>
      </c>
      <c r="M502">
        <v>440</v>
      </c>
      <c r="N502" s="1">
        <v>0.5625</v>
      </c>
      <c r="O502" t="s">
        <v>34</v>
      </c>
    </row>
    <row r="503" spans="1:15" x14ac:dyDescent="0.3">
      <c r="A503" t="s">
        <v>544</v>
      </c>
      <c r="B503">
        <v>20250817</v>
      </c>
      <c r="C503" t="s">
        <v>16</v>
      </c>
      <c r="D503" t="s">
        <v>17</v>
      </c>
      <c r="E503" t="s">
        <v>41</v>
      </c>
      <c r="F503">
        <v>32341</v>
      </c>
      <c r="G503">
        <v>41467</v>
      </c>
      <c r="H503">
        <v>2426</v>
      </c>
      <c r="I503">
        <v>206</v>
      </c>
      <c r="J503">
        <v>256</v>
      </c>
      <c r="K503">
        <v>170</v>
      </c>
      <c r="L503">
        <v>17015</v>
      </c>
      <c r="M503">
        <v>403</v>
      </c>
      <c r="N503" s="1">
        <v>0.35416666666666669</v>
      </c>
      <c r="O503" t="s">
        <v>27</v>
      </c>
    </row>
    <row r="504" spans="1:15" x14ac:dyDescent="0.3">
      <c r="A504" t="s">
        <v>545</v>
      </c>
      <c r="B504">
        <v>20260408</v>
      </c>
      <c r="C504" t="s">
        <v>16</v>
      </c>
      <c r="D504" t="s">
        <v>17</v>
      </c>
      <c r="E504" t="s">
        <v>51</v>
      </c>
      <c r="F504">
        <v>31994</v>
      </c>
      <c r="G504">
        <v>33854</v>
      </c>
      <c r="H504">
        <v>1496</v>
      </c>
      <c r="I504">
        <v>203</v>
      </c>
      <c r="J504">
        <v>145</v>
      </c>
      <c r="K504">
        <v>127</v>
      </c>
      <c r="L504">
        <v>0</v>
      </c>
      <c r="M504">
        <v>529</v>
      </c>
      <c r="N504" s="1">
        <v>0.54166666666666663</v>
      </c>
      <c r="O504" t="s">
        <v>42</v>
      </c>
    </row>
    <row r="505" spans="1:15" x14ac:dyDescent="0.3">
      <c r="A505" t="s">
        <v>546</v>
      </c>
      <c r="B505">
        <v>20260925</v>
      </c>
      <c r="C505" t="s">
        <v>32</v>
      </c>
      <c r="D505" t="s">
        <v>33</v>
      </c>
      <c r="E505" t="s">
        <v>22</v>
      </c>
      <c r="F505">
        <v>3713</v>
      </c>
      <c r="G505">
        <v>6057</v>
      </c>
      <c r="H505">
        <v>221</v>
      </c>
      <c r="I505">
        <v>9</v>
      </c>
      <c r="J505">
        <v>40</v>
      </c>
      <c r="K505">
        <v>32</v>
      </c>
      <c r="L505">
        <v>0</v>
      </c>
      <c r="M505">
        <v>21</v>
      </c>
      <c r="N505" s="1">
        <v>0.4375</v>
      </c>
      <c r="O505" t="s">
        <v>47</v>
      </c>
    </row>
    <row r="506" spans="1:15" x14ac:dyDescent="0.3">
      <c r="A506" t="s">
        <v>547</v>
      </c>
      <c r="B506">
        <v>20250303</v>
      </c>
      <c r="C506" t="s">
        <v>32</v>
      </c>
      <c r="D506" t="s">
        <v>17</v>
      </c>
      <c r="E506" t="s">
        <v>41</v>
      </c>
      <c r="F506">
        <v>13883</v>
      </c>
      <c r="G506">
        <v>19585</v>
      </c>
      <c r="H506">
        <v>550</v>
      </c>
      <c r="I506">
        <v>25</v>
      </c>
      <c r="J506">
        <v>57</v>
      </c>
      <c r="K506">
        <v>80</v>
      </c>
      <c r="L506">
        <v>6420</v>
      </c>
      <c r="M506">
        <v>87</v>
      </c>
      <c r="N506" s="1">
        <v>0.45833333333333331</v>
      </c>
      <c r="O506" t="s">
        <v>27</v>
      </c>
    </row>
    <row r="507" spans="1:15" x14ac:dyDescent="0.3">
      <c r="A507" t="s">
        <v>548</v>
      </c>
      <c r="B507">
        <v>20260926</v>
      </c>
      <c r="C507" t="s">
        <v>44</v>
      </c>
      <c r="D507" t="s">
        <v>21</v>
      </c>
      <c r="E507" t="s">
        <v>41</v>
      </c>
      <c r="F507">
        <v>56389</v>
      </c>
      <c r="G507">
        <v>78586</v>
      </c>
      <c r="H507">
        <v>2915</v>
      </c>
      <c r="I507">
        <v>300</v>
      </c>
      <c r="J507">
        <v>278</v>
      </c>
      <c r="K507">
        <v>270</v>
      </c>
      <c r="L507">
        <v>35837</v>
      </c>
      <c r="M507">
        <v>751</v>
      </c>
      <c r="N507" s="1">
        <v>0.70833333333333337</v>
      </c>
      <c r="O507" t="s">
        <v>38</v>
      </c>
    </row>
    <row r="508" spans="1:15" x14ac:dyDescent="0.3">
      <c r="A508" t="s">
        <v>549</v>
      </c>
      <c r="B508">
        <v>20251028</v>
      </c>
      <c r="C508" t="s">
        <v>16</v>
      </c>
      <c r="D508" t="s">
        <v>21</v>
      </c>
      <c r="E508" t="s">
        <v>26</v>
      </c>
      <c r="F508">
        <v>16779</v>
      </c>
      <c r="G508">
        <v>24464</v>
      </c>
      <c r="H508">
        <v>1360</v>
      </c>
      <c r="I508">
        <v>46</v>
      </c>
      <c r="J508">
        <v>193</v>
      </c>
      <c r="K508">
        <v>211</v>
      </c>
      <c r="L508">
        <v>11502</v>
      </c>
      <c r="M508">
        <v>224</v>
      </c>
      <c r="N508" s="1">
        <v>0.35416666666666669</v>
      </c>
      <c r="O508" t="s">
        <v>19</v>
      </c>
    </row>
    <row r="509" spans="1:15" x14ac:dyDescent="0.3">
      <c r="A509" t="s">
        <v>550</v>
      </c>
      <c r="B509">
        <v>20260712</v>
      </c>
      <c r="C509" t="s">
        <v>32</v>
      </c>
      <c r="D509" t="s">
        <v>33</v>
      </c>
      <c r="E509" t="s">
        <v>46</v>
      </c>
      <c r="F509">
        <v>12168</v>
      </c>
      <c r="G509">
        <v>18917</v>
      </c>
      <c r="H509">
        <v>1440</v>
      </c>
      <c r="I509">
        <v>69</v>
      </c>
      <c r="J509">
        <v>157</v>
      </c>
      <c r="K509">
        <v>156</v>
      </c>
      <c r="L509">
        <v>4938</v>
      </c>
      <c r="M509">
        <v>173</v>
      </c>
      <c r="N509" s="1">
        <v>0.76041666666666663</v>
      </c>
      <c r="O509" t="s">
        <v>49</v>
      </c>
    </row>
    <row r="510" spans="1:15" x14ac:dyDescent="0.3">
      <c r="A510" t="s">
        <v>551</v>
      </c>
      <c r="B510">
        <v>20260608</v>
      </c>
      <c r="C510" t="s">
        <v>32</v>
      </c>
      <c r="D510" t="s">
        <v>36</v>
      </c>
      <c r="E510" t="s">
        <v>18</v>
      </c>
      <c r="F510">
        <v>19117</v>
      </c>
      <c r="G510">
        <v>30102</v>
      </c>
      <c r="H510">
        <v>1099</v>
      </c>
      <c r="I510">
        <v>53</v>
      </c>
      <c r="J510">
        <v>107</v>
      </c>
      <c r="K510">
        <v>147</v>
      </c>
      <c r="L510">
        <v>0</v>
      </c>
      <c r="M510">
        <v>234</v>
      </c>
      <c r="N510" s="1">
        <v>0.77083333333333337</v>
      </c>
      <c r="O510" t="s">
        <v>47</v>
      </c>
    </row>
    <row r="511" spans="1:15" x14ac:dyDescent="0.3">
      <c r="A511" t="s">
        <v>552</v>
      </c>
      <c r="B511">
        <v>20251004</v>
      </c>
      <c r="C511" t="s">
        <v>44</v>
      </c>
      <c r="D511" t="s">
        <v>21</v>
      </c>
      <c r="E511" t="s">
        <v>41</v>
      </c>
      <c r="F511">
        <v>109179</v>
      </c>
      <c r="G511">
        <v>126704</v>
      </c>
      <c r="H511">
        <v>11423</v>
      </c>
      <c r="I511">
        <v>1142</v>
      </c>
      <c r="J511">
        <v>1359</v>
      </c>
      <c r="K511">
        <v>1234</v>
      </c>
      <c r="L511">
        <v>66635</v>
      </c>
      <c r="M511">
        <v>765</v>
      </c>
      <c r="N511" s="1">
        <v>0.60416666666666663</v>
      </c>
      <c r="O511" t="s">
        <v>30</v>
      </c>
    </row>
    <row r="512" spans="1:15" x14ac:dyDescent="0.3">
      <c r="A512" t="s">
        <v>553</v>
      </c>
      <c r="B512">
        <v>20260123</v>
      </c>
      <c r="C512" t="s">
        <v>16</v>
      </c>
      <c r="D512" t="s">
        <v>61</v>
      </c>
      <c r="E512" t="s">
        <v>46</v>
      </c>
      <c r="F512">
        <v>22202</v>
      </c>
      <c r="G512">
        <v>34001</v>
      </c>
      <c r="H512">
        <v>2062</v>
      </c>
      <c r="I512">
        <v>120</v>
      </c>
      <c r="J512">
        <v>318</v>
      </c>
      <c r="K512">
        <v>233</v>
      </c>
      <c r="L512">
        <v>9034</v>
      </c>
      <c r="M512">
        <v>157</v>
      </c>
      <c r="N512" s="1">
        <v>0.45833333333333331</v>
      </c>
      <c r="O512" t="s">
        <v>38</v>
      </c>
    </row>
    <row r="513" spans="1:15" x14ac:dyDescent="0.3">
      <c r="A513" t="s">
        <v>554</v>
      </c>
      <c r="B513">
        <v>20250223</v>
      </c>
      <c r="C513" t="s">
        <v>44</v>
      </c>
      <c r="D513" t="s">
        <v>17</v>
      </c>
      <c r="E513" t="s">
        <v>22</v>
      </c>
      <c r="F513">
        <v>43828</v>
      </c>
      <c r="G513">
        <v>57737</v>
      </c>
      <c r="H513">
        <v>2620</v>
      </c>
      <c r="I513">
        <v>355</v>
      </c>
      <c r="J513">
        <v>474</v>
      </c>
      <c r="K513">
        <v>363</v>
      </c>
      <c r="L513">
        <v>0</v>
      </c>
      <c r="M513">
        <v>389</v>
      </c>
      <c r="N513" s="1">
        <v>0.48958333333333331</v>
      </c>
      <c r="O513" t="s">
        <v>42</v>
      </c>
    </row>
    <row r="514" spans="1:15" x14ac:dyDescent="0.3">
      <c r="A514" t="s">
        <v>555</v>
      </c>
      <c r="B514">
        <v>20250513</v>
      </c>
      <c r="C514" t="s">
        <v>25</v>
      </c>
      <c r="D514" t="s">
        <v>36</v>
      </c>
      <c r="E514" t="s">
        <v>18</v>
      </c>
      <c r="F514">
        <v>12789</v>
      </c>
      <c r="G514">
        <v>18441</v>
      </c>
      <c r="H514">
        <v>675</v>
      </c>
      <c r="I514">
        <v>45</v>
      </c>
      <c r="J514">
        <v>59</v>
      </c>
      <c r="K514">
        <v>39</v>
      </c>
      <c r="M514">
        <v>36</v>
      </c>
      <c r="N514" s="1">
        <v>0.375</v>
      </c>
      <c r="O514" t="s">
        <v>53</v>
      </c>
    </row>
    <row r="515" spans="1:15" x14ac:dyDescent="0.3">
      <c r="A515" t="s">
        <v>556</v>
      </c>
      <c r="B515">
        <v>20260901</v>
      </c>
      <c r="C515" t="s">
        <v>16</v>
      </c>
      <c r="D515" t="s">
        <v>61</v>
      </c>
      <c r="E515" t="s">
        <v>46</v>
      </c>
      <c r="F515">
        <v>30624</v>
      </c>
      <c r="G515">
        <v>33974</v>
      </c>
      <c r="H515">
        <v>1131</v>
      </c>
      <c r="I515">
        <v>30</v>
      </c>
      <c r="J515">
        <v>169</v>
      </c>
      <c r="K515">
        <v>26</v>
      </c>
      <c r="L515">
        <v>21624</v>
      </c>
      <c r="M515">
        <v>483</v>
      </c>
      <c r="N515" s="1">
        <v>0.83333333333333337</v>
      </c>
      <c r="O515" t="s">
        <v>49</v>
      </c>
    </row>
    <row r="516" spans="1:15" x14ac:dyDescent="0.3">
      <c r="A516" t="s">
        <v>557</v>
      </c>
      <c r="B516">
        <v>20251210</v>
      </c>
      <c r="C516" t="s">
        <v>44</v>
      </c>
      <c r="D516" t="s">
        <v>21</v>
      </c>
      <c r="E516" t="s">
        <v>46</v>
      </c>
      <c r="F516">
        <v>42091</v>
      </c>
      <c r="G516">
        <v>48625</v>
      </c>
      <c r="H516">
        <v>2318</v>
      </c>
      <c r="I516">
        <v>277</v>
      </c>
      <c r="J516">
        <v>443</v>
      </c>
      <c r="K516">
        <v>310</v>
      </c>
      <c r="L516">
        <v>33744</v>
      </c>
      <c r="M516">
        <v>502</v>
      </c>
      <c r="N516" s="1">
        <v>0.69791666666666663</v>
      </c>
      <c r="O516" t="s">
        <v>42</v>
      </c>
    </row>
    <row r="517" spans="1:15" x14ac:dyDescent="0.3">
      <c r="A517" t="s">
        <v>558</v>
      </c>
      <c r="B517">
        <v>20250303</v>
      </c>
      <c r="C517" t="s">
        <v>32</v>
      </c>
      <c r="D517" t="s">
        <v>21</v>
      </c>
      <c r="E517" t="s">
        <v>22</v>
      </c>
      <c r="F517">
        <v>10523</v>
      </c>
      <c r="G517">
        <v>11844</v>
      </c>
      <c r="H517">
        <v>1072</v>
      </c>
      <c r="I517">
        <v>98</v>
      </c>
      <c r="J517">
        <v>106</v>
      </c>
      <c r="K517">
        <v>137</v>
      </c>
      <c r="L517">
        <v>0</v>
      </c>
      <c r="M517">
        <v>172</v>
      </c>
      <c r="N517" s="1">
        <v>0.80208333333333337</v>
      </c>
      <c r="O517" t="s">
        <v>34</v>
      </c>
    </row>
    <row r="518" spans="1:15" x14ac:dyDescent="0.3">
      <c r="A518" t="s">
        <v>559</v>
      </c>
      <c r="B518">
        <v>20260418</v>
      </c>
      <c r="C518" t="s">
        <v>16</v>
      </c>
      <c r="D518" t="s">
        <v>68</v>
      </c>
      <c r="E518" t="s">
        <v>18</v>
      </c>
      <c r="F518">
        <v>25888</v>
      </c>
      <c r="G518">
        <v>36989</v>
      </c>
      <c r="H518">
        <v>901</v>
      </c>
      <c r="I518">
        <v>56</v>
      </c>
      <c r="J518">
        <v>56</v>
      </c>
      <c r="K518">
        <v>130</v>
      </c>
      <c r="L518">
        <v>0</v>
      </c>
      <c r="M518">
        <v>435</v>
      </c>
      <c r="N518" s="1">
        <v>0.40625</v>
      </c>
      <c r="O518" t="s">
        <v>30</v>
      </c>
    </row>
    <row r="519" spans="1:15" x14ac:dyDescent="0.3">
      <c r="A519" t="s">
        <v>560</v>
      </c>
      <c r="B519">
        <v>20250128</v>
      </c>
      <c r="C519" t="s">
        <v>16</v>
      </c>
      <c r="D519" t="s">
        <v>61</v>
      </c>
      <c r="E519" t="s">
        <v>18</v>
      </c>
      <c r="F519">
        <v>27674</v>
      </c>
      <c r="G519">
        <v>43949</v>
      </c>
      <c r="H519">
        <v>1815</v>
      </c>
      <c r="I519">
        <v>139</v>
      </c>
      <c r="J519">
        <v>255</v>
      </c>
      <c r="K519">
        <v>283</v>
      </c>
      <c r="L519">
        <v>0</v>
      </c>
      <c r="M519">
        <v>265</v>
      </c>
      <c r="N519" s="1">
        <v>0.85416666666666663</v>
      </c>
      <c r="O519" t="s">
        <v>19</v>
      </c>
    </row>
    <row r="520" spans="1:15" x14ac:dyDescent="0.3">
      <c r="A520" t="s">
        <v>561</v>
      </c>
      <c r="B520">
        <v>20260710</v>
      </c>
      <c r="C520" t="s">
        <v>44</v>
      </c>
      <c r="D520" t="s">
        <v>36</v>
      </c>
      <c r="E520" t="s">
        <v>22</v>
      </c>
      <c r="F520">
        <v>20951</v>
      </c>
      <c r="G520">
        <v>28986</v>
      </c>
      <c r="H520">
        <v>1081</v>
      </c>
      <c r="I520">
        <v>41</v>
      </c>
      <c r="J520">
        <v>117</v>
      </c>
      <c r="K520">
        <v>152</v>
      </c>
      <c r="L520">
        <v>0</v>
      </c>
      <c r="M520">
        <v>287</v>
      </c>
      <c r="N520" s="1">
        <v>0.86458333333333337</v>
      </c>
      <c r="O520" t="s">
        <v>47</v>
      </c>
    </row>
    <row r="521" spans="1:15" x14ac:dyDescent="0.3">
      <c r="A521" t="s">
        <v>562</v>
      </c>
      <c r="B521">
        <v>20250220</v>
      </c>
      <c r="C521" t="s">
        <v>40</v>
      </c>
      <c r="D521" t="s">
        <v>21</v>
      </c>
      <c r="E521" t="s">
        <v>41</v>
      </c>
      <c r="F521">
        <v>17834</v>
      </c>
      <c r="G521">
        <v>24370</v>
      </c>
      <c r="H521">
        <v>1852</v>
      </c>
      <c r="I521">
        <v>47</v>
      </c>
      <c r="J521">
        <v>112</v>
      </c>
      <c r="K521">
        <v>125</v>
      </c>
      <c r="L521">
        <v>9142</v>
      </c>
      <c r="M521">
        <v>262</v>
      </c>
      <c r="N521" s="1">
        <v>0.92708333333333337</v>
      </c>
      <c r="O521" t="s">
        <v>34</v>
      </c>
    </row>
    <row r="522" spans="1:15" x14ac:dyDescent="0.3">
      <c r="A522" t="s">
        <v>563</v>
      </c>
      <c r="B522">
        <v>20250513</v>
      </c>
      <c r="C522" t="s">
        <v>40</v>
      </c>
      <c r="D522" t="s">
        <v>33</v>
      </c>
      <c r="E522" t="s">
        <v>51</v>
      </c>
      <c r="F522">
        <v>22162</v>
      </c>
      <c r="G522">
        <v>23885</v>
      </c>
      <c r="H522">
        <v>1069</v>
      </c>
      <c r="I522">
        <v>108</v>
      </c>
      <c r="J522">
        <v>88</v>
      </c>
      <c r="K522">
        <v>138</v>
      </c>
      <c r="L522">
        <v>0</v>
      </c>
      <c r="M522">
        <v>125</v>
      </c>
      <c r="N522" s="1">
        <v>0.89583333333333337</v>
      </c>
      <c r="O522" t="s">
        <v>34</v>
      </c>
    </row>
    <row r="523" spans="1:15" x14ac:dyDescent="0.3">
      <c r="A523" t="s">
        <v>564</v>
      </c>
      <c r="B523">
        <v>20260326</v>
      </c>
      <c r="C523" t="s">
        <v>40</v>
      </c>
      <c r="D523" t="s">
        <v>33</v>
      </c>
      <c r="E523" t="s">
        <v>18</v>
      </c>
      <c r="F523">
        <v>10236</v>
      </c>
      <c r="G523">
        <v>10946</v>
      </c>
      <c r="H523">
        <v>828</v>
      </c>
      <c r="I523">
        <v>98</v>
      </c>
      <c r="J523">
        <v>71</v>
      </c>
      <c r="K523">
        <v>97</v>
      </c>
      <c r="L523">
        <v>0</v>
      </c>
      <c r="M523">
        <v>59</v>
      </c>
      <c r="N523" s="1">
        <v>0.64583333333333337</v>
      </c>
      <c r="O523" t="s">
        <v>42</v>
      </c>
    </row>
    <row r="524" spans="1:15" x14ac:dyDescent="0.3">
      <c r="A524" t="s">
        <v>565</v>
      </c>
      <c r="B524">
        <v>20260910</v>
      </c>
      <c r="C524" t="s">
        <v>16</v>
      </c>
      <c r="D524" t="s">
        <v>36</v>
      </c>
      <c r="E524" t="s">
        <v>26</v>
      </c>
      <c r="F524">
        <v>13247</v>
      </c>
      <c r="G524">
        <v>21352</v>
      </c>
      <c r="H524">
        <v>1543</v>
      </c>
      <c r="I524">
        <v>54</v>
      </c>
      <c r="J524">
        <v>200</v>
      </c>
      <c r="K524">
        <v>130</v>
      </c>
      <c r="L524">
        <v>5912</v>
      </c>
      <c r="M524">
        <v>54</v>
      </c>
      <c r="N524" s="1">
        <v>0.44791666666666669</v>
      </c>
      <c r="O524" t="s">
        <v>49</v>
      </c>
    </row>
    <row r="525" spans="1:15" x14ac:dyDescent="0.3">
      <c r="A525" t="s">
        <v>566</v>
      </c>
      <c r="B525">
        <v>20260728</v>
      </c>
      <c r="C525" t="s">
        <v>25</v>
      </c>
      <c r="D525" t="s">
        <v>17</v>
      </c>
      <c r="E525" t="s">
        <v>51</v>
      </c>
      <c r="F525">
        <v>14023</v>
      </c>
      <c r="G525">
        <v>17783</v>
      </c>
      <c r="H525">
        <v>709</v>
      </c>
      <c r="I525">
        <v>19</v>
      </c>
      <c r="J525">
        <v>41</v>
      </c>
      <c r="K525">
        <v>95</v>
      </c>
      <c r="L525">
        <v>0</v>
      </c>
      <c r="M525">
        <v>140</v>
      </c>
      <c r="N525" s="1">
        <v>0.91666666666666663</v>
      </c>
      <c r="O525" t="s">
        <v>49</v>
      </c>
    </row>
    <row r="526" spans="1:15" x14ac:dyDescent="0.3">
      <c r="A526" t="s">
        <v>567</v>
      </c>
      <c r="B526">
        <v>20250110</v>
      </c>
      <c r="C526" t="s">
        <v>16</v>
      </c>
      <c r="D526" t="s">
        <v>68</v>
      </c>
      <c r="E526" t="s">
        <v>22</v>
      </c>
      <c r="F526">
        <v>16139</v>
      </c>
      <c r="G526">
        <v>18473</v>
      </c>
      <c r="H526">
        <v>1287</v>
      </c>
      <c r="I526">
        <v>36</v>
      </c>
      <c r="J526">
        <v>199</v>
      </c>
      <c r="K526">
        <v>197</v>
      </c>
      <c r="L526">
        <v>0</v>
      </c>
      <c r="M526">
        <v>135</v>
      </c>
      <c r="N526" s="1">
        <v>0.5625</v>
      </c>
      <c r="O526" t="s">
        <v>49</v>
      </c>
    </row>
    <row r="527" spans="1:15" x14ac:dyDescent="0.3">
      <c r="A527" t="s">
        <v>568</v>
      </c>
      <c r="B527">
        <v>20250816</v>
      </c>
      <c r="C527" t="s">
        <v>40</v>
      </c>
      <c r="D527" t="s">
        <v>33</v>
      </c>
      <c r="E527" t="s">
        <v>22</v>
      </c>
      <c r="F527">
        <v>12405</v>
      </c>
      <c r="G527">
        <v>17913</v>
      </c>
      <c r="H527">
        <v>721</v>
      </c>
      <c r="I527">
        <v>70</v>
      </c>
      <c r="J527">
        <v>41</v>
      </c>
      <c r="K527">
        <v>54</v>
      </c>
      <c r="L527">
        <v>0</v>
      </c>
      <c r="M527">
        <v>177</v>
      </c>
      <c r="N527" s="1">
        <v>0.36458333333333331</v>
      </c>
      <c r="O527" t="s">
        <v>27</v>
      </c>
    </row>
    <row r="528" spans="1:15" x14ac:dyDescent="0.3">
      <c r="A528" t="s">
        <v>569</v>
      </c>
      <c r="B528">
        <v>20251211</v>
      </c>
      <c r="C528" t="s">
        <v>40</v>
      </c>
      <c r="D528" t="s">
        <v>21</v>
      </c>
      <c r="E528" t="s">
        <v>46</v>
      </c>
      <c r="F528">
        <v>17729</v>
      </c>
      <c r="G528">
        <v>21508</v>
      </c>
      <c r="H528">
        <v>1486</v>
      </c>
      <c r="I528">
        <v>43</v>
      </c>
      <c r="J528">
        <v>79</v>
      </c>
      <c r="K528">
        <v>45</v>
      </c>
      <c r="L528">
        <v>9973</v>
      </c>
      <c r="M528">
        <v>108</v>
      </c>
      <c r="N528" s="1">
        <v>0.8125</v>
      </c>
      <c r="O528" t="s">
        <v>19</v>
      </c>
    </row>
    <row r="529" spans="1:15" x14ac:dyDescent="0.3">
      <c r="A529" t="s">
        <v>570</v>
      </c>
      <c r="B529">
        <v>20260101</v>
      </c>
      <c r="C529" t="s">
        <v>40</v>
      </c>
      <c r="D529" t="s">
        <v>29</v>
      </c>
      <c r="E529" t="s">
        <v>26</v>
      </c>
      <c r="F529">
        <v>5831</v>
      </c>
      <c r="G529">
        <v>8948</v>
      </c>
      <c r="H529">
        <v>370</v>
      </c>
      <c r="I529">
        <v>23</v>
      </c>
      <c r="J529">
        <v>20</v>
      </c>
      <c r="K529">
        <v>38</v>
      </c>
      <c r="M529">
        <v>66</v>
      </c>
      <c r="N529" s="1">
        <v>0.77083333333333337</v>
      </c>
      <c r="O529" t="s">
        <v>27</v>
      </c>
    </row>
    <row r="530" spans="1:15" x14ac:dyDescent="0.3">
      <c r="A530" t="s">
        <v>571</v>
      </c>
      <c r="B530">
        <v>20250831</v>
      </c>
      <c r="C530" t="s">
        <v>40</v>
      </c>
      <c r="D530" t="s">
        <v>17</v>
      </c>
      <c r="E530" t="s">
        <v>22</v>
      </c>
      <c r="F530">
        <v>7965</v>
      </c>
      <c r="G530">
        <v>12172</v>
      </c>
      <c r="H530">
        <v>919</v>
      </c>
      <c r="I530">
        <v>69</v>
      </c>
      <c r="J530">
        <v>98</v>
      </c>
      <c r="K530">
        <v>146</v>
      </c>
      <c r="L530">
        <v>0</v>
      </c>
      <c r="M530">
        <v>116</v>
      </c>
      <c r="N530" s="1">
        <v>0.72916666666666663</v>
      </c>
      <c r="O530" t="s">
        <v>47</v>
      </c>
    </row>
    <row r="531" spans="1:15" x14ac:dyDescent="0.3">
      <c r="A531" t="s">
        <v>572</v>
      </c>
      <c r="B531">
        <v>20250925</v>
      </c>
      <c r="C531" t="s">
        <v>40</v>
      </c>
      <c r="D531" t="s">
        <v>68</v>
      </c>
      <c r="E531" t="s">
        <v>22</v>
      </c>
      <c r="F531">
        <v>25882</v>
      </c>
      <c r="G531">
        <v>28337</v>
      </c>
      <c r="H531">
        <v>2972</v>
      </c>
      <c r="I531">
        <v>314</v>
      </c>
      <c r="J531">
        <v>492</v>
      </c>
      <c r="K531">
        <v>175</v>
      </c>
      <c r="L531">
        <v>0</v>
      </c>
      <c r="M531">
        <v>304</v>
      </c>
      <c r="N531" s="1">
        <v>0.5</v>
      </c>
      <c r="O531" t="s">
        <v>30</v>
      </c>
    </row>
    <row r="532" spans="1:15" x14ac:dyDescent="0.3">
      <c r="A532" t="s">
        <v>573</v>
      </c>
      <c r="B532">
        <v>20250524</v>
      </c>
      <c r="C532" t="s">
        <v>16</v>
      </c>
      <c r="D532" t="s">
        <v>29</v>
      </c>
      <c r="E532" t="s">
        <v>18</v>
      </c>
      <c r="F532">
        <v>22019</v>
      </c>
      <c r="G532">
        <v>31279</v>
      </c>
      <c r="H532">
        <v>1954</v>
      </c>
      <c r="I532">
        <v>233</v>
      </c>
      <c r="J532">
        <v>167</v>
      </c>
      <c r="K532">
        <v>131</v>
      </c>
      <c r="L532">
        <v>0</v>
      </c>
      <c r="M532">
        <v>295</v>
      </c>
      <c r="N532" s="1">
        <v>0.77083333333333337</v>
      </c>
      <c r="O532" t="s">
        <v>19</v>
      </c>
    </row>
    <row r="533" spans="1:15" x14ac:dyDescent="0.3">
      <c r="A533" t="s">
        <v>574</v>
      </c>
      <c r="B533">
        <v>20250619</v>
      </c>
      <c r="C533" t="s">
        <v>25</v>
      </c>
      <c r="D533" t="s">
        <v>17</v>
      </c>
      <c r="E533" t="s">
        <v>41</v>
      </c>
      <c r="F533">
        <v>13785</v>
      </c>
      <c r="G533">
        <v>19687</v>
      </c>
      <c r="H533">
        <v>1527</v>
      </c>
      <c r="I533">
        <v>123</v>
      </c>
      <c r="J533">
        <v>219</v>
      </c>
      <c r="K533">
        <v>163</v>
      </c>
      <c r="L533">
        <v>9558</v>
      </c>
      <c r="M533">
        <v>214</v>
      </c>
      <c r="N533" s="1">
        <v>0.30208333333333331</v>
      </c>
      <c r="O533" t="s">
        <v>42</v>
      </c>
    </row>
    <row r="534" spans="1:15" x14ac:dyDescent="0.3">
      <c r="A534" t="s">
        <v>575</v>
      </c>
      <c r="B534">
        <v>20250509</v>
      </c>
      <c r="C534" t="s">
        <v>25</v>
      </c>
      <c r="D534" t="s">
        <v>17</v>
      </c>
      <c r="E534" t="s">
        <v>51</v>
      </c>
      <c r="F534">
        <v>26155</v>
      </c>
      <c r="G534">
        <v>36419</v>
      </c>
      <c r="H534">
        <v>2456</v>
      </c>
      <c r="I534">
        <v>318</v>
      </c>
      <c r="J534">
        <v>176</v>
      </c>
      <c r="K534">
        <v>379</v>
      </c>
      <c r="L534">
        <v>0</v>
      </c>
      <c r="M534">
        <v>232</v>
      </c>
      <c r="N534" s="1">
        <v>0.65625</v>
      </c>
      <c r="O534" t="s">
        <v>49</v>
      </c>
    </row>
    <row r="535" spans="1:15" x14ac:dyDescent="0.3">
      <c r="A535" t="s">
        <v>576</v>
      </c>
      <c r="B535">
        <v>20251202</v>
      </c>
      <c r="C535" t="s">
        <v>16</v>
      </c>
      <c r="D535" t="s">
        <v>33</v>
      </c>
      <c r="E535" t="s">
        <v>22</v>
      </c>
      <c r="F535">
        <v>35317</v>
      </c>
      <c r="G535">
        <v>42033</v>
      </c>
      <c r="H535">
        <v>1381</v>
      </c>
      <c r="I535">
        <v>56</v>
      </c>
      <c r="J535">
        <v>98</v>
      </c>
      <c r="K535">
        <v>106</v>
      </c>
      <c r="L535">
        <v>0</v>
      </c>
      <c r="M535">
        <v>575</v>
      </c>
      <c r="N535" s="1">
        <v>0.55208333333333337</v>
      </c>
      <c r="O535" t="s">
        <v>34</v>
      </c>
    </row>
    <row r="536" spans="1:15" x14ac:dyDescent="0.3">
      <c r="A536" t="s">
        <v>577</v>
      </c>
      <c r="B536">
        <v>20251219</v>
      </c>
      <c r="C536" t="s">
        <v>44</v>
      </c>
      <c r="D536" t="s">
        <v>33</v>
      </c>
      <c r="E536" t="s">
        <v>41</v>
      </c>
      <c r="F536">
        <v>41646</v>
      </c>
      <c r="G536">
        <v>47399</v>
      </c>
      <c r="H536">
        <v>4485</v>
      </c>
      <c r="I536">
        <v>169</v>
      </c>
      <c r="J536">
        <v>537</v>
      </c>
      <c r="K536">
        <v>473</v>
      </c>
      <c r="L536">
        <v>33919</v>
      </c>
      <c r="M536">
        <v>615</v>
      </c>
      <c r="N536" s="1">
        <v>0.47916666666666669</v>
      </c>
      <c r="O536" t="s">
        <v>34</v>
      </c>
    </row>
    <row r="537" spans="1:15" x14ac:dyDescent="0.3">
      <c r="A537" t="s">
        <v>578</v>
      </c>
      <c r="B537">
        <v>20260308</v>
      </c>
      <c r="C537" t="s">
        <v>44</v>
      </c>
      <c r="D537" t="s">
        <v>17</v>
      </c>
      <c r="E537" t="s">
        <v>41</v>
      </c>
      <c r="F537">
        <v>36563</v>
      </c>
      <c r="G537">
        <v>58230</v>
      </c>
      <c r="H537">
        <v>2812</v>
      </c>
      <c r="I537">
        <v>215</v>
      </c>
      <c r="J537">
        <v>347</v>
      </c>
      <c r="K537">
        <v>400</v>
      </c>
      <c r="L537">
        <v>16686</v>
      </c>
      <c r="M537">
        <v>161</v>
      </c>
      <c r="N537" s="1">
        <v>0.85416666666666663</v>
      </c>
      <c r="O537" t="s">
        <v>23</v>
      </c>
    </row>
    <row r="538" spans="1:15" x14ac:dyDescent="0.3">
      <c r="A538" t="s">
        <v>579</v>
      </c>
      <c r="B538">
        <v>20250523</v>
      </c>
      <c r="C538" t="s">
        <v>44</v>
      </c>
      <c r="D538" t="s">
        <v>36</v>
      </c>
      <c r="E538" t="s">
        <v>41</v>
      </c>
      <c r="F538">
        <v>120706</v>
      </c>
      <c r="G538">
        <v>146009</v>
      </c>
      <c r="H538">
        <v>4249</v>
      </c>
      <c r="I538">
        <v>180</v>
      </c>
      <c r="J538">
        <v>258</v>
      </c>
      <c r="K538">
        <v>537</v>
      </c>
      <c r="L538">
        <v>106170</v>
      </c>
      <c r="M538">
        <v>427</v>
      </c>
      <c r="N538" s="1">
        <v>0.84375</v>
      </c>
      <c r="O538" t="s">
        <v>34</v>
      </c>
    </row>
    <row r="539" spans="1:15" x14ac:dyDescent="0.3">
      <c r="A539" t="s">
        <v>580</v>
      </c>
      <c r="B539">
        <v>20250609</v>
      </c>
      <c r="C539" t="s">
        <v>44</v>
      </c>
      <c r="D539" t="s">
        <v>61</v>
      </c>
      <c r="E539" t="s">
        <v>41</v>
      </c>
      <c r="F539">
        <v>66927</v>
      </c>
      <c r="G539">
        <v>70667</v>
      </c>
      <c r="H539">
        <v>2668</v>
      </c>
      <c r="I539">
        <v>203</v>
      </c>
      <c r="J539">
        <v>190</v>
      </c>
      <c r="K539">
        <v>295</v>
      </c>
      <c r="L539">
        <v>54868</v>
      </c>
      <c r="M539">
        <v>631</v>
      </c>
      <c r="N539" s="1">
        <v>0.41666666666666669</v>
      </c>
      <c r="O539" t="s">
        <v>53</v>
      </c>
    </row>
    <row r="540" spans="1:15" x14ac:dyDescent="0.3">
      <c r="A540" t="s">
        <v>581</v>
      </c>
      <c r="B540">
        <v>20260507</v>
      </c>
      <c r="C540" t="s">
        <v>16</v>
      </c>
      <c r="D540" t="s">
        <v>17</v>
      </c>
      <c r="E540" t="s">
        <v>46</v>
      </c>
      <c r="F540">
        <v>65240</v>
      </c>
      <c r="G540">
        <v>80956</v>
      </c>
      <c r="H540">
        <v>4619</v>
      </c>
      <c r="I540">
        <v>157</v>
      </c>
      <c r="J540">
        <v>499</v>
      </c>
      <c r="K540">
        <v>686</v>
      </c>
      <c r="L540">
        <v>58436</v>
      </c>
      <c r="M540">
        <v>104</v>
      </c>
      <c r="N540" s="1">
        <v>0.67708333333333337</v>
      </c>
      <c r="O540" t="s">
        <v>38</v>
      </c>
    </row>
    <row r="541" spans="1:15" x14ac:dyDescent="0.3">
      <c r="A541" t="s">
        <v>582</v>
      </c>
      <c r="B541">
        <v>20250319</v>
      </c>
      <c r="C541" t="s">
        <v>40</v>
      </c>
      <c r="D541" t="s">
        <v>33</v>
      </c>
      <c r="E541" t="s">
        <v>51</v>
      </c>
      <c r="F541">
        <v>10650</v>
      </c>
      <c r="G541">
        <v>12020</v>
      </c>
      <c r="H541">
        <v>1064</v>
      </c>
      <c r="I541">
        <v>55</v>
      </c>
      <c r="J541">
        <v>38</v>
      </c>
      <c r="K541">
        <v>97</v>
      </c>
      <c r="L541">
        <v>0</v>
      </c>
      <c r="M541">
        <v>145</v>
      </c>
      <c r="N541" s="1">
        <v>0.92708333333333337</v>
      </c>
      <c r="O541" t="s">
        <v>49</v>
      </c>
    </row>
    <row r="542" spans="1:15" x14ac:dyDescent="0.3">
      <c r="A542" t="s">
        <v>583</v>
      </c>
      <c r="B542">
        <v>20260326</v>
      </c>
      <c r="C542" t="s">
        <v>44</v>
      </c>
      <c r="D542" t="s">
        <v>21</v>
      </c>
      <c r="E542" t="s">
        <v>51</v>
      </c>
      <c r="F542">
        <v>97001</v>
      </c>
      <c r="G542">
        <v>113573</v>
      </c>
      <c r="H542">
        <v>7144</v>
      </c>
      <c r="I542">
        <v>480</v>
      </c>
      <c r="J542">
        <v>446</v>
      </c>
      <c r="K542">
        <v>912</v>
      </c>
      <c r="L542">
        <v>0</v>
      </c>
      <c r="M542">
        <v>466</v>
      </c>
      <c r="N542" s="1">
        <v>0.8125</v>
      </c>
      <c r="O542" t="s">
        <v>42</v>
      </c>
    </row>
    <row r="543" spans="1:15" x14ac:dyDescent="0.3">
      <c r="A543" t="s">
        <v>584</v>
      </c>
      <c r="B543">
        <v>20260831</v>
      </c>
      <c r="C543" t="s">
        <v>16</v>
      </c>
      <c r="D543" t="s">
        <v>33</v>
      </c>
      <c r="E543" t="s">
        <v>51</v>
      </c>
      <c r="F543">
        <v>13307</v>
      </c>
      <c r="G543">
        <v>17099</v>
      </c>
      <c r="H543">
        <v>610</v>
      </c>
      <c r="I543">
        <v>74</v>
      </c>
      <c r="J543">
        <v>82</v>
      </c>
      <c r="K543">
        <v>48</v>
      </c>
      <c r="L543">
        <v>0</v>
      </c>
      <c r="M543">
        <v>62</v>
      </c>
      <c r="N543" s="1">
        <v>0.55208333333333337</v>
      </c>
      <c r="O543" t="s">
        <v>34</v>
      </c>
    </row>
    <row r="544" spans="1:15" x14ac:dyDescent="0.3">
      <c r="A544" t="s">
        <v>585</v>
      </c>
      <c r="B544">
        <v>20250310</v>
      </c>
      <c r="C544" t="s">
        <v>16</v>
      </c>
      <c r="D544" t="s">
        <v>61</v>
      </c>
      <c r="E544" t="s">
        <v>22</v>
      </c>
      <c r="F544">
        <v>17219</v>
      </c>
      <c r="G544">
        <v>21367</v>
      </c>
      <c r="H544">
        <v>2005</v>
      </c>
      <c r="I544">
        <v>119</v>
      </c>
      <c r="J544">
        <v>259</v>
      </c>
      <c r="K544">
        <v>216</v>
      </c>
      <c r="L544">
        <v>0</v>
      </c>
      <c r="M544">
        <v>96</v>
      </c>
      <c r="N544" s="1">
        <v>0.375</v>
      </c>
      <c r="O544" t="s">
        <v>27</v>
      </c>
    </row>
    <row r="545" spans="1:15" x14ac:dyDescent="0.3">
      <c r="A545" t="s">
        <v>586</v>
      </c>
      <c r="B545">
        <v>20260212</v>
      </c>
      <c r="C545" t="s">
        <v>25</v>
      </c>
      <c r="D545" t="s">
        <v>61</v>
      </c>
      <c r="E545" t="s">
        <v>41</v>
      </c>
      <c r="F545">
        <v>21578</v>
      </c>
      <c r="G545">
        <v>27458</v>
      </c>
      <c r="H545">
        <v>2149</v>
      </c>
      <c r="I545">
        <v>81</v>
      </c>
      <c r="J545">
        <v>301</v>
      </c>
      <c r="K545">
        <v>135</v>
      </c>
      <c r="L545">
        <v>16425</v>
      </c>
      <c r="M545">
        <v>256</v>
      </c>
      <c r="N545" s="1">
        <v>0.35416666666666669</v>
      </c>
      <c r="O545" t="s">
        <v>53</v>
      </c>
    </row>
    <row r="546" spans="1:15" x14ac:dyDescent="0.3">
      <c r="A546" t="s">
        <v>587</v>
      </c>
      <c r="B546">
        <v>20250403</v>
      </c>
      <c r="C546" t="s">
        <v>40</v>
      </c>
      <c r="D546" t="s">
        <v>61</v>
      </c>
      <c r="E546" t="s">
        <v>26</v>
      </c>
      <c r="F546">
        <v>8525</v>
      </c>
      <c r="G546">
        <v>8996</v>
      </c>
      <c r="H546">
        <v>412</v>
      </c>
      <c r="I546">
        <v>53</v>
      </c>
      <c r="J546">
        <v>41</v>
      </c>
      <c r="K546">
        <v>47</v>
      </c>
      <c r="L546">
        <v>5114</v>
      </c>
      <c r="M546">
        <v>42</v>
      </c>
      <c r="N546" s="1">
        <v>0.67708333333333337</v>
      </c>
      <c r="O546" t="s">
        <v>53</v>
      </c>
    </row>
    <row r="547" spans="1:15" x14ac:dyDescent="0.3">
      <c r="A547" t="s">
        <v>588</v>
      </c>
      <c r="B547">
        <v>20250105</v>
      </c>
      <c r="C547" t="s">
        <v>40</v>
      </c>
      <c r="D547" t="s">
        <v>29</v>
      </c>
      <c r="E547" t="s">
        <v>18</v>
      </c>
      <c r="F547">
        <v>14424</v>
      </c>
      <c r="G547">
        <v>19183</v>
      </c>
      <c r="H547">
        <v>757</v>
      </c>
      <c r="I547">
        <v>63</v>
      </c>
      <c r="J547">
        <v>128</v>
      </c>
      <c r="K547">
        <v>27</v>
      </c>
      <c r="L547">
        <v>0</v>
      </c>
      <c r="M547">
        <v>200</v>
      </c>
      <c r="N547" s="1">
        <v>0.30208333333333331</v>
      </c>
      <c r="O547" t="s">
        <v>23</v>
      </c>
    </row>
    <row r="548" spans="1:15" x14ac:dyDescent="0.3">
      <c r="A548" t="s">
        <v>589</v>
      </c>
      <c r="B548">
        <v>20260720</v>
      </c>
      <c r="C548" t="s">
        <v>44</v>
      </c>
      <c r="D548" t="s">
        <v>68</v>
      </c>
      <c r="E548" t="s">
        <v>41</v>
      </c>
      <c r="F548">
        <v>79733</v>
      </c>
      <c r="G548">
        <v>86675</v>
      </c>
      <c r="H548">
        <v>5981</v>
      </c>
      <c r="I548">
        <v>334</v>
      </c>
      <c r="J548">
        <v>588</v>
      </c>
      <c r="K548">
        <v>306</v>
      </c>
      <c r="L548">
        <v>65039</v>
      </c>
      <c r="M548">
        <v>1164</v>
      </c>
      <c r="N548" s="1">
        <v>0.84375</v>
      </c>
      <c r="O548" t="s">
        <v>19</v>
      </c>
    </row>
    <row r="549" spans="1:15" x14ac:dyDescent="0.3">
      <c r="A549" t="s">
        <v>590</v>
      </c>
      <c r="B549">
        <v>20250122</v>
      </c>
      <c r="C549" t="s">
        <v>16</v>
      </c>
      <c r="D549" t="s">
        <v>68</v>
      </c>
      <c r="E549" t="s">
        <v>46</v>
      </c>
      <c r="F549">
        <v>35638</v>
      </c>
      <c r="G549">
        <v>46484</v>
      </c>
      <c r="H549">
        <v>2280</v>
      </c>
      <c r="I549">
        <v>285</v>
      </c>
      <c r="J549">
        <v>197</v>
      </c>
      <c r="K549">
        <v>150</v>
      </c>
      <c r="L549">
        <v>15974</v>
      </c>
      <c r="M549">
        <v>170</v>
      </c>
      <c r="N549" s="1">
        <v>0.54166666666666663</v>
      </c>
      <c r="O549" t="s">
        <v>30</v>
      </c>
    </row>
    <row r="550" spans="1:15" x14ac:dyDescent="0.3">
      <c r="A550" t="s">
        <v>591</v>
      </c>
      <c r="B550">
        <v>20250525</v>
      </c>
      <c r="C550" t="s">
        <v>40</v>
      </c>
      <c r="D550" t="s">
        <v>21</v>
      </c>
      <c r="E550" t="s">
        <v>18</v>
      </c>
      <c r="F550">
        <v>7895</v>
      </c>
      <c r="G550">
        <v>8950</v>
      </c>
      <c r="H550">
        <v>866</v>
      </c>
      <c r="I550">
        <v>84</v>
      </c>
      <c r="J550">
        <v>68</v>
      </c>
      <c r="K550">
        <v>115</v>
      </c>
      <c r="L550">
        <v>0</v>
      </c>
      <c r="M550">
        <v>108</v>
      </c>
      <c r="N550" s="1">
        <v>0.29166666666666669</v>
      </c>
      <c r="O550" t="s">
        <v>30</v>
      </c>
    </row>
    <row r="551" spans="1:15" x14ac:dyDescent="0.3">
      <c r="A551" t="s">
        <v>592</v>
      </c>
      <c r="B551">
        <v>20250418</v>
      </c>
      <c r="C551" t="s">
        <v>44</v>
      </c>
      <c r="D551" t="s">
        <v>33</v>
      </c>
      <c r="E551" t="s">
        <v>22</v>
      </c>
      <c r="F551">
        <v>7047</v>
      </c>
      <c r="G551">
        <v>8795</v>
      </c>
      <c r="H551">
        <v>546</v>
      </c>
      <c r="I551">
        <v>30</v>
      </c>
      <c r="J551">
        <v>19</v>
      </c>
      <c r="K551">
        <v>39</v>
      </c>
      <c r="L551">
        <v>0</v>
      </c>
      <c r="M551">
        <v>56</v>
      </c>
      <c r="N551" s="1">
        <v>0.58333333333333337</v>
      </c>
      <c r="O551" t="s">
        <v>23</v>
      </c>
    </row>
    <row r="552" spans="1:15" x14ac:dyDescent="0.3">
      <c r="A552" t="s">
        <v>593</v>
      </c>
      <c r="B552">
        <v>20250210</v>
      </c>
      <c r="C552" t="s">
        <v>16</v>
      </c>
      <c r="D552" t="s">
        <v>21</v>
      </c>
      <c r="E552" t="s">
        <v>26</v>
      </c>
      <c r="F552">
        <v>16984</v>
      </c>
      <c r="G552">
        <v>25656</v>
      </c>
      <c r="H552">
        <v>1804</v>
      </c>
      <c r="I552">
        <v>75</v>
      </c>
      <c r="J552">
        <v>322</v>
      </c>
      <c r="K552">
        <v>278</v>
      </c>
      <c r="L552">
        <v>11723</v>
      </c>
      <c r="M552">
        <v>167</v>
      </c>
      <c r="N552" s="1">
        <v>0.34375</v>
      </c>
      <c r="O552" t="s">
        <v>19</v>
      </c>
    </row>
    <row r="553" spans="1:15" x14ac:dyDescent="0.3">
      <c r="A553" t="s">
        <v>594</v>
      </c>
      <c r="B553">
        <v>20260401</v>
      </c>
      <c r="C553" t="s">
        <v>44</v>
      </c>
      <c r="D553" t="s">
        <v>21</v>
      </c>
      <c r="E553" t="s">
        <v>26</v>
      </c>
      <c r="F553">
        <v>10670</v>
      </c>
      <c r="G553">
        <v>13099</v>
      </c>
      <c r="H553">
        <v>871</v>
      </c>
      <c r="I553">
        <v>115</v>
      </c>
      <c r="J553">
        <v>58</v>
      </c>
      <c r="K553">
        <v>69</v>
      </c>
      <c r="L553">
        <v>7254</v>
      </c>
      <c r="M553">
        <v>47</v>
      </c>
      <c r="N553" s="1">
        <v>0.6875</v>
      </c>
      <c r="O553" t="s">
        <v>53</v>
      </c>
    </row>
    <row r="554" spans="1:15" x14ac:dyDescent="0.3">
      <c r="A554" t="s">
        <v>595</v>
      </c>
      <c r="B554">
        <v>20251027</v>
      </c>
      <c r="C554" t="s">
        <v>25</v>
      </c>
      <c r="D554" t="s">
        <v>17</v>
      </c>
      <c r="E554" t="s">
        <v>46</v>
      </c>
      <c r="F554">
        <v>10539</v>
      </c>
      <c r="G554">
        <v>15284</v>
      </c>
      <c r="H554">
        <v>625</v>
      </c>
      <c r="I554">
        <v>38</v>
      </c>
      <c r="J554">
        <v>65</v>
      </c>
      <c r="K554">
        <v>69</v>
      </c>
      <c r="L554">
        <v>5421</v>
      </c>
      <c r="M554">
        <v>21</v>
      </c>
      <c r="N554" s="1">
        <v>0.73958333333333337</v>
      </c>
      <c r="O554" t="s">
        <v>23</v>
      </c>
    </row>
    <row r="555" spans="1:15" x14ac:dyDescent="0.3">
      <c r="A555" t="s">
        <v>596</v>
      </c>
      <c r="B555">
        <v>20250616</v>
      </c>
      <c r="C555" t="s">
        <v>44</v>
      </c>
      <c r="D555" t="s">
        <v>21</v>
      </c>
      <c r="E555" t="s">
        <v>46</v>
      </c>
      <c r="F555">
        <v>52216</v>
      </c>
      <c r="G555">
        <v>75773</v>
      </c>
      <c r="H555">
        <v>4324</v>
      </c>
      <c r="J555">
        <v>229</v>
      </c>
      <c r="K555">
        <v>445</v>
      </c>
      <c r="L555">
        <v>31699</v>
      </c>
      <c r="M555">
        <v>565</v>
      </c>
      <c r="N555" s="1">
        <v>0.38541666666666669</v>
      </c>
      <c r="O555" t="s">
        <v>34</v>
      </c>
    </row>
    <row r="556" spans="1:15" x14ac:dyDescent="0.3">
      <c r="A556" t="s">
        <v>597</v>
      </c>
      <c r="B556">
        <v>20251012</v>
      </c>
      <c r="C556" t="s">
        <v>40</v>
      </c>
      <c r="D556" t="s">
        <v>21</v>
      </c>
      <c r="E556" t="s">
        <v>51</v>
      </c>
      <c r="F556">
        <v>44881</v>
      </c>
      <c r="G556">
        <v>56722</v>
      </c>
      <c r="H556">
        <v>1502</v>
      </c>
      <c r="I556">
        <v>190</v>
      </c>
      <c r="J556">
        <v>189</v>
      </c>
      <c r="K556">
        <v>169</v>
      </c>
      <c r="L556">
        <v>0</v>
      </c>
      <c r="M556">
        <v>687</v>
      </c>
      <c r="N556" s="1">
        <v>0.8125</v>
      </c>
      <c r="O556" t="s">
        <v>42</v>
      </c>
    </row>
    <row r="557" spans="1:15" x14ac:dyDescent="0.3">
      <c r="A557" t="s">
        <v>598</v>
      </c>
      <c r="B557">
        <v>20250710</v>
      </c>
      <c r="C557" t="s">
        <v>44</v>
      </c>
      <c r="D557" t="s">
        <v>17</v>
      </c>
      <c r="E557" t="s">
        <v>22</v>
      </c>
      <c r="F557">
        <v>23184</v>
      </c>
      <c r="G557">
        <v>34106</v>
      </c>
      <c r="H557">
        <v>1458</v>
      </c>
      <c r="I557">
        <v>97</v>
      </c>
      <c r="J557">
        <v>175</v>
      </c>
      <c r="K557">
        <v>126</v>
      </c>
      <c r="L557">
        <v>0</v>
      </c>
      <c r="M557">
        <v>65</v>
      </c>
      <c r="N557" s="1">
        <v>0.30208333333333331</v>
      </c>
      <c r="O557" t="s">
        <v>19</v>
      </c>
    </row>
    <row r="558" spans="1:15" x14ac:dyDescent="0.3">
      <c r="A558" t="s">
        <v>599</v>
      </c>
      <c r="B558">
        <v>20260916</v>
      </c>
      <c r="C558" t="s">
        <v>40</v>
      </c>
      <c r="D558" t="s">
        <v>21</v>
      </c>
      <c r="E558" t="s">
        <v>26</v>
      </c>
      <c r="F558">
        <v>9865</v>
      </c>
      <c r="G558">
        <v>14774</v>
      </c>
      <c r="H558">
        <v>862</v>
      </c>
      <c r="I558">
        <v>94</v>
      </c>
      <c r="J558">
        <v>109</v>
      </c>
      <c r="K558">
        <v>18</v>
      </c>
      <c r="L558">
        <v>3637</v>
      </c>
      <c r="M558">
        <v>45</v>
      </c>
      <c r="N558" s="1">
        <v>0.83333333333333337</v>
      </c>
      <c r="O558" t="s">
        <v>38</v>
      </c>
    </row>
    <row r="559" spans="1:15" x14ac:dyDescent="0.3">
      <c r="A559" t="s">
        <v>600</v>
      </c>
      <c r="B559">
        <v>20260906</v>
      </c>
      <c r="C559" t="s">
        <v>32</v>
      </c>
      <c r="D559" t="s">
        <v>36</v>
      </c>
      <c r="E559" t="s">
        <v>46</v>
      </c>
      <c r="F559">
        <v>9806</v>
      </c>
      <c r="G559">
        <v>11550</v>
      </c>
      <c r="H559">
        <v>601</v>
      </c>
      <c r="I559">
        <v>21</v>
      </c>
      <c r="J559">
        <v>87</v>
      </c>
      <c r="K559">
        <v>69</v>
      </c>
      <c r="L559">
        <v>7626</v>
      </c>
      <c r="M559">
        <v>129</v>
      </c>
      <c r="N559" s="1">
        <v>0.67708333333333337</v>
      </c>
      <c r="O559" t="s">
        <v>53</v>
      </c>
    </row>
    <row r="560" spans="1:15" x14ac:dyDescent="0.3">
      <c r="A560" t="s">
        <v>601</v>
      </c>
      <c r="B560">
        <v>20260901</v>
      </c>
      <c r="C560" t="s">
        <v>32</v>
      </c>
      <c r="D560" t="s">
        <v>17</v>
      </c>
      <c r="E560" t="s">
        <v>26</v>
      </c>
      <c r="F560">
        <v>5227</v>
      </c>
      <c r="G560">
        <v>6206</v>
      </c>
      <c r="H560">
        <v>291</v>
      </c>
      <c r="I560">
        <v>9</v>
      </c>
      <c r="J560">
        <v>19</v>
      </c>
      <c r="K560">
        <v>36</v>
      </c>
      <c r="L560">
        <v>1878</v>
      </c>
      <c r="M560">
        <v>8</v>
      </c>
      <c r="N560" s="1">
        <v>0.63541666666666663</v>
      </c>
      <c r="O560" t="s">
        <v>42</v>
      </c>
    </row>
    <row r="561" spans="1:15" x14ac:dyDescent="0.3">
      <c r="A561" t="s">
        <v>602</v>
      </c>
      <c r="B561">
        <v>20250511</v>
      </c>
      <c r="C561" t="s">
        <v>40</v>
      </c>
      <c r="D561" t="s">
        <v>68</v>
      </c>
      <c r="E561" t="s">
        <v>26</v>
      </c>
      <c r="F561">
        <v>9336</v>
      </c>
      <c r="G561">
        <v>14795</v>
      </c>
      <c r="H561">
        <v>978</v>
      </c>
      <c r="I561">
        <v>46</v>
      </c>
      <c r="J561">
        <v>41</v>
      </c>
      <c r="K561">
        <v>69</v>
      </c>
      <c r="L561">
        <v>6317</v>
      </c>
      <c r="M561">
        <v>10</v>
      </c>
      <c r="N561" s="1">
        <v>0.72916666666666663</v>
      </c>
      <c r="O561" t="s">
        <v>30</v>
      </c>
    </row>
    <row r="562" spans="1:15" x14ac:dyDescent="0.3">
      <c r="A562" t="s">
        <v>603</v>
      </c>
      <c r="B562">
        <v>20251214</v>
      </c>
      <c r="C562" t="s">
        <v>16</v>
      </c>
      <c r="D562" t="s">
        <v>33</v>
      </c>
      <c r="E562" t="s">
        <v>41</v>
      </c>
      <c r="F562">
        <v>24321</v>
      </c>
      <c r="G562">
        <v>33373</v>
      </c>
      <c r="H562">
        <v>2589</v>
      </c>
      <c r="I562">
        <v>109</v>
      </c>
      <c r="J562">
        <v>123</v>
      </c>
      <c r="K562">
        <v>321</v>
      </c>
      <c r="L562">
        <v>11500</v>
      </c>
      <c r="M562">
        <v>172</v>
      </c>
      <c r="N562" s="1">
        <v>0.69791666666666663</v>
      </c>
      <c r="O562" t="s">
        <v>42</v>
      </c>
    </row>
    <row r="563" spans="1:15" x14ac:dyDescent="0.3">
      <c r="A563" t="s">
        <v>604</v>
      </c>
      <c r="B563">
        <v>20260916</v>
      </c>
      <c r="C563" t="s">
        <v>25</v>
      </c>
      <c r="D563" t="s">
        <v>29</v>
      </c>
      <c r="E563" t="s">
        <v>26</v>
      </c>
      <c r="F563">
        <v>4031</v>
      </c>
      <c r="G563">
        <v>5358</v>
      </c>
      <c r="H563">
        <v>316</v>
      </c>
      <c r="I563">
        <v>11</v>
      </c>
      <c r="J563">
        <v>61</v>
      </c>
      <c r="K563">
        <v>39</v>
      </c>
      <c r="L563">
        <v>2422</v>
      </c>
      <c r="M563">
        <v>45</v>
      </c>
      <c r="N563" s="1">
        <v>0.83333333333333337</v>
      </c>
      <c r="O563" t="s">
        <v>53</v>
      </c>
    </row>
    <row r="564" spans="1:15" x14ac:dyDescent="0.3">
      <c r="A564" t="s">
        <v>605</v>
      </c>
      <c r="B564">
        <v>20260404</v>
      </c>
      <c r="C564" t="s">
        <v>44</v>
      </c>
      <c r="D564" t="s">
        <v>17</v>
      </c>
      <c r="E564" t="s">
        <v>26</v>
      </c>
      <c r="F564">
        <v>43552</v>
      </c>
      <c r="G564">
        <v>61813</v>
      </c>
      <c r="H564">
        <v>2638</v>
      </c>
      <c r="I564">
        <v>181</v>
      </c>
      <c r="J564">
        <v>227</v>
      </c>
      <c r="K564">
        <v>151</v>
      </c>
      <c r="L564">
        <v>27588</v>
      </c>
      <c r="M564">
        <v>608</v>
      </c>
      <c r="N564" s="1">
        <v>0.60416666666666663</v>
      </c>
      <c r="O564" t="s">
        <v>53</v>
      </c>
    </row>
    <row r="565" spans="1:15" x14ac:dyDescent="0.3">
      <c r="A565" t="s">
        <v>606</v>
      </c>
      <c r="B565">
        <v>20251224</v>
      </c>
      <c r="C565" t="s">
        <v>40</v>
      </c>
      <c r="D565" t="s">
        <v>17</v>
      </c>
      <c r="E565" t="s">
        <v>26</v>
      </c>
      <c r="F565">
        <v>25003</v>
      </c>
      <c r="G565">
        <v>34527</v>
      </c>
      <c r="H565">
        <v>1582</v>
      </c>
      <c r="I565">
        <v>87</v>
      </c>
      <c r="J565">
        <v>242</v>
      </c>
      <c r="K565">
        <v>147</v>
      </c>
      <c r="L565">
        <v>21336</v>
      </c>
      <c r="M565">
        <v>398</v>
      </c>
      <c r="N565" s="1">
        <v>0.92708333333333337</v>
      </c>
      <c r="O565" t="s">
        <v>34</v>
      </c>
    </row>
    <row r="566" spans="1:15" x14ac:dyDescent="0.3">
      <c r="A566" t="s">
        <v>607</v>
      </c>
      <c r="B566">
        <v>20250208</v>
      </c>
      <c r="C566" t="s">
        <v>25</v>
      </c>
      <c r="D566" t="s">
        <v>21</v>
      </c>
      <c r="E566" t="s">
        <v>26</v>
      </c>
      <c r="F566">
        <v>11618</v>
      </c>
      <c r="G566">
        <v>12391</v>
      </c>
      <c r="H566">
        <v>1080</v>
      </c>
      <c r="I566">
        <v>90</v>
      </c>
      <c r="J566">
        <v>106</v>
      </c>
      <c r="K566">
        <v>89</v>
      </c>
      <c r="L566">
        <v>9815</v>
      </c>
      <c r="M566">
        <v>88</v>
      </c>
      <c r="N566" s="1">
        <v>0.88541666666666663</v>
      </c>
      <c r="O566" t="s">
        <v>27</v>
      </c>
    </row>
    <row r="567" spans="1:15" x14ac:dyDescent="0.3">
      <c r="A567" t="s">
        <v>608</v>
      </c>
      <c r="B567">
        <v>20260122</v>
      </c>
      <c r="C567" t="s">
        <v>25</v>
      </c>
      <c r="D567" t="s">
        <v>17</v>
      </c>
      <c r="E567" t="s">
        <v>18</v>
      </c>
      <c r="F567">
        <v>21379</v>
      </c>
      <c r="G567">
        <v>24650</v>
      </c>
      <c r="H567">
        <v>1459</v>
      </c>
      <c r="I567">
        <v>69</v>
      </c>
      <c r="J567">
        <v>173</v>
      </c>
      <c r="K567">
        <v>42</v>
      </c>
      <c r="L567">
        <v>0</v>
      </c>
      <c r="M567">
        <v>226</v>
      </c>
      <c r="N567" s="1">
        <v>0.83333333333333337</v>
      </c>
      <c r="O567" t="s">
        <v>19</v>
      </c>
    </row>
    <row r="568" spans="1:15" x14ac:dyDescent="0.3">
      <c r="A568" t="s">
        <v>609</v>
      </c>
      <c r="B568">
        <v>20250504</v>
      </c>
      <c r="C568" t="s">
        <v>44</v>
      </c>
      <c r="D568" t="s">
        <v>33</v>
      </c>
      <c r="E568" t="s">
        <v>46</v>
      </c>
      <c r="F568">
        <v>48311</v>
      </c>
      <c r="G568">
        <v>76299</v>
      </c>
      <c r="H568">
        <v>4053</v>
      </c>
      <c r="I568">
        <v>450</v>
      </c>
      <c r="J568">
        <v>407</v>
      </c>
      <c r="K568">
        <v>370</v>
      </c>
      <c r="L568">
        <v>42707</v>
      </c>
      <c r="M568">
        <v>833</v>
      </c>
      <c r="N568" s="1">
        <v>0.89583333333333337</v>
      </c>
      <c r="O568" t="s">
        <v>30</v>
      </c>
    </row>
    <row r="569" spans="1:15" x14ac:dyDescent="0.3">
      <c r="A569" t="s">
        <v>610</v>
      </c>
      <c r="B569">
        <v>20251112</v>
      </c>
      <c r="C569" t="s">
        <v>16</v>
      </c>
      <c r="D569" t="s">
        <v>21</v>
      </c>
      <c r="E569" t="s">
        <v>46</v>
      </c>
      <c r="F569">
        <v>29811</v>
      </c>
      <c r="G569">
        <v>33567</v>
      </c>
      <c r="H569">
        <v>1750</v>
      </c>
      <c r="I569">
        <v>183</v>
      </c>
      <c r="J569">
        <v>124</v>
      </c>
      <c r="K569">
        <v>202</v>
      </c>
      <c r="L569">
        <v>16102</v>
      </c>
      <c r="M569">
        <v>403</v>
      </c>
      <c r="N569" s="1">
        <v>0.85416666666666663</v>
      </c>
      <c r="O569" t="s">
        <v>27</v>
      </c>
    </row>
    <row r="570" spans="1:15" x14ac:dyDescent="0.3">
      <c r="A570" t="s">
        <v>611</v>
      </c>
      <c r="B570">
        <v>20250717</v>
      </c>
      <c r="C570" t="s">
        <v>32</v>
      </c>
      <c r="D570" t="s">
        <v>17</v>
      </c>
      <c r="E570" t="s">
        <v>41</v>
      </c>
      <c r="F570">
        <v>10622</v>
      </c>
      <c r="G570">
        <v>16741</v>
      </c>
      <c r="H570">
        <v>817</v>
      </c>
      <c r="I570">
        <v>82</v>
      </c>
      <c r="J570">
        <v>144</v>
      </c>
      <c r="K570">
        <v>119</v>
      </c>
      <c r="L570">
        <v>8868</v>
      </c>
      <c r="M570">
        <v>115</v>
      </c>
      <c r="N570" s="1">
        <v>0.84375</v>
      </c>
      <c r="O570" t="s">
        <v>38</v>
      </c>
    </row>
    <row r="571" spans="1:15" x14ac:dyDescent="0.3">
      <c r="A571" t="s">
        <v>612</v>
      </c>
      <c r="B571">
        <v>20251013</v>
      </c>
      <c r="C571" t="s">
        <v>16</v>
      </c>
      <c r="D571" t="s">
        <v>61</v>
      </c>
      <c r="E571" t="s">
        <v>41</v>
      </c>
      <c r="F571">
        <v>15244</v>
      </c>
      <c r="G571">
        <v>19576</v>
      </c>
      <c r="H571">
        <v>492</v>
      </c>
      <c r="I571">
        <v>23</v>
      </c>
      <c r="J571">
        <v>91</v>
      </c>
      <c r="K571">
        <v>40</v>
      </c>
      <c r="L571">
        <v>6546</v>
      </c>
      <c r="M571">
        <v>63</v>
      </c>
      <c r="N571" s="1">
        <v>0.66666666666666663</v>
      </c>
      <c r="O571" t="s">
        <v>27</v>
      </c>
    </row>
    <row r="572" spans="1:15" x14ac:dyDescent="0.3">
      <c r="A572" t="s">
        <v>613</v>
      </c>
      <c r="B572">
        <v>20250417</v>
      </c>
      <c r="C572" t="s">
        <v>44</v>
      </c>
      <c r="D572" t="s">
        <v>33</v>
      </c>
      <c r="E572" t="s">
        <v>46</v>
      </c>
      <c r="F572">
        <v>40997</v>
      </c>
      <c r="G572">
        <v>58088</v>
      </c>
      <c r="H572">
        <v>1406</v>
      </c>
      <c r="I572">
        <v>118</v>
      </c>
      <c r="J572">
        <v>158</v>
      </c>
      <c r="K572">
        <v>68</v>
      </c>
      <c r="L572">
        <v>17688</v>
      </c>
      <c r="M572">
        <v>235</v>
      </c>
      <c r="N572" s="1">
        <v>0.5</v>
      </c>
      <c r="O572" t="s">
        <v>30</v>
      </c>
    </row>
    <row r="573" spans="1:15" x14ac:dyDescent="0.3">
      <c r="A573" t="s">
        <v>614</v>
      </c>
      <c r="B573">
        <v>20250207</v>
      </c>
      <c r="C573" t="s">
        <v>25</v>
      </c>
      <c r="D573" t="s">
        <v>21</v>
      </c>
      <c r="E573" t="s">
        <v>46</v>
      </c>
      <c r="F573">
        <v>21381</v>
      </c>
      <c r="G573">
        <v>34978</v>
      </c>
      <c r="H573">
        <v>2207</v>
      </c>
      <c r="I573">
        <v>199</v>
      </c>
      <c r="J573">
        <v>87</v>
      </c>
      <c r="K573">
        <v>197</v>
      </c>
      <c r="L573">
        <v>18768</v>
      </c>
      <c r="M573">
        <v>330</v>
      </c>
      <c r="N573" s="1">
        <v>0.67708333333333337</v>
      </c>
      <c r="O573" t="s">
        <v>23</v>
      </c>
    </row>
    <row r="574" spans="1:15" x14ac:dyDescent="0.3">
      <c r="A574" t="s">
        <v>615</v>
      </c>
      <c r="B574">
        <v>20250220</v>
      </c>
      <c r="C574" t="s">
        <v>25</v>
      </c>
      <c r="D574" t="s">
        <v>17</v>
      </c>
      <c r="E574" t="s">
        <v>46</v>
      </c>
      <c r="F574">
        <v>42608</v>
      </c>
      <c r="G574">
        <v>54253</v>
      </c>
      <c r="H574">
        <v>1306</v>
      </c>
      <c r="I574">
        <v>37</v>
      </c>
      <c r="J574">
        <v>161</v>
      </c>
      <c r="K574">
        <v>35</v>
      </c>
      <c r="L574">
        <v>22402</v>
      </c>
      <c r="M574">
        <v>57</v>
      </c>
      <c r="N574" s="1">
        <v>0.79166666666666663</v>
      </c>
      <c r="O574" t="s">
        <v>30</v>
      </c>
    </row>
    <row r="575" spans="1:15" x14ac:dyDescent="0.3">
      <c r="A575" t="s">
        <v>616</v>
      </c>
      <c r="B575">
        <v>20260421</v>
      </c>
      <c r="C575" t="s">
        <v>40</v>
      </c>
      <c r="D575" t="s">
        <v>17</v>
      </c>
      <c r="E575" t="s">
        <v>18</v>
      </c>
      <c r="F575">
        <v>37800</v>
      </c>
      <c r="G575">
        <v>43938</v>
      </c>
      <c r="H575">
        <v>3676</v>
      </c>
      <c r="I575">
        <v>494</v>
      </c>
      <c r="J575">
        <v>227</v>
      </c>
      <c r="K575">
        <v>207</v>
      </c>
      <c r="L575">
        <v>0</v>
      </c>
      <c r="M575">
        <v>665</v>
      </c>
      <c r="N575" s="1">
        <v>0.91666666666666663</v>
      </c>
      <c r="O575" t="s">
        <v>23</v>
      </c>
    </row>
    <row r="576" spans="1:15" x14ac:dyDescent="0.3">
      <c r="A576" t="s">
        <v>617</v>
      </c>
      <c r="B576">
        <v>20260203</v>
      </c>
      <c r="C576" t="s">
        <v>25</v>
      </c>
      <c r="D576" t="s">
        <v>21</v>
      </c>
      <c r="E576" t="s">
        <v>18</v>
      </c>
      <c r="F576">
        <v>4375</v>
      </c>
      <c r="G576">
        <v>5388</v>
      </c>
      <c r="H576">
        <v>400</v>
      </c>
      <c r="I576">
        <v>11</v>
      </c>
      <c r="J576">
        <v>79</v>
      </c>
      <c r="K576">
        <v>47</v>
      </c>
      <c r="L576">
        <v>0</v>
      </c>
      <c r="M576">
        <v>76</v>
      </c>
      <c r="N576" s="1">
        <v>0.57291666666666663</v>
      </c>
      <c r="O576" t="s">
        <v>27</v>
      </c>
    </row>
    <row r="577" spans="1:15" x14ac:dyDescent="0.3">
      <c r="A577" t="s">
        <v>618</v>
      </c>
      <c r="B577">
        <v>20250610</v>
      </c>
      <c r="C577" t="s">
        <v>32</v>
      </c>
      <c r="D577" t="s">
        <v>21</v>
      </c>
      <c r="E577" t="s">
        <v>51</v>
      </c>
      <c r="F577">
        <v>11907</v>
      </c>
      <c r="G577">
        <v>19465</v>
      </c>
      <c r="H577">
        <v>516</v>
      </c>
      <c r="I577">
        <v>67</v>
      </c>
      <c r="J577">
        <v>18</v>
      </c>
      <c r="K577">
        <v>11</v>
      </c>
      <c r="L577">
        <v>0</v>
      </c>
      <c r="M577">
        <v>102</v>
      </c>
      <c r="N577" s="1">
        <v>0.94791666666666663</v>
      </c>
      <c r="O577" t="s">
        <v>27</v>
      </c>
    </row>
    <row r="578" spans="1:15" x14ac:dyDescent="0.3">
      <c r="A578" t="s">
        <v>619</v>
      </c>
      <c r="B578">
        <v>20250302</v>
      </c>
      <c r="C578" t="s">
        <v>16</v>
      </c>
      <c r="D578" t="s">
        <v>29</v>
      </c>
      <c r="E578" t="s">
        <v>46</v>
      </c>
      <c r="F578">
        <v>32015</v>
      </c>
      <c r="G578">
        <v>51636</v>
      </c>
      <c r="H578">
        <v>1678</v>
      </c>
      <c r="I578">
        <v>127</v>
      </c>
      <c r="J578">
        <v>225</v>
      </c>
      <c r="K578">
        <v>56</v>
      </c>
      <c r="L578">
        <v>17042</v>
      </c>
      <c r="M578">
        <v>274</v>
      </c>
      <c r="N578" s="1">
        <v>0.85416666666666663</v>
      </c>
      <c r="O578" t="s">
        <v>49</v>
      </c>
    </row>
    <row r="579" spans="1:15" x14ac:dyDescent="0.3">
      <c r="A579" t="s">
        <v>620</v>
      </c>
      <c r="B579">
        <v>20250620</v>
      </c>
      <c r="C579" t="s">
        <v>25</v>
      </c>
      <c r="D579" t="s">
        <v>21</v>
      </c>
      <c r="E579" t="s">
        <v>26</v>
      </c>
      <c r="F579">
        <v>5862</v>
      </c>
      <c r="G579">
        <v>8341</v>
      </c>
      <c r="H579">
        <v>610</v>
      </c>
      <c r="I579">
        <v>28</v>
      </c>
      <c r="J579">
        <v>97</v>
      </c>
      <c r="K579">
        <v>25</v>
      </c>
      <c r="L579">
        <v>4338</v>
      </c>
      <c r="M579">
        <v>72</v>
      </c>
      <c r="N579" s="1">
        <v>0.82291666666666663</v>
      </c>
      <c r="O579" t="s">
        <v>19</v>
      </c>
    </row>
    <row r="580" spans="1:15" x14ac:dyDescent="0.3">
      <c r="A580" t="s">
        <v>621</v>
      </c>
      <c r="B580">
        <v>20260303</v>
      </c>
      <c r="C580" t="s">
        <v>16</v>
      </c>
      <c r="D580" t="s">
        <v>68</v>
      </c>
      <c r="E580" t="s">
        <v>18</v>
      </c>
      <c r="F580">
        <v>8016</v>
      </c>
      <c r="G580">
        <v>10089</v>
      </c>
      <c r="H580">
        <v>762</v>
      </c>
      <c r="I580">
        <v>92</v>
      </c>
      <c r="J580">
        <v>80</v>
      </c>
      <c r="K580">
        <v>105</v>
      </c>
      <c r="L580">
        <v>0</v>
      </c>
      <c r="M580">
        <v>126</v>
      </c>
      <c r="N580" s="1">
        <v>0.44791666666666669</v>
      </c>
      <c r="O580" t="s">
        <v>23</v>
      </c>
    </row>
    <row r="581" spans="1:15" x14ac:dyDescent="0.3">
      <c r="A581" t="s">
        <v>622</v>
      </c>
      <c r="B581">
        <v>20260218</v>
      </c>
      <c r="C581" t="s">
        <v>16</v>
      </c>
      <c r="D581" t="s">
        <v>36</v>
      </c>
      <c r="E581" t="s">
        <v>51</v>
      </c>
      <c r="F581">
        <v>12292</v>
      </c>
      <c r="G581">
        <v>17920</v>
      </c>
      <c r="H581">
        <v>1381</v>
      </c>
      <c r="I581">
        <v>91</v>
      </c>
      <c r="J581">
        <v>110</v>
      </c>
      <c r="K581">
        <v>121</v>
      </c>
      <c r="L581">
        <v>0</v>
      </c>
      <c r="M581">
        <v>88</v>
      </c>
      <c r="N581" s="1">
        <v>0.32291666666666669</v>
      </c>
      <c r="O581" t="s">
        <v>34</v>
      </c>
    </row>
    <row r="582" spans="1:15" x14ac:dyDescent="0.3">
      <c r="A582" t="s">
        <v>623</v>
      </c>
      <c r="B582">
        <v>20251020</v>
      </c>
      <c r="C582" t="s">
        <v>25</v>
      </c>
      <c r="D582" t="s">
        <v>29</v>
      </c>
      <c r="E582" t="s">
        <v>41</v>
      </c>
      <c r="F582">
        <v>23672</v>
      </c>
      <c r="G582">
        <v>37777</v>
      </c>
      <c r="H582">
        <v>1133</v>
      </c>
      <c r="I582">
        <v>47</v>
      </c>
      <c r="J582">
        <v>167</v>
      </c>
      <c r="K582">
        <v>59</v>
      </c>
      <c r="L582">
        <v>18093</v>
      </c>
      <c r="M582">
        <v>83</v>
      </c>
      <c r="N582" s="1">
        <v>0.75</v>
      </c>
      <c r="O582" t="s">
        <v>42</v>
      </c>
    </row>
    <row r="583" spans="1:15" x14ac:dyDescent="0.3">
      <c r="A583" t="s">
        <v>624</v>
      </c>
      <c r="B583">
        <v>20260610</v>
      </c>
      <c r="C583" t="s">
        <v>44</v>
      </c>
      <c r="D583" t="s">
        <v>21</v>
      </c>
      <c r="E583" t="s">
        <v>46</v>
      </c>
      <c r="F583">
        <v>79342</v>
      </c>
      <c r="G583">
        <v>110070</v>
      </c>
      <c r="H583">
        <v>2159</v>
      </c>
      <c r="I583">
        <v>68</v>
      </c>
      <c r="J583">
        <v>393</v>
      </c>
      <c r="K583">
        <v>181</v>
      </c>
      <c r="L583">
        <v>40655</v>
      </c>
      <c r="M583">
        <v>1030</v>
      </c>
      <c r="N583" s="1">
        <v>0.34375</v>
      </c>
      <c r="O583" t="s">
        <v>23</v>
      </c>
    </row>
    <row r="584" spans="1:15" x14ac:dyDescent="0.3">
      <c r="A584" t="s">
        <v>625</v>
      </c>
      <c r="B584">
        <v>20250319</v>
      </c>
      <c r="C584" t="s">
        <v>16</v>
      </c>
      <c r="D584" t="s">
        <v>68</v>
      </c>
      <c r="E584" t="s">
        <v>46</v>
      </c>
      <c r="F584">
        <v>21713</v>
      </c>
      <c r="G584">
        <v>33217</v>
      </c>
      <c r="H584">
        <v>565</v>
      </c>
      <c r="I584">
        <v>41</v>
      </c>
      <c r="J584">
        <v>64</v>
      </c>
      <c r="K584">
        <v>29</v>
      </c>
      <c r="L584">
        <v>8811</v>
      </c>
      <c r="M584">
        <v>205</v>
      </c>
      <c r="N584" s="1">
        <v>0.9375</v>
      </c>
      <c r="O584" t="s">
        <v>42</v>
      </c>
    </row>
    <row r="585" spans="1:15" x14ac:dyDescent="0.3">
      <c r="A585" t="s">
        <v>626</v>
      </c>
      <c r="B585">
        <v>20260621</v>
      </c>
      <c r="C585" t="s">
        <v>16</v>
      </c>
      <c r="D585" t="s">
        <v>17</v>
      </c>
      <c r="E585" t="s">
        <v>41</v>
      </c>
      <c r="F585">
        <v>29112</v>
      </c>
      <c r="G585">
        <v>30722</v>
      </c>
      <c r="H585">
        <v>2997</v>
      </c>
      <c r="I585">
        <v>292</v>
      </c>
      <c r="J585">
        <v>470</v>
      </c>
      <c r="K585">
        <v>408</v>
      </c>
      <c r="L585">
        <v>11462</v>
      </c>
      <c r="M585">
        <v>344</v>
      </c>
      <c r="N585" s="1">
        <v>0.64583333333333337</v>
      </c>
      <c r="O585" t="s">
        <v>30</v>
      </c>
    </row>
    <row r="586" spans="1:15" x14ac:dyDescent="0.3">
      <c r="A586" t="s">
        <v>627</v>
      </c>
      <c r="B586">
        <v>20260908</v>
      </c>
      <c r="C586" t="s">
        <v>25</v>
      </c>
      <c r="D586" t="s">
        <v>36</v>
      </c>
      <c r="E586" t="s">
        <v>26</v>
      </c>
      <c r="F586">
        <v>10703</v>
      </c>
      <c r="G586">
        <v>16766</v>
      </c>
      <c r="H586">
        <v>723</v>
      </c>
      <c r="I586">
        <v>59</v>
      </c>
      <c r="J586">
        <v>22</v>
      </c>
      <c r="K586">
        <v>62</v>
      </c>
      <c r="L586">
        <v>9329</v>
      </c>
      <c r="M586">
        <v>165</v>
      </c>
      <c r="N586" s="1">
        <v>0.85416666666666663</v>
      </c>
      <c r="O586" t="s">
        <v>47</v>
      </c>
    </row>
    <row r="587" spans="1:15" x14ac:dyDescent="0.3">
      <c r="A587" t="s">
        <v>628</v>
      </c>
      <c r="B587">
        <v>20260223</v>
      </c>
      <c r="C587" t="s">
        <v>44</v>
      </c>
      <c r="D587" t="s">
        <v>68</v>
      </c>
      <c r="E587" t="s">
        <v>41</v>
      </c>
      <c r="F587">
        <v>74134</v>
      </c>
      <c r="G587">
        <v>80787</v>
      </c>
      <c r="H587">
        <v>3725</v>
      </c>
      <c r="J587">
        <v>417</v>
      </c>
      <c r="K587">
        <v>566</v>
      </c>
      <c r="L587">
        <v>26359</v>
      </c>
      <c r="M587">
        <v>1133</v>
      </c>
      <c r="N587" s="1">
        <v>0.42708333333333331</v>
      </c>
      <c r="O587" t="s">
        <v>27</v>
      </c>
    </row>
    <row r="588" spans="1:15" x14ac:dyDescent="0.3">
      <c r="A588" t="s">
        <v>629</v>
      </c>
      <c r="B588">
        <v>20250819</v>
      </c>
      <c r="C588" t="s">
        <v>16</v>
      </c>
      <c r="D588" t="s">
        <v>68</v>
      </c>
      <c r="E588" t="s">
        <v>18</v>
      </c>
      <c r="F588">
        <v>8423</v>
      </c>
      <c r="G588">
        <v>9699</v>
      </c>
      <c r="H588">
        <v>640</v>
      </c>
      <c r="I588">
        <v>25</v>
      </c>
      <c r="J588">
        <v>113</v>
      </c>
      <c r="K588">
        <v>67</v>
      </c>
      <c r="L588">
        <v>0</v>
      </c>
      <c r="M588">
        <v>15</v>
      </c>
      <c r="N588" s="1">
        <v>0.94791666666666663</v>
      </c>
      <c r="O588" t="s">
        <v>53</v>
      </c>
    </row>
    <row r="589" spans="1:15" x14ac:dyDescent="0.3">
      <c r="A589" t="s">
        <v>630</v>
      </c>
      <c r="B589">
        <v>20250625</v>
      </c>
      <c r="C589" t="s">
        <v>16</v>
      </c>
      <c r="D589" t="s">
        <v>61</v>
      </c>
      <c r="E589" t="s">
        <v>18</v>
      </c>
      <c r="F589">
        <v>27220</v>
      </c>
      <c r="G589">
        <v>37954</v>
      </c>
      <c r="H589">
        <v>3001</v>
      </c>
      <c r="I589">
        <v>96</v>
      </c>
      <c r="J589">
        <v>555</v>
      </c>
      <c r="K589">
        <v>171</v>
      </c>
      <c r="L589">
        <v>0</v>
      </c>
      <c r="M589">
        <v>339</v>
      </c>
      <c r="N589" s="1">
        <v>0.30208333333333331</v>
      </c>
      <c r="O589" t="s">
        <v>27</v>
      </c>
    </row>
    <row r="590" spans="1:15" x14ac:dyDescent="0.3">
      <c r="A590" t="s">
        <v>631</v>
      </c>
      <c r="B590">
        <v>20250206</v>
      </c>
      <c r="C590" t="s">
        <v>25</v>
      </c>
      <c r="D590" t="s">
        <v>61</v>
      </c>
      <c r="E590" t="s">
        <v>51</v>
      </c>
      <c r="F590">
        <v>28288</v>
      </c>
      <c r="G590">
        <v>42030</v>
      </c>
      <c r="H590">
        <v>856</v>
      </c>
      <c r="I590">
        <v>92</v>
      </c>
      <c r="J590">
        <v>78</v>
      </c>
      <c r="K590">
        <v>136</v>
      </c>
      <c r="L590">
        <v>0</v>
      </c>
      <c r="M590">
        <v>486</v>
      </c>
      <c r="N590" s="1">
        <v>0.55208333333333337</v>
      </c>
      <c r="O590" t="s">
        <v>23</v>
      </c>
    </row>
    <row r="591" spans="1:15" x14ac:dyDescent="0.3">
      <c r="A591" t="s">
        <v>632</v>
      </c>
      <c r="B591">
        <v>20250404</v>
      </c>
      <c r="C591" t="s">
        <v>16</v>
      </c>
      <c r="D591" t="s">
        <v>17</v>
      </c>
      <c r="E591" t="s">
        <v>18</v>
      </c>
      <c r="F591">
        <v>21111</v>
      </c>
      <c r="G591">
        <v>28510</v>
      </c>
      <c r="H591">
        <v>985</v>
      </c>
      <c r="I591">
        <v>96</v>
      </c>
      <c r="J591">
        <v>163</v>
      </c>
      <c r="K591">
        <v>83</v>
      </c>
      <c r="L591">
        <v>0</v>
      </c>
      <c r="M591">
        <v>29</v>
      </c>
      <c r="N591" s="1">
        <v>0.33333333333333331</v>
      </c>
      <c r="O591" t="s">
        <v>30</v>
      </c>
    </row>
    <row r="592" spans="1:15" x14ac:dyDescent="0.3">
      <c r="A592" t="s">
        <v>633</v>
      </c>
      <c r="B592">
        <v>20251105</v>
      </c>
      <c r="C592" t="s">
        <v>32</v>
      </c>
      <c r="D592" t="s">
        <v>29</v>
      </c>
      <c r="E592" t="s">
        <v>46</v>
      </c>
      <c r="F592">
        <v>23208</v>
      </c>
      <c r="G592">
        <v>34451</v>
      </c>
      <c r="H592">
        <v>1694</v>
      </c>
      <c r="I592">
        <v>123</v>
      </c>
      <c r="J592">
        <v>90</v>
      </c>
      <c r="K592">
        <v>181</v>
      </c>
      <c r="L592">
        <v>18541</v>
      </c>
      <c r="M592">
        <v>158</v>
      </c>
      <c r="N592" s="1">
        <v>0.94791666666666663</v>
      </c>
      <c r="O592" t="s">
        <v>53</v>
      </c>
    </row>
    <row r="593" spans="1:15" x14ac:dyDescent="0.3">
      <c r="A593" t="s">
        <v>634</v>
      </c>
      <c r="B593">
        <v>20250121</v>
      </c>
      <c r="C593" t="s">
        <v>25</v>
      </c>
      <c r="D593" t="s">
        <v>33</v>
      </c>
      <c r="E593" t="s">
        <v>46</v>
      </c>
      <c r="F593">
        <v>16647</v>
      </c>
      <c r="G593">
        <v>23492</v>
      </c>
      <c r="H593">
        <v>1434</v>
      </c>
      <c r="I593">
        <v>151</v>
      </c>
      <c r="J593">
        <v>154</v>
      </c>
      <c r="K593">
        <v>46</v>
      </c>
      <c r="L593">
        <v>11202</v>
      </c>
      <c r="M593">
        <v>107</v>
      </c>
      <c r="N593" s="1">
        <v>0.58333333333333337</v>
      </c>
      <c r="O593" t="s">
        <v>27</v>
      </c>
    </row>
    <row r="594" spans="1:15" x14ac:dyDescent="0.3">
      <c r="A594" t="s">
        <v>635</v>
      </c>
      <c r="B594">
        <v>20260702</v>
      </c>
      <c r="C594" t="s">
        <v>16</v>
      </c>
      <c r="D594" t="s">
        <v>61</v>
      </c>
      <c r="E594" t="s">
        <v>41</v>
      </c>
      <c r="F594">
        <v>99624</v>
      </c>
      <c r="G594">
        <v>126818</v>
      </c>
      <c r="H594">
        <v>3668</v>
      </c>
      <c r="I594">
        <v>257</v>
      </c>
      <c r="J594">
        <v>187</v>
      </c>
      <c r="K594">
        <v>524</v>
      </c>
      <c r="L594">
        <v>83795</v>
      </c>
      <c r="M594">
        <v>1034</v>
      </c>
      <c r="N594" s="1">
        <v>0.65625</v>
      </c>
      <c r="O594" t="s">
        <v>49</v>
      </c>
    </row>
    <row r="595" spans="1:15" x14ac:dyDescent="0.3">
      <c r="A595" t="s">
        <v>636</v>
      </c>
      <c r="B595">
        <v>20260702</v>
      </c>
      <c r="C595" t="s">
        <v>16</v>
      </c>
      <c r="D595" t="s">
        <v>68</v>
      </c>
      <c r="E595" t="s">
        <v>41</v>
      </c>
      <c r="F595">
        <v>36417</v>
      </c>
      <c r="G595">
        <v>50105</v>
      </c>
      <c r="H595">
        <v>3464</v>
      </c>
      <c r="I595">
        <v>222</v>
      </c>
      <c r="J595">
        <v>162</v>
      </c>
      <c r="K595">
        <v>351</v>
      </c>
      <c r="L595">
        <v>27637</v>
      </c>
      <c r="M595">
        <v>464</v>
      </c>
      <c r="N595" s="1">
        <v>0.3125</v>
      </c>
      <c r="O595" t="s">
        <v>23</v>
      </c>
    </row>
    <row r="596" spans="1:15" x14ac:dyDescent="0.3">
      <c r="A596" t="s">
        <v>637</v>
      </c>
      <c r="B596">
        <v>20260218</v>
      </c>
      <c r="C596" t="s">
        <v>16</v>
      </c>
      <c r="D596" t="s">
        <v>33</v>
      </c>
      <c r="E596" t="s">
        <v>26</v>
      </c>
      <c r="F596">
        <v>12319</v>
      </c>
      <c r="G596">
        <v>17581</v>
      </c>
      <c r="H596">
        <v>454</v>
      </c>
      <c r="I596">
        <v>26</v>
      </c>
      <c r="J596">
        <v>59</v>
      </c>
      <c r="K596">
        <v>10</v>
      </c>
      <c r="L596">
        <v>8681</v>
      </c>
      <c r="M596">
        <v>31</v>
      </c>
      <c r="N596" s="1">
        <v>0.69791666666666663</v>
      </c>
      <c r="O596" t="s">
        <v>42</v>
      </c>
    </row>
    <row r="597" spans="1:15" x14ac:dyDescent="0.3">
      <c r="A597" t="s">
        <v>638</v>
      </c>
      <c r="B597">
        <v>20250814</v>
      </c>
      <c r="C597" t="s">
        <v>44</v>
      </c>
      <c r="D597" t="s">
        <v>33</v>
      </c>
      <c r="E597" t="s">
        <v>41</v>
      </c>
      <c r="F597">
        <v>72464</v>
      </c>
      <c r="G597">
        <v>111895</v>
      </c>
      <c r="H597">
        <v>3267</v>
      </c>
      <c r="I597">
        <v>335</v>
      </c>
      <c r="J597">
        <v>608</v>
      </c>
      <c r="K597">
        <v>448</v>
      </c>
      <c r="L597">
        <v>50578</v>
      </c>
      <c r="M597">
        <v>83</v>
      </c>
      <c r="N597" s="1">
        <v>0.625</v>
      </c>
      <c r="O597" t="s">
        <v>19</v>
      </c>
    </row>
    <row r="598" spans="1:15" x14ac:dyDescent="0.3">
      <c r="A598" t="s">
        <v>639</v>
      </c>
      <c r="B598">
        <v>20250327</v>
      </c>
      <c r="C598" t="s">
        <v>40</v>
      </c>
      <c r="D598" t="s">
        <v>17</v>
      </c>
      <c r="E598" t="s">
        <v>18</v>
      </c>
      <c r="F598">
        <v>8038</v>
      </c>
      <c r="G598">
        <v>12021</v>
      </c>
      <c r="H598">
        <v>663</v>
      </c>
      <c r="I598">
        <v>84</v>
      </c>
      <c r="J598">
        <v>71</v>
      </c>
      <c r="K598">
        <v>18</v>
      </c>
      <c r="L598">
        <v>0</v>
      </c>
      <c r="M598">
        <v>82</v>
      </c>
      <c r="N598" s="1">
        <v>0.51041666666666663</v>
      </c>
      <c r="O598" t="s">
        <v>53</v>
      </c>
    </row>
    <row r="599" spans="1:15" x14ac:dyDescent="0.3">
      <c r="A599" t="s">
        <v>640</v>
      </c>
      <c r="B599">
        <v>20260512</v>
      </c>
      <c r="C599" t="s">
        <v>16</v>
      </c>
      <c r="D599" t="s">
        <v>61</v>
      </c>
      <c r="E599" t="s">
        <v>26</v>
      </c>
      <c r="F599">
        <v>19849</v>
      </c>
      <c r="G599">
        <v>26150</v>
      </c>
      <c r="H599">
        <v>980</v>
      </c>
      <c r="I599">
        <v>64</v>
      </c>
      <c r="J599">
        <v>124</v>
      </c>
      <c r="K599">
        <v>30</v>
      </c>
      <c r="L599">
        <v>12586</v>
      </c>
      <c r="M599">
        <v>269</v>
      </c>
      <c r="N599" s="1">
        <v>0.65625</v>
      </c>
      <c r="O599" t="s">
        <v>47</v>
      </c>
    </row>
    <row r="600" spans="1:15" x14ac:dyDescent="0.3">
      <c r="A600" t="s">
        <v>641</v>
      </c>
      <c r="B600">
        <v>20260905</v>
      </c>
      <c r="C600" t="s">
        <v>16</v>
      </c>
      <c r="D600" t="s">
        <v>68</v>
      </c>
      <c r="E600" t="s">
        <v>22</v>
      </c>
      <c r="F600">
        <v>24832</v>
      </c>
      <c r="G600">
        <v>35650</v>
      </c>
      <c r="H600">
        <v>2904</v>
      </c>
      <c r="I600">
        <v>132</v>
      </c>
      <c r="J600">
        <v>137</v>
      </c>
      <c r="K600">
        <v>150</v>
      </c>
      <c r="L600">
        <v>0</v>
      </c>
      <c r="M600">
        <v>215</v>
      </c>
      <c r="N600" s="1">
        <v>0.60416666666666663</v>
      </c>
      <c r="O600" t="s">
        <v>49</v>
      </c>
    </row>
    <row r="601" spans="1:15" x14ac:dyDescent="0.3">
      <c r="A601" t="s">
        <v>642</v>
      </c>
      <c r="B601">
        <v>20260129</v>
      </c>
      <c r="C601" t="s">
        <v>32</v>
      </c>
      <c r="D601" t="s">
        <v>68</v>
      </c>
      <c r="E601" t="s">
        <v>18</v>
      </c>
      <c r="F601">
        <v>20323</v>
      </c>
      <c r="G601">
        <v>28230</v>
      </c>
      <c r="H601">
        <v>746</v>
      </c>
      <c r="I601">
        <v>38</v>
      </c>
      <c r="J601">
        <v>45</v>
      </c>
      <c r="K601">
        <v>20</v>
      </c>
      <c r="L601">
        <v>0</v>
      </c>
      <c r="M601">
        <v>81</v>
      </c>
      <c r="N601" s="1">
        <v>0.54166666666666663</v>
      </c>
      <c r="O601" t="s">
        <v>42</v>
      </c>
    </row>
    <row r="602" spans="1:15" x14ac:dyDescent="0.3">
      <c r="A602" t="s">
        <v>643</v>
      </c>
      <c r="B602">
        <v>20260531</v>
      </c>
      <c r="C602" t="s">
        <v>40</v>
      </c>
      <c r="D602" t="s">
        <v>29</v>
      </c>
      <c r="E602" t="s">
        <v>46</v>
      </c>
      <c r="F602">
        <v>18744</v>
      </c>
      <c r="G602">
        <v>22526</v>
      </c>
      <c r="H602">
        <v>1119</v>
      </c>
      <c r="I602">
        <v>151</v>
      </c>
      <c r="J602">
        <v>46</v>
      </c>
      <c r="K602">
        <v>113</v>
      </c>
      <c r="L602">
        <v>13171</v>
      </c>
      <c r="M602">
        <v>278</v>
      </c>
      <c r="N602" s="1">
        <v>0.89583333333333337</v>
      </c>
      <c r="O602" t="s">
        <v>23</v>
      </c>
    </row>
    <row r="603" spans="1:15" x14ac:dyDescent="0.3">
      <c r="A603" t="s">
        <v>644</v>
      </c>
      <c r="B603">
        <v>20260515</v>
      </c>
      <c r="C603" t="s">
        <v>40</v>
      </c>
      <c r="D603" t="s">
        <v>17</v>
      </c>
      <c r="E603" t="s">
        <v>41</v>
      </c>
      <c r="F603">
        <v>42438</v>
      </c>
      <c r="G603">
        <v>45524</v>
      </c>
      <c r="H603">
        <v>4418</v>
      </c>
      <c r="I603">
        <v>429</v>
      </c>
      <c r="J603">
        <v>503</v>
      </c>
      <c r="K603">
        <v>666</v>
      </c>
      <c r="L603">
        <v>22347</v>
      </c>
      <c r="M603">
        <v>746</v>
      </c>
      <c r="N603" s="1">
        <v>0.5</v>
      </c>
      <c r="O603" t="s">
        <v>38</v>
      </c>
    </row>
    <row r="604" spans="1:15" x14ac:dyDescent="0.3">
      <c r="A604" t="s">
        <v>645</v>
      </c>
      <c r="B604">
        <v>20250415</v>
      </c>
      <c r="C604" t="s">
        <v>40</v>
      </c>
      <c r="D604" t="s">
        <v>17</v>
      </c>
      <c r="E604" t="s">
        <v>18</v>
      </c>
      <c r="F604">
        <v>16329</v>
      </c>
      <c r="G604">
        <v>19127</v>
      </c>
      <c r="H604">
        <v>1016</v>
      </c>
      <c r="I604">
        <v>55</v>
      </c>
      <c r="J604">
        <v>75</v>
      </c>
      <c r="K604">
        <v>150</v>
      </c>
      <c r="L604">
        <v>0</v>
      </c>
      <c r="M604">
        <v>253</v>
      </c>
      <c r="N604" s="1">
        <v>0.38541666666666669</v>
      </c>
      <c r="O604" t="s">
        <v>23</v>
      </c>
    </row>
    <row r="605" spans="1:15" x14ac:dyDescent="0.3">
      <c r="A605" t="s">
        <v>646</v>
      </c>
      <c r="B605">
        <v>20250805</v>
      </c>
      <c r="C605" t="s">
        <v>32</v>
      </c>
      <c r="D605" t="s">
        <v>29</v>
      </c>
      <c r="E605" t="s">
        <v>41</v>
      </c>
      <c r="F605">
        <v>19851</v>
      </c>
      <c r="G605">
        <v>31596</v>
      </c>
      <c r="H605">
        <v>2156</v>
      </c>
      <c r="I605">
        <v>123</v>
      </c>
      <c r="J605">
        <v>412</v>
      </c>
      <c r="K605">
        <v>299</v>
      </c>
      <c r="L605">
        <v>17829</v>
      </c>
      <c r="M605">
        <v>28</v>
      </c>
      <c r="N605" s="1">
        <v>0.92708333333333337</v>
      </c>
      <c r="O605" t="s">
        <v>23</v>
      </c>
    </row>
    <row r="606" spans="1:15" x14ac:dyDescent="0.3">
      <c r="A606" t="s">
        <v>647</v>
      </c>
      <c r="B606">
        <v>20250219</v>
      </c>
      <c r="C606" t="s">
        <v>44</v>
      </c>
      <c r="D606" t="s">
        <v>17</v>
      </c>
      <c r="E606" t="s">
        <v>22</v>
      </c>
      <c r="F606">
        <v>35282</v>
      </c>
      <c r="G606">
        <v>49173</v>
      </c>
      <c r="H606">
        <v>1573</v>
      </c>
      <c r="I606">
        <v>120</v>
      </c>
      <c r="J606">
        <v>140</v>
      </c>
      <c r="K606">
        <v>114</v>
      </c>
      <c r="L606">
        <v>0</v>
      </c>
      <c r="M606">
        <v>153</v>
      </c>
      <c r="N606" s="1">
        <v>0.4375</v>
      </c>
      <c r="O606" t="s">
        <v>19</v>
      </c>
    </row>
    <row r="607" spans="1:15" x14ac:dyDescent="0.3">
      <c r="A607" t="s">
        <v>648</v>
      </c>
      <c r="B607">
        <v>20260817</v>
      </c>
      <c r="C607" t="s">
        <v>44</v>
      </c>
      <c r="D607" t="s">
        <v>21</v>
      </c>
      <c r="E607" t="s">
        <v>18</v>
      </c>
      <c r="F607">
        <v>12506</v>
      </c>
      <c r="G607">
        <v>17892</v>
      </c>
      <c r="H607">
        <v>616</v>
      </c>
      <c r="I607">
        <v>82</v>
      </c>
      <c r="J607">
        <v>111</v>
      </c>
      <c r="K607">
        <v>69</v>
      </c>
      <c r="L607">
        <v>0</v>
      </c>
      <c r="M607">
        <v>42</v>
      </c>
      <c r="N607" s="1">
        <v>0.82291666666666663</v>
      </c>
      <c r="O607" t="s">
        <v>34</v>
      </c>
    </row>
    <row r="608" spans="1:15" x14ac:dyDescent="0.3">
      <c r="A608" t="s">
        <v>649</v>
      </c>
      <c r="B608">
        <v>20251119</v>
      </c>
      <c r="C608" t="s">
        <v>16</v>
      </c>
      <c r="D608" t="s">
        <v>68</v>
      </c>
      <c r="E608" t="s">
        <v>41</v>
      </c>
      <c r="F608">
        <v>29376</v>
      </c>
      <c r="G608">
        <v>42386</v>
      </c>
      <c r="H608">
        <v>1040</v>
      </c>
      <c r="I608">
        <v>59</v>
      </c>
      <c r="J608">
        <v>119</v>
      </c>
      <c r="K608">
        <v>110</v>
      </c>
      <c r="L608">
        <v>18023</v>
      </c>
      <c r="M608">
        <v>116</v>
      </c>
      <c r="N608" s="1">
        <v>0.4375</v>
      </c>
      <c r="O608" t="s">
        <v>23</v>
      </c>
    </row>
    <row r="609" spans="1:15" x14ac:dyDescent="0.3">
      <c r="A609" t="s">
        <v>650</v>
      </c>
      <c r="B609">
        <v>20250706</v>
      </c>
      <c r="C609" t="s">
        <v>32</v>
      </c>
      <c r="D609" t="s">
        <v>29</v>
      </c>
      <c r="E609" t="s">
        <v>41</v>
      </c>
      <c r="F609">
        <v>11929</v>
      </c>
      <c r="G609">
        <v>18585</v>
      </c>
      <c r="H609">
        <v>1420</v>
      </c>
      <c r="I609">
        <v>51</v>
      </c>
      <c r="J609">
        <v>194</v>
      </c>
      <c r="K609">
        <v>180</v>
      </c>
      <c r="L609">
        <v>6074</v>
      </c>
      <c r="M609">
        <v>72</v>
      </c>
      <c r="N609" s="1">
        <v>0.375</v>
      </c>
      <c r="O609" t="s">
        <v>19</v>
      </c>
    </row>
    <row r="610" spans="1:15" x14ac:dyDescent="0.3">
      <c r="A610" t="s">
        <v>651</v>
      </c>
      <c r="B610">
        <v>20260707</v>
      </c>
      <c r="C610" t="s">
        <v>25</v>
      </c>
      <c r="D610" t="s">
        <v>33</v>
      </c>
      <c r="E610" t="s">
        <v>18</v>
      </c>
      <c r="F610">
        <v>4833</v>
      </c>
      <c r="G610">
        <v>7749</v>
      </c>
      <c r="H610">
        <v>361</v>
      </c>
      <c r="I610">
        <v>20</v>
      </c>
      <c r="J610">
        <v>47</v>
      </c>
      <c r="K610">
        <v>22</v>
      </c>
      <c r="L610">
        <v>0</v>
      </c>
      <c r="M610">
        <v>31</v>
      </c>
      <c r="N610" s="1">
        <v>0.58333333333333337</v>
      </c>
      <c r="O610" t="s">
        <v>23</v>
      </c>
    </row>
    <row r="611" spans="1:15" x14ac:dyDescent="0.3">
      <c r="A611" t="s">
        <v>652</v>
      </c>
      <c r="B611">
        <v>20251229</v>
      </c>
      <c r="C611" t="s">
        <v>44</v>
      </c>
      <c r="D611" t="s">
        <v>17</v>
      </c>
      <c r="E611" t="s">
        <v>51</v>
      </c>
      <c r="F611">
        <v>59300</v>
      </c>
      <c r="G611">
        <v>70695</v>
      </c>
      <c r="H611">
        <v>4630</v>
      </c>
      <c r="I611">
        <v>304</v>
      </c>
      <c r="J611">
        <v>639</v>
      </c>
      <c r="K611">
        <v>586</v>
      </c>
      <c r="L611">
        <v>0</v>
      </c>
      <c r="M611">
        <v>792</v>
      </c>
      <c r="N611" s="1">
        <v>0.64583333333333337</v>
      </c>
      <c r="O611" t="s">
        <v>38</v>
      </c>
    </row>
    <row r="612" spans="1:15" x14ac:dyDescent="0.3">
      <c r="A612" t="s">
        <v>653</v>
      </c>
      <c r="B612">
        <v>20260824</v>
      </c>
      <c r="C612" t="s">
        <v>16</v>
      </c>
      <c r="D612" t="s">
        <v>61</v>
      </c>
      <c r="E612" t="s">
        <v>46</v>
      </c>
      <c r="F612">
        <v>69102</v>
      </c>
      <c r="G612">
        <v>80085</v>
      </c>
      <c r="H612">
        <v>3114</v>
      </c>
      <c r="I612">
        <v>81</v>
      </c>
      <c r="J612">
        <v>226</v>
      </c>
      <c r="K612">
        <v>277</v>
      </c>
      <c r="L612">
        <v>30168</v>
      </c>
      <c r="M612">
        <v>605</v>
      </c>
      <c r="N612" s="1">
        <v>0.875</v>
      </c>
      <c r="O612" t="s">
        <v>19</v>
      </c>
    </row>
    <row r="613" spans="1:15" x14ac:dyDescent="0.3">
      <c r="A613" t="s">
        <v>654</v>
      </c>
      <c r="B613">
        <v>20250307</v>
      </c>
      <c r="C613" t="s">
        <v>25</v>
      </c>
      <c r="D613" t="s">
        <v>36</v>
      </c>
      <c r="E613" t="s">
        <v>18</v>
      </c>
      <c r="F613">
        <v>17557</v>
      </c>
      <c r="G613">
        <v>27718</v>
      </c>
      <c r="H613">
        <v>1984</v>
      </c>
      <c r="I613">
        <v>156</v>
      </c>
      <c r="J613">
        <v>165</v>
      </c>
      <c r="K613">
        <v>56</v>
      </c>
      <c r="L613">
        <v>0</v>
      </c>
      <c r="M613">
        <v>298</v>
      </c>
      <c r="N613" s="1">
        <v>0.44791666666666669</v>
      </c>
      <c r="O613" t="s">
        <v>23</v>
      </c>
    </row>
    <row r="614" spans="1:15" x14ac:dyDescent="0.3">
      <c r="A614" t="s">
        <v>655</v>
      </c>
      <c r="B614">
        <v>20250119</v>
      </c>
      <c r="C614" t="s">
        <v>44</v>
      </c>
      <c r="D614" t="s">
        <v>21</v>
      </c>
      <c r="E614" t="s">
        <v>46</v>
      </c>
      <c r="F614">
        <v>53506</v>
      </c>
      <c r="G614">
        <v>79529</v>
      </c>
      <c r="H614">
        <v>2854</v>
      </c>
      <c r="I614">
        <v>73</v>
      </c>
      <c r="J614">
        <v>190</v>
      </c>
      <c r="K614">
        <v>369</v>
      </c>
      <c r="L614">
        <v>24461</v>
      </c>
      <c r="M614">
        <v>920</v>
      </c>
      <c r="N614" s="1">
        <v>0.77083333333333337</v>
      </c>
      <c r="O614" t="s">
        <v>23</v>
      </c>
    </row>
    <row r="615" spans="1:15" x14ac:dyDescent="0.3">
      <c r="A615" t="s">
        <v>656</v>
      </c>
      <c r="B615">
        <v>20250526</v>
      </c>
      <c r="C615" t="s">
        <v>16</v>
      </c>
      <c r="D615" t="s">
        <v>17</v>
      </c>
      <c r="E615" t="s">
        <v>22</v>
      </c>
      <c r="F615">
        <v>15091</v>
      </c>
      <c r="G615">
        <v>22825</v>
      </c>
      <c r="H615">
        <v>611</v>
      </c>
      <c r="I615">
        <v>50</v>
      </c>
      <c r="J615">
        <v>99</v>
      </c>
      <c r="K615">
        <v>93</v>
      </c>
      <c r="L615">
        <v>0</v>
      </c>
      <c r="M615">
        <v>170</v>
      </c>
      <c r="N615" s="1">
        <v>0.5</v>
      </c>
      <c r="O615" t="s">
        <v>27</v>
      </c>
    </row>
    <row r="616" spans="1:15" x14ac:dyDescent="0.3">
      <c r="A616" t="s">
        <v>657</v>
      </c>
      <c r="B616">
        <v>20250511</v>
      </c>
      <c r="C616" t="s">
        <v>40</v>
      </c>
      <c r="D616" t="s">
        <v>21</v>
      </c>
      <c r="E616" t="s">
        <v>46</v>
      </c>
      <c r="F616">
        <v>15335</v>
      </c>
      <c r="G616">
        <v>24905</v>
      </c>
      <c r="H616">
        <v>1682</v>
      </c>
      <c r="I616">
        <v>190</v>
      </c>
      <c r="J616">
        <v>268</v>
      </c>
      <c r="K616">
        <v>247</v>
      </c>
      <c r="L616">
        <v>6690</v>
      </c>
      <c r="M616">
        <v>102</v>
      </c>
      <c r="N616" s="1">
        <v>0.59375</v>
      </c>
      <c r="O616" t="s">
        <v>42</v>
      </c>
    </row>
    <row r="617" spans="1:15" x14ac:dyDescent="0.3">
      <c r="A617" t="s">
        <v>658</v>
      </c>
      <c r="B617">
        <v>20250215</v>
      </c>
      <c r="C617" t="s">
        <v>40</v>
      </c>
      <c r="D617" t="s">
        <v>33</v>
      </c>
      <c r="E617" t="s">
        <v>18</v>
      </c>
      <c r="F617">
        <v>9601</v>
      </c>
      <c r="G617">
        <v>12637</v>
      </c>
      <c r="H617">
        <v>485</v>
      </c>
      <c r="I617">
        <v>17</v>
      </c>
      <c r="J617">
        <v>64</v>
      </c>
      <c r="K617">
        <v>40</v>
      </c>
      <c r="L617">
        <v>0</v>
      </c>
      <c r="M617">
        <v>99</v>
      </c>
      <c r="N617" s="1">
        <v>0.625</v>
      </c>
      <c r="O617" t="s">
        <v>27</v>
      </c>
    </row>
    <row r="618" spans="1:15" x14ac:dyDescent="0.3">
      <c r="A618" t="s">
        <v>659</v>
      </c>
      <c r="B618">
        <v>20260405</v>
      </c>
      <c r="C618" t="s">
        <v>16</v>
      </c>
      <c r="D618" t="s">
        <v>61</v>
      </c>
      <c r="E618" t="s">
        <v>51</v>
      </c>
      <c r="F618">
        <v>43169</v>
      </c>
      <c r="G618">
        <v>55395</v>
      </c>
      <c r="H618">
        <v>1421</v>
      </c>
      <c r="I618">
        <v>77</v>
      </c>
      <c r="J618">
        <v>262</v>
      </c>
      <c r="K618">
        <v>156</v>
      </c>
      <c r="L618">
        <v>0</v>
      </c>
      <c r="M618">
        <v>193</v>
      </c>
      <c r="N618" s="1">
        <v>0.52083333333333337</v>
      </c>
      <c r="O618" t="s">
        <v>27</v>
      </c>
    </row>
    <row r="619" spans="1:15" x14ac:dyDescent="0.3">
      <c r="A619" t="s">
        <v>660</v>
      </c>
      <c r="B619">
        <v>20260718</v>
      </c>
      <c r="C619" t="s">
        <v>25</v>
      </c>
      <c r="D619" t="s">
        <v>61</v>
      </c>
      <c r="E619" t="s">
        <v>26</v>
      </c>
      <c r="F619">
        <v>12290</v>
      </c>
      <c r="G619">
        <v>13888</v>
      </c>
      <c r="H619">
        <v>571</v>
      </c>
      <c r="I619">
        <v>78</v>
      </c>
      <c r="J619">
        <v>103</v>
      </c>
      <c r="K619">
        <v>13</v>
      </c>
      <c r="L619">
        <v>7706</v>
      </c>
      <c r="M619">
        <v>64</v>
      </c>
      <c r="N619" s="1">
        <v>0.29166666666666669</v>
      </c>
      <c r="O619" t="s">
        <v>53</v>
      </c>
    </row>
    <row r="620" spans="1:15" x14ac:dyDescent="0.3">
      <c r="A620" t="s">
        <v>661</v>
      </c>
      <c r="B620">
        <v>20250715</v>
      </c>
      <c r="C620" t="s">
        <v>44</v>
      </c>
      <c r="D620" t="s">
        <v>68</v>
      </c>
      <c r="E620" t="s">
        <v>22</v>
      </c>
      <c r="F620">
        <v>13402</v>
      </c>
      <c r="G620">
        <v>17492</v>
      </c>
      <c r="H620">
        <v>1096</v>
      </c>
      <c r="I620">
        <v>83</v>
      </c>
      <c r="J620">
        <v>203</v>
      </c>
      <c r="K620">
        <v>76</v>
      </c>
      <c r="L620">
        <v>0</v>
      </c>
      <c r="M620">
        <v>71</v>
      </c>
      <c r="N620" s="1">
        <v>0.90625</v>
      </c>
      <c r="O620" t="s">
        <v>49</v>
      </c>
    </row>
    <row r="621" spans="1:15" x14ac:dyDescent="0.3">
      <c r="A621" t="s">
        <v>662</v>
      </c>
      <c r="B621">
        <v>20260317</v>
      </c>
      <c r="C621" t="s">
        <v>16</v>
      </c>
      <c r="D621" t="s">
        <v>29</v>
      </c>
      <c r="E621" t="s">
        <v>18</v>
      </c>
      <c r="F621">
        <v>13037</v>
      </c>
      <c r="G621">
        <v>20750</v>
      </c>
      <c r="H621">
        <v>566</v>
      </c>
      <c r="I621">
        <v>47</v>
      </c>
      <c r="J621">
        <v>57</v>
      </c>
      <c r="K621">
        <v>60</v>
      </c>
      <c r="L621">
        <v>0</v>
      </c>
      <c r="M621">
        <v>222</v>
      </c>
      <c r="N621" s="1">
        <v>0.80208333333333337</v>
      </c>
      <c r="O621" t="s">
        <v>53</v>
      </c>
    </row>
    <row r="622" spans="1:15" x14ac:dyDescent="0.3">
      <c r="A622" t="s">
        <v>663</v>
      </c>
      <c r="B622">
        <v>20260616</v>
      </c>
      <c r="C622" t="s">
        <v>44</v>
      </c>
      <c r="D622" t="s">
        <v>61</v>
      </c>
      <c r="E622" t="s">
        <v>26</v>
      </c>
      <c r="F622">
        <v>26063</v>
      </c>
      <c r="G622">
        <v>30038</v>
      </c>
      <c r="H622">
        <v>2977</v>
      </c>
      <c r="I622">
        <v>198</v>
      </c>
      <c r="J622">
        <v>332</v>
      </c>
      <c r="K622">
        <v>304</v>
      </c>
      <c r="L622">
        <v>18837</v>
      </c>
      <c r="M622">
        <v>357</v>
      </c>
      <c r="N622" s="1">
        <v>0.9375</v>
      </c>
      <c r="O622" t="s">
        <v>34</v>
      </c>
    </row>
    <row r="623" spans="1:15" x14ac:dyDescent="0.3">
      <c r="A623" t="s">
        <v>664</v>
      </c>
      <c r="B623">
        <v>20250920</v>
      </c>
      <c r="C623" t="s">
        <v>32</v>
      </c>
      <c r="D623" t="s">
        <v>17</v>
      </c>
      <c r="E623" t="s">
        <v>26</v>
      </c>
      <c r="F623">
        <v>17065</v>
      </c>
      <c r="G623">
        <v>19483</v>
      </c>
      <c r="H623">
        <v>1199</v>
      </c>
      <c r="I623">
        <v>52</v>
      </c>
      <c r="J623">
        <v>144</v>
      </c>
      <c r="K623">
        <v>76</v>
      </c>
      <c r="L623">
        <v>13127</v>
      </c>
      <c r="M623">
        <v>153</v>
      </c>
      <c r="N623" s="1">
        <v>0.52083333333333337</v>
      </c>
      <c r="O623" t="s">
        <v>53</v>
      </c>
    </row>
    <row r="624" spans="1:15" x14ac:dyDescent="0.3">
      <c r="A624" t="s">
        <v>665</v>
      </c>
      <c r="B624">
        <v>20260810</v>
      </c>
      <c r="C624" t="s">
        <v>25</v>
      </c>
      <c r="E624" t="s">
        <v>41</v>
      </c>
      <c r="F624">
        <v>8197</v>
      </c>
      <c r="G624">
        <v>9347</v>
      </c>
      <c r="H624">
        <v>558</v>
      </c>
      <c r="I624">
        <v>55</v>
      </c>
      <c r="J624">
        <v>17</v>
      </c>
      <c r="K624">
        <v>15</v>
      </c>
      <c r="L624">
        <v>6896</v>
      </c>
      <c r="M624">
        <v>8</v>
      </c>
      <c r="N624" s="1">
        <v>0.82291666666666663</v>
      </c>
      <c r="O624" t="s">
        <v>23</v>
      </c>
    </row>
    <row r="625" spans="1:15" x14ac:dyDescent="0.3">
      <c r="A625" t="s">
        <v>666</v>
      </c>
      <c r="B625">
        <v>20250419</v>
      </c>
      <c r="C625" t="s">
        <v>44</v>
      </c>
      <c r="D625" t="s">
        <v>17</v>
      </c>
      <c r="E625" t="s">
        <v>41</v>
      </c>
      <c r="F625">
        <v>56900</v>
      </c>
      <c r="G625">
        <v>83780</v>
      </c>
      <c r="H625">
        <v>4381</v>
      </c>
      <c r="I625">
        <v>135</v>
      </c>
      <c r="J625">
        <v>750</v>
      </c>
      <c r="K625">
        <v>152</v>
      </c>
      <c r="L625">
        <v>47320</v>
      </c>
      <c r="M625">
        <v>341</v>
      </c>
      <c r="N625" s="1">
        <v>0.82291666666666663</v>
      </c>
      <c r="O625" t="s">
        <v>53</v>
      </c>
    </row>
    <row r="626" spans="1:15" x14ac:dyDescent="0.3">
      <c r="A626" t="s">
        <v>667</v>
      </c>
      <c r="B626">
        <v>20250921</v>
      </c>
      <c r="C626" t="s">
        <v>44</v>
      </c>
      <c r="D626" t="s">
        <v>33</v>
      </c>
      <c r="E626" t="s">
        <v>51</v>
      </c>
      <c r="F626">
        <v>94460</v>
      </c>
      <c r="G626">
        <v>108267</v>
      </c>
      <c r="H626">
        <v>3606</v>
      </c>
      <c r="I626">
        <v>188</v>
      </c>
      <c r="J626">
        <v>195</v>
      </c>
      <c r="K626">
        <v>526</v>
      </c>
      <c r="L626">
        <v>0</v>
      </c>
      <c r="M626">
        <v>1400</v>
      </c>
      <c r="N626" s="1">
        <v>0.90625</v>
      </c>
      <c r="O626" t="s">
        <v>23</v>
      </c>
    </row>
    <row r="627" spans="1:15" x14ac:dyDescent="0.3">
      <c r="A627" t="s">
        <v>668</v>
      </c>
      <c r="B627">
        <v>20250825</v>
      </c>
      <c r="C627" t="s">
        <v>16</v>
      </c>
      <c r="D627" t="s">
        <v>68</v>
      </c>
      <c r="E627" t="s">
        <v>46</v>
      </c>
      <c r="F627">
        <v>9458</v>
      </c>
      <c r="G627">
        <v>12290</v>
      </c>
      <c r="H627">
        <v>502</v>
      </c>
      <c r="I627">
        <v>31</v>
      </c>
      <c r="J627">
        <v>49</v>
      </c>
      <c r="K627">
        <v>65</v>
      </c>
      <c r="L627">
        <v>5571</v>
      </c>
      <c r="M627">
        <v>131</v>
      </c>
      <c r="N627" s="1">
        <v>0.67708333333333337</v>
      </c>
      <c r="O627" t="s">
        <v>30</v>
      </c>
    </row>
    <row r="628" spans="1:15" x14ac:dyDescent="0.3">
      <c r="A628" t="s">
        <v>669</v>
      </c>
      <c r="B628">
        <v>20260130</v>
      </c>
      <c r="C628" t="s">
        <v>25</v>
      </c>
      <c r="D628" t="s">
        <v>68</v>
      </c>
      <c r="E628" t="s">
        <v>26</v>
      </c>
      <c r="F628">
        <v>25894</v>
      </c>
      <c r="G628">
        <v>34308</v>
      </c>
      <c r="H628">
        <v>2835</v>
      </c>
      <c r="I628">
        <v>389</v>
      </c>
      <c r="J628">
        <v>476</v>
      </c>
      <c r="K628">
        <v>229</v>
      </c>
      <c r="L628">
        <v>23006</v>
      </c>
      <c r="M628">
        <v>98</v>
      </c>
      <c r="N628" s="1">
        <v>0.63541666666666663</v>
      </c>
      <c r="O628" t="s">
        <v>19</v>
      </c>
    </row>
    <row r="629" spans="1:15" x14ac:dyDescent="0.3">
      <c r="A629" t="s">
        <v>670</v>
      </c>
      <c r="B629">
        <v>20251106</v>
      </c>
      <c r="C629" t="s">
        <v>32</v>
      </c>
      <c r="D629" t="s">
        <v>68</v>
      </c>
      <c r="E629" t="s">
        <v>41</v>
      </c>
      <c r="F629">
        <v>25190</v>
      </c>
      <c r="G629">
        <v>38950</v>
      </c>
      <c r="H629">
        <v>2604</v>
      </c>
      <c r="I629">
        <v>265</v>
      </c>
      <c r="J629">
        <v>278</v>
      </c>
      <c r="K629">
        <v>220</v>
      </c>
      <c r="L629">
        <v>13283</v>
      </c>
      <c r="M629">
        <v>334</v>
      </c>
      <c r="N629" s="1">
        <v>0.63541666666666663</v>
      </c>
      <c r="O629" t="s">
        <v>27</v>
      </c>
    </row>
    <row r="630" spans="1:15" x14ac:dyDescent="0.3">
      <c r="A630" t="s">
        <v>671</v>
      </c>
      <c r="B630">
        <v>20260625</v>
      </c>
      <c r="C630" t="s">
        <v>16</v>
      </c>
      <c r="D630" t="s">
        <v>36</v>
      </c>
      <c r="E630" t="s">
        <v>18</v>
      </c>
      <c r="F630">
        <v>16632</v>
      </c>
      <c r="G630">
        <v>18111</v>
      </c>
      <c r="H630">
        <v>1502</v>
      </c>
      <c r="I630">
        <v>114</v>
      </c>
      <c r="J630">
        <v>261</v>
      </c>
      <c r="K630">
        <v>35</v>
      </c>
      <c r="L630">
        <v>0</v>
      </c>
      <c r="M630">
        <v>142</v>
      </c>
      <c r="N630" s="1">
        <v>0.32291666666666669</v>
      </c>
      <c r="O630" t="s">
        <v>47</v>
      </c>
    </row>
    <row r="631" spans="1:15" x14ac:dyDescent="0.3">
      <c r="A631" t="s">
        <v>672</v>
      </c>
      <c r="B631">
        <v>20251009</v>
      </c>
      <c r="C631" t="s">
        <v>44</v>
      </c>
      <c r="D631" t="s">
        <v>17</v>
      </c>
      <c r="E631" t="s">
        <v>18</v>
      </c>
      <c r="F631">
        <v>25117</v>
      </c>
      <c r="G631">
        <v>28074</v>
      </c>
      <c r="H631">
        <v>896</v>
      </c>
      <c r="I631">
        <v>95</v>
      </c>
      <c r="J631">
        <v>169</v>
      </c>
      <c r="K631">
        <v>105</v>
      </c>
      <c r="L631">
        <v>0</v>
      </c>
      <c r="M631">
        <v>430</v>
      </c>
      <c r="N631" s="1">
        <v>0.375</v>
      </c>
      <c r="O631" t="s">
        <v>27</v>
      </c>
    </row>
    <row r="632" spans="1:15" x14ac:dyDescent="0.3">
      <c r="A632" t="s">
        <v>673</v>
      </c>
      <c r="B632">
        <v>20260521</v>
      </c>
      <c r="C632" t="s">
        <v>25</v>
      </c>
      <c r="D632" t="s">
        <v>33</v>
      </c>
      <c r="E632" t="s">
        <v>41</v>
      </c>
      <c r="F632">
        <v>35352</v>
      </c>
      <c r="G632">
        <v>54593</v>
      </c>
      <c r="H632">
        <v>2202</v>
      </c>
      <c r="I632">
        <v>115</v>
      </c>
      <c r="J632">
        <v>202</v>
      </c>
      <c r="K632">
        <v>95</v>
      </c>
      <c r="L632">
        <v>27736</v>
      </c>
      <c r="M632">
        <v>623</v>
      </c>
      <c r="N632" s="1">
        <v>0.32291666666666669</v>
      </c>
      <c r="O632" t="s">
        <v>27</v>
      </c>
    </row>
    <row r="633" spans="1:15" x14ac:dyDescent="0.3">
      <c r="A633" t="s">
        <v>674</v>
      </c>
      <c r="B633">
        <v>20250419</v>
      </c>
      <c r="C633" t="s">
        <v>16</v>
      </c>
      <c r="D633" t="s">
        <v>36</v>
      </c>
      <c r="E633" t="s">
        <v>18</v>
      </c>
      <c r="F633">
        <v>14706</v>
      </c>
      <c r="G633">
        <v>23144</v>
      </c>
      <c r="H633">
        <v>725</v>
      </c>
      <c r="I633">
        <v>22</v>
      </c>
      <c r="J633">
        <v>121</v>
      </c>
      <c r="K633">
        <v>107</v>
      </c>
      <c r="L633">
        <v>0</v>
      </c>
      <c r="M633">
        <v>78</v>
      </c>
      <c r="N633" s="1">
        <v>0.75</v>
      </c>
      <c r="O633" t="s">
        <v>38</v>
      </c>
    </row>
    <row r="634" spans="1:15" x14ac:dyDescent="0.3">
      <c r="A634" t="s">
        <v>675</v>
      </c>
      <c r="B634">
        <v>20260125</v>
      </c>
      <c r="C634" t="s">
        <v>25</v>
      </c>
      <c r="D634" t="s">
        <v>61</v>
      </c>
      <c r="E634" t="s">
        <v>41</v>
      </c>
      <c r="F634">
        <v>16960</v>
      </c>
      <c r="G634">
        <v>22137</v>
      </c>
      <c r="H634">
        <v>459</v>
      </c>
      <c r="I634">
        <v>15</v>
      </c>
      <c r="J634">
        <v>56</v>
      </c>
      <c r="K634">
        <v>52</v>
      </c>
      <c r="L634">
        <v>11267</v>
      </c>
      <c r="M634">
        <v>219</v>
      </c>
      <c r="N634" s="1">
        <v>0.58333333333333337</v>
      </c>
      <c r="O634" t="s">
        <v>42</v>
      </c>
    </row>
    <row r="635" spans="1:15" x14ac:dyDescent="0.3">
      <c r="A635" t="s">
        <v>676</v>
      </c>
      <c r="B635">
        <v>20260130</v>
      </c>
      <c r="C635" t="s">
        <v>16</v>
      </c>
      <c r="D635" t="s">
        <v>68</v>
      </c>
      <c r="E635" t="s">
        <v>46</v>
      </c>
      <c r="F635">
        <v>60945</v>
      </c>
      <c r="G635">
        <v>70824</v>
      </c>
      <c r="H635">
        <v>1955</v>
      </c>
      <c r="I635">
        <v>201</v>
      </c>
      <c r="J635">
        <v>366</v>
      </c>
      <c r="K635">
        <v>290</v>
      </c>
      <c r="L635">
        <v>49549</v>
      </c>
      <c r="M635">
        <v>1040</v>
      </c>
      <c r="N635" s="1">
        <v>0.32291666666666669</v>
      </c>
      <c r="O635" t="s">
        <v>23</v>
      </c>
    </row>
    <row r="636" spans="1:15" x14ac:dyDescent="0.3">
      <c r="A636" t="s">
        <v>677</v>
      </c>
      <c r="B636">
        <v>20260620</v>
      </c>
      <c r="C636" t="s">
        <v>16</v>
      </c>
      <c r="D636" t="s">
        <v>21</v>
      </c>
      <c r="E636" t="s">
        <v>46</v>
      </c>
      <c r="F636">
        <v>50524</v>
      </c>
      <c r="G636">
        <v>82109</v>
      </c>
      <c r="H636">
        <v>2184</v>
      </c>
      <c r="I636">
        <v>118</v>
      </c>
      <c r="J636">
        <v>252</v>
      </c>
      <c r="K636">
        <v>130</v>
      </c>
      <c r="L636">
        <v>33527</v>
      </c>
      <c r="M636">
        <v>657</v>
      </c>
      <c r="N636" s="1">
        <v>0.35416666666666669</v>
      </c>
      <c r="O636" t="s">
        <v>42</v>
      </c>
    </row>
    <row r="637" spans="1:15" x14ac:dyDescent="0.3">
      <c r="A637" t="s">
        <v>678</v>
      </c>
      <c r="B637">
        <v>20250808</v>
      </c>
      <c r="C637" t="s">
        <v>25</v>
      </c>
      <c r="D637" t="s">
        <v>33</v>
      </c>
      <c r="E637" t="s">
        <v>51</v>
      </c>
      <c r="F637">
        <v>18899</v>
      </c>
      <c r="G637">
        <v>21112</v>
      </c>
      <c r="H637">
        <v>484</v>
      </c>
      <c r="I637">
        <v>28</v>
      </c>
      <c r="J637">
        <v>71</v>
      </c>
      <c r="K637">
        <v>61</v>
      </c>
      <c r="L637">
        <v>0</v>
      </c>
      <c r="M637">
        <v>261</v>
      </c>
      <c r="N637" s="1">
        <v>0.84375</v>
      </c>
      <c r="O637" t="s">
        <v>23</v>
      </c>
    </row>
    <row r="638" spans="1:15" x14ac:dyDescent="0.3">
      <c r="A638" t="s">
        <v>679</v>
      </c>
      <c r="B638">
        <v>20260328</v>
      </c>
      <c r="C638" t="s">
        <v>16</v>
      </c>
      <c r="D638" t="s">
        <v>21</v>
      </c>
      <c r="E638" t="s">
        <v>26</v>
      </c>
      <c r="F638">
        <v>19956</v>
      </c>
      <c r="G638">
        <v>29472</v>
      </c>
      <c r="H638">
        <v>1159</v>
      </c>
      <c r="I638">
        <v>50</v>
      </c>
      <c r="K638">
        <v>29</v>
      </c>
      <c r="L638">
        <v>9828</v>
      </c>
      <c r="M638">
        <v>267</v>
      </c>
      <c r="N638" s="1">
        <v>0.70833333333333337</v>
      </c>
      <c r="O638" t="s">
        <v>27</v>
      </c>
    </row>
    <row r="639" spans="1:15" x14ac:dyDescent="0.3">
      <c r="A639" t="s">
        <v>680</v>
      </c>
      <c r="B639">
        <v>20250702</v>
      </c>
      <c r="C639" t="s">
        <v>32</v>
      </c>
      <c r="D639" t="s">
        <v>61</v>
      </c>
      <c r="E639" t="s">
        <v>26</v>
      </c>
      <c r="F639">
        <v>12414</v>
      </c>
      <c r="G639">
        <v>17129</v>
      </c>
      <c r="H639">
        <v>823</v>
      </c>
      <c r="I639">
        <v>107</v>
      </c>
      <c r="J639">
        <v>40</v>
      </c>
      <c r="K639">
        <v>35</v>
      </c>
      <c r="L639">
        <v>7144</v>
      </c>
      <c r="M639">
        <v>24</v>
      </c>
      <c r="N639" s="1">
        <v>0.67708333333333337</v>
      </c>
      <c r="O639" t="s">
        <v>49</v>
      </c>
    </row>
    <row r="640" spans="1:15" x14ac:dyDescent="0.3">
      <c r="A640" t="s">
        <v>681</v>
      </c>
      <c r="B640">
        <v>20260711</v>
      </c>
      <c r="C640" t="s">
        <v>32</v>
      </c>
      <c r="D640" t="s">
        <v>33</v>
      </c>
      <c r="E640" t="s">
        <v>41</v>
      </c>
      <c r="F640">
        <v>8381</v>
      </c>
      <c r="G640">
        <v>13231</v>
      </c>
      <c r="H640">
        <v>919</v>
      </c>
      <c r="I640">
        <v>107</v>
      </c>
      <c r="J640">
        <v>94</v>
      </c>
      <c r="K640">
        <v>59</v>
      </c>
      <c r="L640">
        <v>4573</v>
      </c>
      <c r="M640">
        <v>55</v>
      </c>
      <c r="N640" s="1">
        <v>0.8125</v>
      </c>
      <c r="O640" t="s">
        <v>27</v>
      </c>
    </row>
    <row r="641" spans="1:15" x14ac:dyDescent="0.3">
      <c r="A641" t="s">
        <v>682</v>
      </c>
      <c r="B641">
        <v>20260106</v>
      </c>
      <c r="C641" t="s">
        <v>32</v>
      </c>
      <c r="D641" t="s">
        <v>21</v>
      </c>
      <c r="E641" t="s">
        <v>46</v>
      </c>
      <c r="F641">
        <v>27416</v>
      </c>
      <c r="G641">
        <v>31553</v>
      </c>
      <c r="H641">
        <v>1586</v>
      </c>
      <c r="I641">
        <v>203</v>
      </c>
      <c r="J641">
        <v>256</v>
      </c>
      <c r="K641">
        <v>80</v>
      </c>
      <c r="L641">
        <v>9992</v>
      </c>
      <c r="M641">
        <v>142</v>
      </c>
      <c r="N641" s="1">
        <v>0.88541666666666663</v>
      </c>
      <c r="O641" t="s">
        <v>38</v>
      </c>
    </row>
    <row r="642" spans="1:15" x14ac:dyDescent="0.3">
      <c r="A642" t="s">
        <v>683</v>
      </c>
      <c r="B642">
        <v>20250210</v>
      </c>
      <c r="C642" t="s">
        <v>40</v>
      </c>
      <c r="D642" t="s">
        <v>33</v>
      </c>
      <c r="E642" t="s">
        <v>51</v>
      </c>
      <c r="F642">
        <v>6257</v>
      </c>
      <c r="G642">
        <v>6944</v>
      </c>
      <c r="H642">
        <v>323</v>
      </c>
      <c r="I642">
        <v>20</v>
      </c>
      <c r="J642">
        <v>32</v>
      </c>
      <c r="K642">
        <v>15</v>
      </c>
      <c r="L642">
        <v>0</v>
      </c>
      <c r="M642">
        <v>14</v>
      </c>
      <c r="N642" s="1">
        <v>0.55208333333333337</v>
      </c>
      <c r="O642" t="s">
        <v>30</v>
      </c>
    </row>
    <row r="643" spans="1:15" x14ac:dyDescent="0.3">
      <c r="A643" t="s">
        <v>684</v>
      </c>
      <c r="B643">
        <v>20251215</v>
      </c>
      <c r="C643" t="s">
        <v>16</v>
      </c>
      <c r="D643" t="s">
        <v>21</v>
      </c>
      <c r="E643" t="s">
        <v>46</v>
      </c>
      <c r="F643">
        <v>16889</v>
      </c>
      <c r="G643">
        <v>21090</v>
      </c>
      <c r="H643">
        <v>714</v>
      </c>
      <c r="I643">
        <v>74</v>
      </c>
      <c r="J643">
        <v>114</v>
      </c>
      <c r="K643">
        <v>106</v>
      </c>
      <c r="L643">
        <v>13283</v>
      </c>
      <c r="M643">
        <v>256</v>
      </c>
      <c r="N643" s="1">
        <v>0.55208333333333337</v>
      </c>
      <c r="O643" t="s">
        <v>30</v>
      </c>
    </row>
    <row r="644" spans="1:15" x14ac:dyDescent="0.3">
      <c r="A644" t="s">
        <v>685</v>
      </c>
      <c r="B644">
        <v>20250412</v>
      </c>
      <c r="C644" t="s">
        <v>32</v>
      </c>
      <c r="D644" t="s">
        <v>33</v>
      </c>
      <c r="E644" t="s">
        <v>22</v>
      </c>
      <c r="F644">
        <v>4375</v>
      </c>
      <c r="G644">
        <v>6421</v>
      </c>
      <c r="H644">
        <v>282</v>
      </c>
      <c r="I644">
        <v>21</v>
      </c>
      <c r="J644">
        <v>53</v>
      </c>
      <c r="K644">
        <v>38</v>
      </c>
      <c r="L644">
        <v>0</v>
      </c>
      <c r="M644">
        <v>63</v>
      </c>
      <c r="N644" s="1">
        <v>0.60416666666666663</v>
      </c>
      <c r="O644" t="s">
        <v>30</v>
      </c>
    </row>
    <row r="645" spans="1:15" x14ac:dyDescent="0.3">
      <c r="A645" t="s">
        <v>686</v>
      </c>
      <c r="B645">
        <v>20250224</v>
      </c>
      <c r="C645" t="s">
        <v>16</v>
      </c>
      <c r="D645" t="s">
        <v>17</v>
      </c>
      <c r="E645" t="s">
        <v>26</v>
      </c>
      <c r="F645">
        <v>7165</v>
      </c>
      <c r="G645">
        <v>9220</v>
      </c>
      <c r="H645">
        <v>378</v>
      </c>
      <c r="I645">
        <v>16</v>
      </c>
      <c r="J645">
        <v>70</v>
      </c>
      <c r="K645">
        <v>40</v>
      </c>
      <c r="L645">
        <v>2765</v>
      </c>
      <c r="M645">
        <v>89</v>
      </c>
      <c r="N645" s="1">
        <v>0.34375</v>
      </c>
      <c r="O645" t="s">
        <v>49</v>
      </c>
    </row>
    <row r="646" spans="1:15" x14ac:dyDescent="0.3">
      <c r="A646" t="s">
        <v>687</v>
      </c>
      <c r="B646">
        <v>20251212</v>
      </c>
      <c r="C646" t="s">
        <v>25</v>
      </c>
      <c r="D646" t="s">
        <v>17</v>
      </c>
      <c r="E646" t="s">
        <v>22</v>
      </c>
      <c r="F646">
        <v>5767</v>
      </c>
      <c r="G646">
        <v>9377</v>
      </c>
      <c r="H646">
        <v>599</v>
      </c>
      <c r="I646">
        <v>39</v>
      </c>
      <c r="J646">
        <v>79</v>
      </c>
      <c r="K646">
        <v>37</v>
      </c>
      <c r="L646">
        <v>0</v>
      </c>
      <c r="M646">
        <v>63</v>
      </c>
      <c r="N646" s="1">
        <v>0.30208333333333331</v>
      </c>
      <c r="O646" t="s">
        <v>53</v>
      </c>
    </row>
    <row r="647" spans="1:15" x14ac:dyDescent="0.3">
      <c r="A647" t="s">
        <v>688</v>
      </c>
      <c r="B647">
        <v>20260108</v>
      </c>
      <c r="C647" t="s">
        <v>32</v>
      </c>
      <c r="D647" t="s">
        <v>33</v>
      </c>
      <c r="E647" t="s">
        <v>18</v>
      </c>
      <c r="F647">
        <v>5933</v>
      </c>
      <c r="G647">
        <v>9613</v>
      </c>
      <c r="H647">
        <v>678</v>
      </c>
      <c r="I647">
        <v>33</v>
      </c>
      <c r="J647">
        <v>68</v>
      </c>
      <c r="K647">
        <v>104</v>
      </c>
      <c r="L647">
        <v>0</v>
      </c>
      <c r="M647">
        <v>16</v>
      </c>
      <c r="N647" s="1">
        <v>0.40625</v>
      </c>
      <c r="O647" t="s">
        <v>49</v>
      </c>
    </row>
    <row r="648" spans="1:15" x14ac:dyDescent="0.3">
      <c r="A648" t="s">
        <v>689</v>
      </c>
      <c r="B648">
        <v>20250409</v>
      </c>
      <c r="C648" t="s">
        <v>16</v>
      </c>
      <c r="D648" t="s">
        <v>29</v>
      </c>
      <c r="E648" t="s">
        <v>41</v>
      </c>
      <c r="F648">
        <v>59871</v>
      </c>
      <c r="G648">
        <v>95610</v>
      </c>
      <c r="H648">
        <v>5431</v>
      </c>
      <c r="I648">
        <v>301</v>
      </c>
      <c r="J648">
        <v>239</v>
      </c>
      <c r="K648">
        <v>351</v>
      </c>
      <c r="L648">
        <v>39011</v>
      </c>
      <c r="M648">
        <v>749</v>
      </c>
      <c r="N648" s="1">
        <v>0.75</v>
      </c>
      <c r="O648" t="s">
        <v>38</v>
      </c>
    </row>
    <row r="649" spans="1:15" x14ac:dyDescent="0.3">
      <c r="A649" t="s">
        <v>690</v>
      </c>
      <c r="B649">
        <v>20260111</v>
      </c>
      <c r="C649" t="s">
        <v>25</v>
      </c>
      <c r="D649" t="s">
        <v>61</v>
      </c>
      <c r="E649" t="s">
        <v>46</v>
      </c>
      <c r="F649">
        <v>14428</v>
      </c>
      <c r="G649">
        <v>18736</v>
      </c>
      <c r="H649">
        <v>1044</v>
      </c>
      <c r="I649">
        <v>126</v>
      </c>
      <c r="J649">
        <v>129</v>
      </c>
      <c r="K649">
        <v>157</v>
      </c>
      <c r="L649">
        <v>8893</v>
      </c>
      <c r="M649">
        <v>107</v>
      </c>
      <c r="N649" s="1">
        <v>0.5625</v>
      </c>
      <c r="O649" t="s">
        <v>49</v>
      </c>
    </row>
    <row r="650" spans="1:15" x14ac:dyDescent="0.3">
      <c r="A650" t="s">
        <v>691</v>
      </c>
      <c r="B650">
        <v>20250928</v>
      </c>
      <c r="C650" t="s">
        <v>16</v>
      </c>
      <c r="D650" t="s">
        <v>36</v>
      </c>
      <c r="E650" t="s">
        <v>22</v>
      </c>
      <c r="F650">
        <v>10167</v>
      </c>
      <c r="G650">
        <v>12522</v>
      </c>
      <c r="H650">
        <v>961</v>
      </c>
      <c r="I650">
        <v>97</v>
      </c>
      <c r="J650">
        <v>138</v>
      </c>
      <c r="K650">
        <v>111</v>
      </c>
      <c r="L650">
        <v>0</v>
      </c>
      <c r="M650">
        <v>34</v>
      </c>
      <c r="N650" s="1">
        <v>0.82291666666666663</v>
      </c>
      <c r="O650" t="s">
        <v>49</v>
      </c>
    </row>
    <row r="651" spans="1:15" x14ac:dyDescent="0.3">
      <c r="A651" t="s">
        <v>692</v>
      </c>
      <c r="B651">
        <v>20251231</v>
      </c>
      <c r="C651" t="s">
        <v>44</v>
      </c>
      <c r="D651" t="s">
        <v>21</v>
      </c>
      <c r="E651" t="s">
        <v>46</v>
      </c>
      <c r="F651">
        <v>42740</v>
      </c>
      <c r="G651">
        <v>60754</v>
      </c>
      <c r="H651">
        <v>4070</v>
      </c>
      <c r="I651">
        <v>489</v>
      </c>
      <c r="J651">
        <v>799</v>
      </c>
      <c r="K651">
        <v>135</v>
      </c>
      <c r="L651">
        <v>19697</v>
      </c>
      <c r="M651">
        <v>530</v>
      </c>
      <c r="N651" s="1">
        <v>0.92708333333333337</v>
      </c>
      <c r="O651" t="s">
        <v>38</v>
      </c>
    </row>
    <row r="652" spans="1:15" x14ac:dyDescent="0.3">
      <c r="A652" t="s">
        <v>693</v>
      </c>
      <c r="B652">
        <v>20260601</v>
      </c>
      <c r="C652" t="s">
        <v>44</v>
      </c>
      <c r="D652" t="s">
        <v>36</v>
      </c>
      <c r="E652" t="s">
        <v>26</v>
      </c>
      <c r="F652">
        <v>10781</v>
      </c>
      <c r="G652">
        <v>14066</v>
      </c>
      <c r="H652">
        <v>854</v>
      </c>
      <c r="I652">
        <v>71</v>
      </c>
      <c r="J652">
        <v>86</v>
      </c>
      <c r="K652">
        <v>102</v>
      </c>
      <c r="L652">
        <v>4530</v>
      </c>
      <c r="M652">
        <v>187</v>
      </c>
      <c r="N652" s="1">
        <v>0.3125</v>
      </c>
      <c r="O652" t="s">
        <v>30</v>
      </c>
    </row>
    <row r="653" spans="1:15" x14ac:dyDescent="0.3">
      <c r="A653" t="s">
        <v>694</v>
      </c>
      <c r="B653">
        <v>20250805</v>
      </c>
      <c r="C653" t="s">
        <v>16</v>
      </c>
      <c r="D653" t="s">
        <v>61</v>
      </c>
      <c r="E653" t="s">
        <v>41</v>
      </c>
      <c r="F653">
        <v>39417</v>
      </c>
      <c r="G653">
        <v>47246</v>
      </c>
      <c r="H653">
        <v>2251</v>
      </c>
      <c r="I653">
        <v>242</v>
      </c>
      <c r="J653">
        <v>297</v>
      </c>
      <c r="K653">
        <v>114</v>
      </c>
      <c r="L653">
        <v>25037</v>
      </c>
      <c r="M653">
        <v>213</v>
      </c>
      <c r="N653" s="1">
        <v>0.3125</v>
      </c>
      <c r="O653" t="s">
        <v>27</v>
      </c>
    </row>
    <row r="654" spans="1:15" x14ac:dyDescent="0.3">
      <c r="A654" t="s">
        <v>695</v>
      </c>
      <c r="B654">
        <v>20250701</v>
      </c>
      <c r="C654" t="s">
        <v>40</v>
      </c>
      <c r="D654" t="s">
        <v>33</v>
      </c>
      <c r="E654" t="s">
        <v>41</v>
      </c>
      <c r="F654">
        <v>37901</v>
      </c>
      <c r="G654">
        <v>46510</v>
      </c>
      <c r="H654">
        <v>1549</v>
      </c>
      <c r="I654">
        <v>116</v>
      </c>
      <c r="J654">
        <v>187</v>
      </c>
      <c r="K654">
        <v>44</v>
      </c>
      <c r="L654">
        <v>21543</v>
      </c>
      <c r="M654">
        <v>512</v>
      </c>
      <c r="N654" s="1">
        <v>0.72916666666666663</v>
      </c>
      <c r="O654" t="s">
        <v>30</v>
      </c>
    </row>
    <row r="655" spans="1:15" x14ac:dyDescent="0.3">
      <c r="A655" t="s">
        <v>696</v>
      </c>
      <c r="B655">
        <v>20250210</v>
      </c>
      <c r="C655" t="s">
        <v>32</v>
      </c>
      <c r="D655" t="s">
        <v>68</v>
      </c>
      <c r="E655" t="s">
        <v>18</v>
      </c>
      <c r="F655">
        <v>11272</v>
      </c>
      <c r="G655">
        <v>18252</v>
      </c>
      <c r="H655">
        <v>642</v>
      </c>
      <c r="I655">
        <v>29</v>
      </c>
      <c r="J655">
        <v>127</v>
      </c>
      <c r="K655">
        <v>32</v>
      </c>
      <c r="L655">
        <v>0</v>
      </c>
      <c r="M655">
        <v>178</v>
      </c>
      <c r="N655" s="1">
        <v>0.875</v>
      </c>
      <c r="O655" t="s">
        <v>42</v>
      </c>
    </row>
    <row r="656" spans="1:15" x14ac:dyDescent="0.3">
      <c r="A656" t="s">
        <v>697</v>
      </c>
      <c r="B656">
        <v>20250707</v>
      </c>
      <c r="C656" t="s">
        <v>40</v>
      </c>
      <c r="D656" t="s">
        <v>33</v>
      </c>
      <c r="E656" t="s">
        <v>41</v>
      </c>
      <c r="F656">
        <v>59241</v>
      </c>
      <c r="G656">
        <v>65054</v>
      </c>
      <c r="H656">
        <v>6369</v>
      </c>
      <c r="I656">
        <v>638</v>
      </c>
      <c r="J656">
        <v>465</v>
      </c>
      <c r="K656">
        <v>140</v>
      </c>
      <c r="L656">
        <v>24488</v>
      </c>
      <c r="M656">
        <v>886</v>
      </c>
      <c r="N656" s="1">
        <v>0.90625</v>
      </c>
      <c r="O656" t="s">
        <v>27</v>
      </c>
    </row>
    <row r="657" spans="1:15" x14ac:dyDescent="0.3">
      <c r="A657" t="s">
        <v>698</v>
      </c>
      <c r="B657">
        <v>20251218</v>
      </c>
      <c r="C657" t="s">
        <v>16</v>
      </c>
      <c r="D657" t="s">
        <v>29</v>
      </c>
      <c r="E657" t="s">
        <v>18</v>
      </c>
      <c r="F657">
        <v>11955</v>
      </c>
      <c r="G657">
        <v>15727</v>
      </c>
      <c r="H657">
        <v>383</v>
      </c>
      <c r="I657">
        <v>34</v>
      </c>
      <c r="J657">
        <v>23</v>
      </c>
      <c r="K657">
        <v>54</v>
      </c>
      <c r="L657">
        <v>0</v>
      </c>
      <c r="M657">
        <v>141</v>
      </c>
      <c r="N657" s="1">
        <v>0.55208333333333337</v>
      </c>
      <c r="O657" t="s">
        <v>53</v>
      </c>
    </row>
    <row r="658" spans="1:15" x14ac:dyDescent="0.3">
      <c r="A658" t="s">
        <v>699</v>
      </c>
      <c r="B658">
        <v>20250911</v>
      </c>
      <c r="C658" t="s">
        <v>16</v>
      </c>
      <c r="D658" t="s">
        <v>21</v>
      </c>
      <c r="E658" t="s">
        <v>18</v>
      </c>
      <c r="F658">
        <v>58503</v>
      </c>
      <c r="G658">
        <v>94944</v>
      </c>
      <c r="H658">
        <v>6941</v>
      </c>
      <c r="I658">
        <v>496</v>
      </c>
      <c r="J658">
        <v>790</v>
      </c>
      <c r="K658">
        <v>332</v>
      </c>
      <c r="L658">
        <v>0</v>
      </c>
      <c r="M658">
        <v>289</v>
      </c>
      <c r="N658" s="1">
        <v>0.30208333333333331</v>
      </c>
      <c r="O658" t="s">
        <v>30</v>
      </c>
    </row>
    <row r="659" spans="1:15" x14ac:dyDescent="0.3">
      <c r="A659" t="s">
        <v>700</v>
      </c>
      <c r="B659">
        <v>20250208</v>
      </c>
      <c r="C659" t="s">
        <v>16</v>
      </c>
      <c r="D659" t="s">
        <v>21</v>
      </c>
      <c r="E659" t="s">
        <v>51</v>
      </c>
      <c r="F659">
        <v>20490</v>
      </c>
      <c r="G659">
        <v>32508</v>
      </c>
      <c r="H659">
        <v>579</v>
      </c>
      <c r="I659">
        <v>30</v>
      </c>
      <c r="J659">
        <v>55</v>
      </c>
      <c r="K659">
        <v>14</v>
      </c>
      <c r="L659">
        <v>0</v>
      </c>
      <c r="M659">
        <v>340</v>
      </c>
      <c r="N659" s="1">
        <v>0.52083333333333337</v>
      </c>
      <c r="O659" t="s">
        <v>34</v>
      </c>
    </row>
    <row r="660" spans="1:15" x14ac:dyDescent="0.3">
      <c r="A660" t="s">
        <v>701</v>
      </c>
      <c r="B660">
        <v>20250129</v>
      </c>
      <c r="C660" t="s">
        <v>16</v>
      </c>
      <c r="D660" t="s">
        <v>33</v>
      </c>
      <c r="E660" t="s">
        <v>51</v>
      </c>
      <c r="F660">
        <v>32042</v>
      </c>
      <c r="G660">
        <v>42474</v>
      </c>
      <c r="H660">
        <v>1822</v>
      </c>
      <c r="I660">
        <v>148</v>
      </c>
      <c r="J660">
        <v>74</v>
      </c>
      <c r="K660">
        <v>280</v>
      </c>
      <c r="L660">
        <v>0</v>
      </c>
      <c r="M660">
        <v>546</v>
      </c>
      <c r="N660" s="1">
        <v>0.35416666666666669</v>
      </c>
      <c r="O660" t="s">
        <v>38</v>
      </c>
    </row>
    <row r="661" spans="1:15" x14ac:dyDescent="0.3">
      <c r="A661" t="s">
        <v>702</v>
      </c>
      <c r="B661">
        <v>20250821</v>
      </c>
      <c r="C661" t="s">
        <v>32</v>
      </c>
      <c r="D661" t="s">
        <v>17</v>
      </c>
      <c r="E661" t="s">
        <v>18</v>
      </c>
      <c r="F661">
        <v>37417</v>
      </c>
      <c r="G661">
        <v>55444</v>
      </c>
      <c r="H661">
        <v>3561</v>
      </c>
      <c r="I661">
        <v>277</v>
      </c>
      <c r="J661">
        <v>362</v>
      </c>
      <c r="K661">
        <v>459</v>
      </c>
      <c r="L661">
        <v>0</v>
      </c>
      <c r="M661">
        <v>96</v>
      </c>
      <c r="N661" s="1">
        <v>0.48958333333333331</v>
      </c>
      <c r="O661" t="s">
        <v>49</v>
      </c>
    </row>
    <row r="662" spans="1:15" x14ac:dyDescent="0.3">
      <c r="A662" t="s">
        <v>703</v>
      </c>
      <c r="B662">
        <v>20250409</v>
      </c>
      <c r="C662" t="s">
        <v>32</v>
      </c>
      <c r="D662" t="s">
        <v>17</v>
      </c>
      <c r="E662" t="s">
        <v>41</v>
      </c>
      <c r="F662">
        <v>14827</v>
      </c>
      <c r="G662">
        <v>17229</v>
      </c>
      <c r="H662">
        <v>474</v>
      </c>
      <c r="I662">
        <v>15</v>
      </c>
      <c r="J662">
        <v>31</v>
      </c>
      <c r="K662">
        <v>59</v>
      </c>
      <c r="L662">
        <v>9761</v>
      </c>
      <c r="M662">
        <v>62</v>
      </c>
      <c r="N662" s="1">
        <v>0.67708333333333337</v>
      </c>
      <c r="O662" t="s">
        <v>38</v>
      </c>
    </row>
    <row r="663" spans="1:15" x14ac:dyDescent="0.3">
      <c r="A663" t="s">
        <v>704</v>
      </c>
      <c r="B663">
        <v>20260106</v>
      </c>
      <c r="C663" t="s">
        <v>40</v>
      </c>
      <c r="D663" t="s">
        <v>36</v>
      </c>
      <c r="E663" t="s">
        <v>18</v>
      </c>
      <c r="F663">
        <v>27024</v>
      </c>
      <c r="G663">
        <v>30571</v>
      </c>
      <c r="H663">
        <v>1391</v>
      </c>
      <c r="I663">
        <v>134</v>
      </c>
      <c r="J663">
        <v>266</v>
      </c>
      <c r="K663">
        <v>78</v>
      </c>
      <c r="L663">
        <v>0</v>
      </c>
      <c r="M663">
        <v>408</v>
      </c>
      <c r="N663" s="1">
        <v>0.39583333333333331</v>
      </c>
      <c r="O663" t="s">
        <v>34</v>
      </c>
    </row>
    <row r="664" spans="1:15" x14ac:dyDescent="0.3">
      <c r="A664" t="s">
        <v>705</v>
      </c>
      <c r="B664">
        <v>20250526</v>
      </c>
      <c r="C664" t="s">
        <v>44</v>
      </c>
      <c r="D664" t="s">
        <v>17</v>
      </c>
      <c r="E664" t="s">
        <v>22</v>
      </c>
      <c r="F664">
        <v>37978</v>
      </c>
      <c r="G664">
        <v>40234</v>
      </c>
      <c r="H664">
        <v>2498</v>
      </c>
      <c r="I664">
        <v>155</v>
      </c>
      <c r="J664">
        <v>450</v>
      </c>
      <c r="K664">
        <v>349</v>
      </c>
      <c r="L664">
        <v>0</v>
      </c>
      <c r="M664">
        <v>433</v>
      </c>
      <c r="N664" s="1">
        <v>0.47916666666666669</v>
      </c>
      <c r="O664" t="s">
        <v>27</v>
      </c>
    </row>
    <row r="665" spans="1:15" x14ac:dyDescent="0.3">
      <c r="A665" t="s">
        <v>706</v>
      </c>
      <c r="B665">
        <v>20260829</v>
      </c>
      <c r="C665" t="s">
        <v>16</v>
      </c>
      <c r="D665" t="s">
        <v>21</v>
      </c>
      <c r="E665" t="s">
        <v>46</v>
      </c>
      <c r="F665">
        <v>31854</v>
      </c>
      <c r="G665">
        <v>34828</v>
      </c>
      <c r="H665">
        <v>2679</v>
      </c>
      <c r="I665">
        <v>113</v>
      </c>
      <c r="J665">
        <v>339</v>
      </c>
      <c r="K665">
        <v>122</v>
      </c>
      <c r="L665">
        <v>25164</v>
      </c>
      <c r="M665">
        <v>304</v>
      </c>
      <c r="N665" s="1">
        <v>0.46875</v>
      </c>
      <c r="O665" t="s">
        <v>19</v>
      </c>
    </row>
    <row r="666" spans="1:15" x14ac:dyDescent="0.3">
      <c r="A666" t="s">
        <v>707</v>
      </c>
      <c r="B666">
        <v>20260718</v>
      </c>
      <c r="C666" t="s">
        <v>25</v>
      </c>
      <c r="D666" t="s">
        <v>33</v>
      </c>
      <c r="E666" t="s">
        <v>41</v>
      </c>
      <c r="F666">
        <v>43739</v>
      </c>
      <c r="G666">
        <v>66687</v>
      </c>
      <c r="H666">
        <v>4870</v>
      </c>
      <c r="I666">
        <v>280</v>
      </c>
      <c r="J666">
        <v>576</v>
      </c>
      <c r="K666">
        <v>550</v>
      </c>
      <c r="L666">
        <v>36170</v>
      </c>
      <c r="M666">
        <v>551</v>
      </c>
      <c r="N666" s="1">
        <v>0.34375</v>
      </c>
      <c r="O666" t="s">
        <v>27</v>
      </c>
    </row>
    <row r="667" spans="1:15" x14ac:dyDescent="0.3">
      <c r="A667" t="s">
        <v>708</v>
      </c>
      <c r="B667">
        <v>20251212</v>
      </c>
      <c r="C667" t="s">
        <v>25</v>
      </c>
      <c r="D667" t="s">
        <v>61</v>
      </c>
      <c r="E667" t="s">
        <v>22</v>
      </c>
      <c r="F667">
        <v>7681</v>
      </c>
      <c r="G667">
        <v>9264</v>
      </c>
      <c r="H667">
        <v>488</v>
      </c>
      <c r="I667">
        <v>59</v>
      </c>
      <c r="J667">
        <v>93</v>
      </c>
      <c r="K667">
        <v>56</v>
      </c>
      <c r="L667">
        <v>0</v>
      </c>
      <c r="M667">
        <v>51</v>
      </c>
      <c r="N667" s="1">
        <v>0.51041666666666663</v>
      </c>
      <c r="O667" t="s">
        <v>53</v>
      </c>
    </row>
    <row r="668" spans="1:15" x14ac:dyDescent="0.3">
      <c r="A668" t="s">
        <v>709</v>
      </c>
      <c r="B668">
        <v>20250617</v>
      </c>
      <c r="C668" t="s">
        <v>40</v>
      </c>
      <c r="D668" t="s">
        <v>21</v>
      </c>
      <c r="E668" t="s">
        <v>18</v>
      </c>
      <c r="F668">
        <v>21242</v>
      </c>
      <c r="G668">
        <v>26733</v>
      </c>
      <c r="H668">
        <v>2316</v>
      </c>
      <c r="I668">
        <v>263</v>
      </c>
      <c r="J668">
        <v>103</v>
      </c>
      <c r="K668">
        <v>195</v>
      </c>
      <c r="L668">
        <v>0</v>
      </c>
      <c r="M668">
        <v>44</v>
      </c>
      <c r="N668" s="1">
        <v>0.47916666666666669</v>
      </c>
      <c r="O668" t="s">
        <v>38</v>
      </c>
    </row>
    <row r="669" spans="1:15" x14ac:dyDescent="0.3">
      <c r="A669" t="s">
        <v>710</v>
      </c>
      <c r="B669">
        <v>20250408</v>
      </c>
      <c r="C669" t="s">
        <v>44</v>
      </c>
      <c r="D669" t="s">
        <v>21</v>
      </c>
      <c r="E669" t="s">
        <v>18</v>
      </c>
      <c r="F669">
        <v>11853</v>
      </c>
      <c r="G669">
        <v>13485</v>
      </c>
      <c r="H669">
        <v>719</v>
      </c>
      <c r="I669">
        <v>38</v>
      </c>
      <c r="J669">
        <v>108</v>
      </c>
      <c r="K669">
        <v>61</v>
      </c>
      <c r="L669">
        <v>0</v>
      </c>
      <c r="M669">
        <v>20</v>
      </c>
      <c r="N669" s="1">
        <v>0.67708333333333337</v>
      </c>
      <c r="O669" t="s">
        <v>38</v>
      </c>
    </row>
    <row r="670" spans="1:15" x14ac:dyDescent="0.3">
      <c r="A670" t="s">
        <v>711</v>
      </c>
      <c r="B670">
        <v>20260516</v>
      </c>
      <c r="C670" t="s">
        <v>32</v>
      </c>
      <c r="D670" t="s">
        <v>33</v>
      </c>
      <c r="E670" t="s">
        <v>51</v>
      </c>
      <c r="F670">
        <v>9626</v>
      </c>
      <c r="G670">
        <v>11909</v>
      </c>
      <c r="H670">
        <v>905</v>
      </c>
      <c r="I670">
        <v>57</v>
      </c>
      <c r="J670">
        <v>131</v>
      </c>
      <c r="K670">
        <v>69</v>
      </c>
      <c r="M670">
        <v>120</v>
      </c>
      <c r="N670" s="1">
        <v>0.36458333333333331</v>
      </c>
      <c r="O670" t="s">
        <v>34</v>
      </c>
    </row>
    <row r="671" spans="1:15" x14ac:dyDescent="0.3">
      <c r="A671" t="s">
        <v>712</v>
      </c>
      <c r="B671">
        <v>20260206</v>
      </c>
      <c r="C671" t="s">
        <v>25</v>
      </c>
      <c r="D671" t="s">
        <v>36</v>
      </c>
      <c r="E671" t="s">
        <v>46</v>
      </c>
      <c r="F671">
        <v>9554</v>
      </c>
      <c r="G671">
        <v>14670</v>
      </c>
      <c r="H671">
        <v>349</v>
      </c>
      <c r="I671">
        <v>46</v>
      </c>
      <c r="J671">
        <v>12</v>
      </c>
      <c r="K671">
        <v>25</v>
      </c>
      <c r="L671">
        <v>3851</v>
      </c>
      <c r="M671">
        <v>171</v>
      </c>
      <c r="N671" s="1">
        <v>0.41666666666666669</v>
      </c>
      <c r="O671" t="s">
        <v>30</v>
      </c>
    </row>
    <row r="672" spans="1:15" x14ac:dyDescent="0.3">
      <c r="A672" t="s">
        <v>713</v>
      </c>
      <c r="B672">
        <v>20250405</v>
      </c>
      <c r="C672" t="s">
        <v>32</v>
      </c>
      <c r="D672" t="s">
        <v>21</v>
      </c>
      <c r="E672" t="s">
        <v>41</v>
      </c>
      <c r="F672">
        <v>31655</v>
      </c>
      <c r="G672">
        <v>39324</v>
      </c>
      <c r="H672">
        <v>3157</v>
      </c>
      <c r="I672">
        <v>111</v>
      </c>
      <c r="J672">
        <v>263</v>
      </c>
      <c r="K672">
        <v>225</v>
      </c>
      <c r="L672">
        <v>19633</v>
      </c>
      <c r="M672">
        <v>395</v>
      </c>
      <c r="N672" s="1">
        <v>0.69791666666666663</v>
      </c>
      <c r="O672" t="s">
        <v>49</v>
      </c>
    </row>
    <row r="673" spans="1:15" x14ac:dyDescent="0.3">
      <c r="A673" t="s">
        <v>714</v>
      </c>
      <c r="B673">
        <v>20250402</v>
      </c>
      <c r="C673" t="s">
        <v>16</v>
      </c>
      <c r="D673" t="s">
        <v>17</v>
      </c>
      <c r="E673" t="s">
        <v>46</v>
      </c>
      <c r="F673">
        <v>54728</v>
      </c>
      <c r="G673">
        <v>64760</v>
      </c>
      <c r="H673">
        <v>4403</v>
      </c>
      <c r="I673">
        <v>175</v>
      </c>
      <c r="J673">
        <v>808</v>
      </c>
      <c r="K673">
        <v>623</v>
      </c>
      <c r="L673">
        <v>23517</v>
      </c>
      <c r="M673">
        <v>106</v>
      </c>
      <c r="N673" s="1">
        <v>0.54166666666666663</v>
      </c>
      <c r="O673" t="s">
        <v>49</v>
      </c>
    </row>
    <row r="674" spans="1:15" x14ac:dyDescent="0.3">
      <c r="A674" t="s">
        <v>715</v>
      </c>
      <c r="B674">
        <v>20260512</v>
      </c>
      <c r="C674" t="s">
        <v>25</v>
      </c>
      <c r="D674" t="s">
        <v>36</v>
      </c>
      <c r="E674" t="s">
        <v>18</v>
      </c>
      <c r="F674">
        <v>30805</v>
      </c>
      <c r="G674">
        <v>38836</v>
      </c>
      <c r="H674">
        <v>1804</v>
      </c>
      <c r="I674">
        <v>141</v>
      </c>
      <c r="J674">
        <v>144</v>
      </c>
      <c r="K674">
        <v>136</v>
      </c>
      <c r="L674">
        <v>0</v>
      </c>
      <c r="M674">
        <v>384</v>
      </c>
      <c r="N674" s="1">
        <v>0.85416666666666663</v>
      </c>
      <c r="O674" t="s">
        <v>34</v>
      </c>
    </row>
    <row r="675" spans="1:15" x14ac:dyDescent="0.3">
      <c r="A675" t="s">
        <v>716</v>
      </c>
      <c r="B675">
        <v>20260116</v>
      </c>
      <c r="C675" t="s">
        <v>44</v>
      </c>
      <c r="D675" t="s">
        <v>17</v>
      </c>
      <c r="E675" t="s">
        <v>41</v>
      </c>
      <c r="F675">
        <v>24311</v>
      </c>
      <c r="G675">
        <v>38304</v>
      </c>
      <c r="H675">
        <v>2116</v>
      </c>
      <c r="I675">
        <v>232</v>
      </c>
      <c r="J675">
        <v>123</v>
      </c>
      <c r="K675">
        <v>96</v>
      </c>
      <c r="L675">
        <v>14178</v>
      </c>
      <c r="M675">
        <v>336</v>
      </c>
      <c r="N675" s="1">
        <v>0.88541666666666663</v>
      </c>
      <c r="O675" t="s">
        <v>27</v>
      </c>
    </row>
    <row r="676" spans="1:15" x14ac:dyDescent="0.3">
      <c r="A676" t="s">
        <v>717</v>
      </c>
      <c r="B676">
        <v>20250220</v>
      </c>
      <c r="C676" t="s">
        <v>25</v>
      </c>
      <c r="D676" t="s">
        <v>21</v>
      </c>
      <c r="E676" t="s">
        <v>26</v>
      </c>
      <c r="F676">
        <v>9820</v>
      </c>
      <c r="G676">
        <v>14419</v>
      </c>
      <c r="H676">
        <v>770</v>
      </c>
      <c r="I676">
        <v>70</v>
      </c>
      <c r="J676">
        <v>112</v>
      </c>
      <c r="K676">
        <v>102</v>
      </c>
      <c r="L676">
        <v>7408</v>
      </c>
      <c r="M676">
        <v>92</v>
      </c>
      <c r="N676" s="1">
        <v>0.48958333333333331</v>
      </c>
      <c r="O676" t="s">
        <v>30</v>
      </c>
    </row>
    <row r="677" spans="1:15" x14ac:dyDescent="0.3">
      <c r="A677" t="s">
        <v>718</v>
      </c>
      <c r="B677">
        <v>20250125</v>
      </c>
      <c r="C677" t="s">
        <v>44</v>
      </c>
      <c r="D677" t="s">
        <v>29</v>
      </c>
      <c r="E677" t="s">
        <v>46</v>
      </c>
      <c r="F677">
        <v>37717</v>
      </c>
      <c r="G677">
        <v>49201</v>
      </c>
      <c r="H677">
        <v>3323</v>
      </c>
      <c r="I677">
        <v>455</v>
      </c>
      <c r="J677">
        <v>346</v>
      </c>
      <c r="K677">
        <v>348</v>
      </c>
      <c r="L677">
        <v>20242</v>
      </c>
      <c r="M677">
        <v>46</v>
      </c>
      <c r="N677" s="1">
        <v>0.86458333333333337</v>
      </c>
      <c r="O677" t="s">
        <v>27</v>
      </c>
    </row>
    <row r="678" spans="1:15" x14ac:dyDescent="0.3">
      <c r="A678" t="s">
        <v>719</v>
      </c>
      <c r="B678">
        <v>20260825</v>
      </c>
      <c r="C678" t="s">
        <v>44</v>
      </c>
      <c r="D678" t="s">
        <v>33</v>
      </c>
      <c r="E678" t="s">
        <v>22</v>
      </c>
      <c r="F678">
        <v>43598</v>
      </c>
      <c r="G678">
        <v>46736</v>
      </c>
      <c r="H678">
        <v>1827</v>
      </c>
      <c r="I678">
        <v>71</v>
      </c>
      <c r="J678">
        <v>212</v>
      </c>
      <c r="K678">
        <v>231</v>
      </c>
      <c r="L678">
        <v>0</v>
      </c>
      <c r="M678">
        <v>221</v>
      </c>
      <c r="N678" s="1">
        <v>0.57291666666666663</v>
      </c>
      <c r="O678" t="s">
        <v>53</v>
      </c>
    </row>
    <row r="679" spans="1:15" x14ac:dyDescent="0.3">
      <c r="A679" t="s">
        <v>720</v>
      </c>
      <c r="B679">
        <v>20250122</v>
      </c>
      <c r="C679" t="s">
        <v>25</v>
      </c>
      <c r="D679" t="s">
        <v>29</v>
      </c>
      <c r="E679" t="s">
        <v>51</v>
      </c>
      <c r="F679">
        <v>11095</v>
      </c>
      <c r="G679">
        <v>18160</v>
      </c>
      <c r="H679">
        <v>1115</v>
      </c>
      <c r="I679">
        <v>101</v>
      </c>
      <c r="J679">
        <v>52</v>
      </c>
      <c r="K679">
        <v>139</v>
      </c>
      <c r="L679">
        <v>0</v>
      </c>
      <c r="M679">
        <v>122</v>
      </c>
      <c r="N679" s="1">
        <v>0.73958333333333337</v>
      </c>
      <c r="O679" t="s">
        <v>19</v>
      </c>
    </row>
    <row r="680" spans="1:15" x14ac:dyDescent="0.3">
      <c r="A680" t="s">
        <v>721</v>
      </c>
      <c r="B680">
        <v>20250310</v>
      </c>
      <c r="C680" t="s">
        <v>16</v>
      </c>
      <c r="D680" t="s">
        <v>17</v>
      </c>
      <c r="E680" t="s">
        <v>22</v>
      </c>
      <c r="F680">
        <v>13834</v>
      </c>
      <c r="G680">
        <v>20359</v>
      </c>
      <c r="H680">
        <v>1514</v>
      </c>
      <c r="I680">
        <v>180</v>
      </c>
      <c r="J680">
        <v>302</v>
      </c>
      <c r="K680">
        <v>86</v>
      </c>
      <c r="L680">
        <v>0</v>
      </c>
      <c r="M680">
        <v>90</v>
      </c>
      <c r="N680" s="1">
        <v>0.39583333333333331</v>
      </c>
      <c r="O680" t="s">
        <v>23</v>
      </c>
    </row>
    <row r="681" spans="1:15" x14ac:dyDescent="0.3">
      <c r="A681" t="s">
        <v>722</v>
      </c>
      <c r="B681">
        <v>20251031</v>
      </c>
      <c r="C681" t="s">
        <v>40</v>
      </c>
      <c r="D681" t="s">
        <v>33</v>
      </c>
      <c r="E681" t="s">
        <v>26</v>
      </c>
      <c r="F681">
        <v>12832</v>
      </c>
      <c r="G681">
        <v>15478</v>
      </c>
      <c r="H681">
        <v>1422</v>
      </c>
      <c r="I681">
        <v>39</v>
      </c>
      <c r="J681">
        <v>156</v>
      </c>
      <c r="K681">
        <v>96</v>
      </c>
      <c r="L681">
        <v>6681</v>
      </c>
      <c r="M681">
        <v>70</v>
      </c>
      <c r="N681" s="1">
        <v>0.9375</v>
      </c>
      <c r="O681" t="s">
        <v>19</v>
      </c>
    </row>
    <row r="682" spans="1:15" x14ac:dyDescent="0.3">
      <c r="A682" t="s">
        <v>723</v>
      </c>
      <c r="B682">
        <v>20250918</v>
      </c>
      <c r="C682" t="s">
        <v>44</v>
      </c>
      <c r="D682" t="s">
        <v>33</v>
      </c>
      <c r="E682" t="s">
        <v>18</v>
      </c>
      <c r="F682">
        <v>53812</v>
      </c>
      <c r="G682">
        <v>79857</v>
      </c>
      <c r="H682">
        <v>6306</v>
      </c>
      <c r="I682">
        <v>210</v>
      </c>
      <c r="J682">
        <v>231</v>
      </c>
      <c r="K682">
        <v>307</v>
      </c>
      <c r="L682">
        <v>0</v>
      </c>
      <c r="M682">
        <v>78</v>
      </c>
      <c r="N682" s="1">
        <v>0.32291666666666669</v>
      </c>
      <c r="O682" t="s">
        <v>27</v>
      </c>
    </row>
    <row r="683" spans="1:15" x14ac:dyDescent="0.3">
      <c r="A683" t="s">
        <v>724</v>
      </c>
      <c r="B683">
        <v>20260904</v>
      </c>
      <c r="C683" t="s">
        <v>25</v>
      </c>
      <c r="D683" t="s">
        <v>21</v>
      </c>
      <c r="E683" t="s">
        <v>22</v>
      </c>
      <c r="F683">
        <v>5562</v>
      </c>
      <c r="G683">
        <v>8658</v>
      </c>
      <c r="H683">
        <v>293</v>
      </c>
      <c r="I683">
        <v>11</v>
      </c>
      <c r="J683">
        <v>43</v>
      </c>
      <c r="K683">
        <v>16</v>
      </c>
      <c r="L683">
        <v>0</v>
      </c>
      <c r="M683">
        <v>10</v>
      </c>
      <c r="N683" s="1">
        <v>0.46875</v>
      </c>
      <c r="O683" t="s">
        <v>38</v>
      </c>
    </row>
    <row r="684" spans="1:15" x14ac:dyDescent="0.3">
      <c r="A684" t="s">
        <v>725</v>
      </c>
      <c r="B684">
        <v>20260402</v>
      </c>
      <c r="C684" t="s">
        <v>16</v>
      </c>
      <c r="D684" t="s">
        <v>17</v>
      </c>
      <c r="E684" t="s">
        <v>41</v>
      </c>
      <c r="F684">
        <v>11261</v>
      </c>
      <c r="G684">
        <v>16199</v>
      </c>
      <c r="H684">
        <v>497</v>
      </c>
      <c r="I684">
        <v>16</v>
      </c>
      <c r="J684">
        <v>45</v>
      </c>
      <c r="K684">
        <v>37</v>
      </c>
      <c r="L684">
        <v>5566</v>
      </c>
      <c r="M684">
        <v>107</v>
      </c>
      <c r="N684" s="1">
        <v>0.33333333333333331</v>
      </c>
      <c r="O684" t="s">
        <v>19</v>
      </c>
    </row>
    <row r="685" spans="1:15" x14ac:dyDescent="0.3">
      <c r="A685" t="s">
        <v>726</v>
      </c>
      <c r="B685">
        <v>20260912</v>
      </c>
      <c r="C685" t="s">
        <v>25</v>
      </c>
      <c r="D685" t="s">
        <v>29</v>
      </c>
      <c r="E685" t="s">
        <v>46</v>
      </c>
      <c r="F685">
        <v>11083</v>
      </c>
      <c r="G685">
        <v>14153</v>
      </c>
      <c r="H685">
        <v>760</v>
      </c>
      <c r="I685">
        <v>89</v>
      </c>
      <c r="J685">
        <v>135</v>
      </c>
      <c r="K685">
        <v>81</v>
      </c>
      <c r="L685">
        <v>9904</v>
      </c>
      <c r="M685">
        <v>169</v>
      </c>
      <c r="N685" s="1">
        <v>0.5625</v>
      </c>
      <c r="O685" t="s">
        <v>27</v>
      </c>
    </row>
    <row r="686" spans="1:15" x14ac:dyDescent="0.3">
      <c r="A686" t="s">
        <v>727</v>
      </c>
      <c r="B686">
        <v>20250412</v>
      </c>
      <c r="C686" t="s">
        <v>25</v>
      </c>
      <c r="D686" t="s">
        <v>68</v>
      </c>
      <c r="E686" t="s">
        <v>18</v>
      </c>
      <c r="F686">
        <v>7703</v>
      </c>
      <c r="G686">
        <v>8563</v>
      </c>
      <c r="H686">
        <v>773</v>
      </c>
      <c r="I686">
        <v>88</v>
      </c>
      <c r="J686">
        <v>65</v>
      </c>
      <c r="K686">
        <v>101</v>
      </c>
      <c r="L686">
        <v>0</v>
      </c>
      <c r="M686">
        <v>10</v>
      </c>
      <c r="N686" s="1">
        <v>0.29166666666666669</v>
      </c>
      <c r="O686" t="s">
        <v>27</v>
      </c>
    </row>
    <row r="687" spans="1:15" x14ac:dyDescent="0.3">
      <c r="A687" t="s">
        <v>728</v>
      </c>
      <c r="B687">
        <v>20260510</v>
      </c>
      <c r="C687" t="s">
        <v>16</v>
      </c>
      <c r="D687" t="s">
        <v>17</v>
      </c>
      <c r="E687" t="s">
        <v>26</v>
      </c>
      <c r="F687">
        <v>9115</v>
      </c>
      <c r="G687">
        <v>11767</v>
      </c>
      <c r="H687">
        <v>670</v>
      </c>
      <c r="I687">
        <v>35</v>
      </c>
      <c r="J687">
        <v>132</v>
      </c>
      <c r="K687">
        <v>39</v>
      </c>
      <c r="L687">
        <v>6179</v>
      </c>
      <c r="M687">
        <v>149</v>
      </c>
      <c r="N687" s="1">
        <v>0.33333333333333331</v>
      </c>
      <c r="O687" t="s">
        <v>30</v>
      </c>
    </row>
    <row r="688" spans="1:15" x14ac:dyDescent="0.3">
      <c r="A688" t="s">
        <v>729</v>
      </c>
      <c r="B688">
        <v>20250507</v>
      </c>
      <c r="C688" t="s">
        <v>44</v>
      </c>
      <c r="D688" t="s">
        <v>33</v>
      </c>
      <c r="E688" t="s">
        <v>22</v>
      </c>
      <c r="F688">
        <v>32596</v>
      </c>
      <c r="G688">
        <v>38924</v>
      </c>
      <c r="H688">
        <v>3635</v>
      </c>
      <c r="I688">
        <v>187</v>
      </c>
      <c r="J688">
        <v>212</v>
      </c>
      <c r="K688">
        <v>395</v>
      </c>
      <c r="L688">
        <v>0</v>
      </c>
      <c r="M688">
        <v>488</v>
      </c>
      <c r="N688" s="1">
        <v>0.94791666666666663</v>
      </c>
      <c r="O688" t="s">
        <v>38</v>
      </c>
    </row>
    <row r="689" spans="1:15" x14ac:dyDescent="0.3">
      <c r="A689" t="s">
        <v>730</v>
      </c>
      <c r="B689">
        <v>20250910</v>
      </c>
      <c r="C689" t="s">
        <v>25</v>
      </c>
      <c r="D689" t="s">
        <v>33</v>
      </c>
      <c r="E689" t="s">
        <v>26</v>
      </c>
      <c r="F689">
        <v>23060</v>
      </c>
      <c r="G689">
        <v>30249</v>
      </c>
      <c r="H689">
        <v>720</v>
      </c>
      <c r="I689">
        <v>39</v>
      </c>
      <c r="J689">
        <v>102</v>
      </c>
      <c r="K689">
        <v>47</v>
      </c>
      <c r="L689">
        <v>9096</v>
      </c>
      <c r="M689">
        <v>311</v>
      </c>
      <c r="N689" s="1">
        <v>0.5</v>
      </c>
      <c r="O689" t="s">
        <v>27</v>
      </c>
    </row>
    <row r="690" spans="1:15" x14ac:dyDescent="0.3">
      <c r="A690" t="s">
        <v>731</v>
      </c>
      <c r="B690">
        <v>20250127</v>
      </c>
      <c r="C690" t="s">
        <v>16</v>
      </c>
      <c r="D690" t="s">
        <v>33</v>
      </c>
      <c r="E690" t="s">
        <v>46</v>
      </c>
      <c r="F690">
        <v>41242</v>
      </c>
      <c r="G690">
        <v>66428</v>
      </c>
      <c r="H690">
        <v>1192</v>
      </c>
      <c r="I690">
        <v>118</v>
      </c>
      <c r="J690">
        <v>188</v>
      </c>
      <c r="K690">
        <v>96</v>
      </c>
      <c r="L690">
        <v>30339</v>
      </c>
      <c r="M690">
        <v>457</v>
      </c>
      <c r="N690" s="1">
        <v>0.86458333333333337</v>
      </c>
      <c r="O690" t="s">
        <v>23</v>
      </c>
    </row>
    <row r="691" spans="1:15" x14ac:dyDescent="0.3">
      <c r="A691" t="s">
        <v>732</v>
      </c>
      <c r="B691">
        <v>20260417</v>
      </c>
      <c r="C691" t="s">
        <v>16</v>
      </c>
      <c r="D691" t="s">
        <v>33</v>
      </c>
      <c r="E691" t="s">
        <v>18</v>
      </c>
      <c r="F691">
        <v>28192</v>
      </c>
      <c r="G691">
        <v>44286</v>
      </c>
      <c r="H691">
        <v>2728</v>
      </c>
      <c r="I691">
        <v>102</v>
      </c>
      <c r="J691">
        <v>119</v>
      </c>
      <c r="K691">
        <v>66</v>
      </c>
      <c r="L691">
        <v>0</v>
      </c>
      <c r="M691">
        <v>439</v>
      </c>
      <c r="N691" s="1">
        <v>0.54166666666666663</v>
      </c>
      <c r="O691" t="s">
        <v>30</v>
      </c>
    </row>
    <row r="692" spans="1:15" x14ac:dyDescent="0.3">
      <c r="A692" t="s">
        <v>733</v>
      </c>
      <c r="B692">
        <v>20250719</v>
      </c>
      <c r="C692" t="s">
        <v>44</v>
      </c>
      <c r="D692" t="s">
        <v>21</v>
      </c>
      <c r="E692" t="s">
        <v>22</v>
      </c>
      <c r="F692">
        <v>61091</v>
      </c>
      <c r="G692">
        <v>70156</v>
      </c>
      <c r="H692">
        <v>5314</v>
      </c>
      <c r="I692">
        <v>643</v>
      </c>
      <c r="J692">
        <v>183</v>
      </c>
      <c r="K692">
        <v>512</v>
      </c>
      <c r="L692">
        <v>0</v>
      </c>
      <c r="M692">
        <v>287</v>
      </c>
      <c r="N692" s="1">
        <v>0.79166666666666663</v>
      </c>
      <c r="O692" t="s">
        <v>34</v>
      </c>
    </row>
    <row r="693" spans="1:15" x14ac:dyDescent="0.3">
      <c r="A693" t="s">
        <v>734</v>
      </c>
      <c r="B693">
        <v>20260915</v>
      </c>
      <c r="C693" t="s">
        <v>16</v>
      </c>
      <c r="D693" t="s">
        <v>61</v>
      </c>
      <c r="E693" t="s">
        <v>46</v>
      </c>
      <c r="F693">
        <v>37376</v>
      </c>
      <c r="G693">
        <v>42448</v>
      </c>
      <c r="H693">
        <v>3444</v>
      </c>
      <c r="I693">
        <v>140</v>
      </c>
      <c r="J693">
        <v>505</v>
      </c>
      <c r="K693">
        <v>416</v>
      </c>
      <c r="L693">
        <v>15598</v>
      </c>
      <c r="M693">
        <v>583</v>
      </c>
      <c r="N693" s="1">
        <v>0.90625</v>
      </c>
      <c r="O693" t="s">
        <v>38</v>
      </c>
    </row>
    <row r="694" spans="1:15" x14ac:dyDescent="0.3">
      <c r="A694" t="s">
        <v>735</v>
      </c>
      <c r="B694">
        <v>20250222</v>
      </c>
      <c r="C694" t="s">
        <v>16</v>
      </c>
      <c r="D694" t="s">
        <v>68</v>
      </c>
      <c r="E694" t="s">
        <v>18</v>
      </c>
      <c r="F694">
        <v>18041</v>
      </c>
      <c r="G694">
        <v>20762</v>
      </c>
      <c r="H694">
        <v>1692</v>
      </c>
      <c r="I694">
        <v>156</v>
      </c>
      <c r="J694">
        <v>182</v>
      </c>
      <c r="K694">
        <v>258</v>
      </c>
      <c r="L694">
        <v>0</v>
      </c>
      <c r="M694">
        <v>183</v>
      </c>
      <c r="N694" s="1">
        <v>0.82291666666666663</v>
      </c>
      <c r="O694" t="s">
        <v>23</v>
      </c>
    </row>
    <row r="695" spans="1:15" x14ac:dyDescent="0.3">
      <c r="A695" t="s">
        <v>736</v>
      </c>
      <c r="B695">
        <v>20260512</v>
      </c>
      <c r="C695" t="s">
        <v>16</v>
      </c>
      <c r="D695" t="s">
        <v>21</v>
      </c>
      <c r="E695" t="s">
        <v>46</v>
      </c>
      <c r="F695">
        <v>40952</v>
      </c>
      <c r="G695">
        <v>62710</v>
      </c>
      <c r="H695">
        <v>2870</v>
      </c>
      <c r="I695">
        <v>83</v>
      </c>
      <c r="J695">
        <v>198</v>
      </c>
      <c r="K695">
        <v>292</v>
      </c>
      <c r="L695">
        <v>14630</v>
      </c>
      <c r="M695">
        <v>382</v>
      </c>
      <c r="N695" s="1">
        <v>0.4375</v>
      </c>
    </row>
    <row r="696" spans="1:15" x14ac:dyDescent="0.3">
      <c r="A696" t="s">
        <v>737</v>
      </c>
      <c r="B696">
        <v>20250310</v>
      </c>
      <c r="C696" t="s">
        <v>16</v>
      </c>
      <c r="D696" t="s">
        <v>36</v>
      </c>
      <c r="E696" t="s">
        <v>18</v>
      </c>
      <c r="F696">
        <v>16124</v>
      </c>
      <c r="G696">
        <v>24301</v>
      </c>
      <c r="H696">
        <v>1345</v>
      </c>
      <c r="I696">
        <v>61</v>
      </c>
      <c r="J696">
        <v>101</v>
      </c>
      <c r="K696">
        <v>109</v>
      </c>
      <c r="L696">
        <v>0</v>
      </c>
      <c r="M696">
        <v>177</v>
      </c>
      <c r="N696" s="1">
        <v>0.42708333333333331</v>
      </c>
      <c r="O696" t="s">
        <v>23</v>
      </c>
    </row>
    <row r="697" spans="1:15" x14ac:dyDescent="0.3">
      <c r="A697" t="s">
        <v>738</v>
      </c>
      <c r="B697">
        <v>20250112</v>
      </c>
      <c r="C697" t="s">
        <v>16</v>
      </c>
      <c r="D697" t="s">
        <v>29</v>
      </c>
      <c r="E697" t="s">
        <v>22</v>
      </c>
      <c r="F697">
        <v>27903</v>
      </c>
      <c r="G697">
        <v>36707</v>
      </c>
      <c r="H697">
        <v>796</v>
      </c>
      <c r="I697">
        <v>101</v>
      </c>
      <c r="J697">
        <v>27</v>
      </c>
      <c r="K697">
        <v>73</v>
      </c>
      <c r="L697">
        <v>0</v>
      </c>
      <c r="M697">
        <v>450</v>
      </c>
      <c r="N697" s="1">
        <v>0.92708333333333337</v>
      </c>
      <c r="O697" t="s">
        <v>49</v>
      </c>
    </row>
    <row r="698" spans="1:15" x14ac:dyDescent="0.3">
      <c r="A698" t="s">
        <v>739</v>
      </c>
      <c r="B698">
        <v>20260124</v>
      </c>
      <c r="C698" t="s">
        <v>32</v>
      </c>
      <c r="D698" t="s">
        <v>17</v>
      </c>
      <c r="E698" t="s">
        <v>26</v>
      </c>
      <c r="F698">
        <v>17364</v>
      </c>
      <c r="G698">
        <v>21361</v>
      </c>
      <c r="H698">
        <v>1935</v>
      </c>
      <c r="I698">
        <v>267</v>
      </c>
      <c r="J698">
        <v>172</v>
      </c>
      <c r="K698">
        <v>240</v>
      </c>
      <c r="L698">
        <v>6748</v>
      </c>
      <c r="M698">
        <v>184</v>
      </c>
      <c r="N698" s="1">
        <v>0.46875</v>
      </c>
      <c r="O698" t="s">
        <v>49</v>
      </c>
    </row>
    <row r="699" spans="1:15" x14ac:dyDescent="0.3">
      <c r="A699" t="s">
        <v>740</v>
      </c>
      <c r="B699">
        <v>20250928</v>
      </c>
      <c r="C699" t="s">
        <v>25</v>
      </c>
      <c r="D699" t="s">
        <v>21</v>
      </c>
      <c r="E699" t="s">
        <v>41</v>
      </c>
      <c r="F699">
        <v>33308</v>
      </c>
      <c r="G699">
        <v>52816</v>
      </c>
      <c r="H699">
        <v>1537</v>
      </c>
      <c r="I699">
        <v>132</v>
      </c>
      <c r="J699">
        <v>171</v>
      </c>
      <c r="K699">
        <v>82</v>
      </c>
      <c r="L699">
        <v>17459</v>
      </c>
      <c r="M699">
        <v>436</v>
      </c>
      <c r="N699" s="1">
        <v>0.35416666666666669</v>
      </c>
      <c r="O699" t="s">
        <v>34</v>
      </c>
    </row>
    <row r="700" spans="1:15" x14ac:dyDescent="0.3">
      <c r="A700" t="s">
        <v>741</v>
      </c>
      <c r="B700">
        <v>20250903</v>
      </c>
      <c r="C700" t="s">
        <v>40</v>
      </c>
      <c r="D700" t="s">
        <v>17</v>
      </c>
      <c r="E700" t="s">
        <v>46</v>
      </c>
      <c r="F700">
        <v>19508</v>
      </c>
      <c r="G700">
        <v>26375</v>
      </c>
      <c r="H700">
        <v>1199</v>
      </c>
      <c r="I700">
        <v>33</v>
      </c>
      <c r="J700">
        <v>205</v>
      </c>
      <c r="K700">
        <v>62</v>
      </c>
      <c r="L700">
        <v>15725</v>
      </c>
      <c r="M700">
        <v>217</v>
      </c>
      <c r="N700" s="1">
        <v>0.78125</v>
      </c>
      <c r="O700" t="s">
        <v>49</v>
      </c>
    </row>
    <row r="701" spans="1:15" x14ac:dyDescent="0.3">
      <c r="A701" t="s">
        <v>742</v>
      </c>
      <c r="B701">
        <v>20250310</v>
      </c>
      <c r="C701" t="s">
        <v>25</v>
      </c>
      <c r="D701" t="s">
        <v>61</v>
      </c>
      <c r="E701" t="s">
        <v>18</v>
      </c>
      <c r="F701">
        <v>7392</v>
      </c>
      <c r="G701">
        <v>10654</v>
      </c>
      <c r="H701">
        <v>354</v>
      </c>
      <c r="I701">
        <v>31</v>
      </c>
      <c r="J701">
        <v>54</v>
      </c>
      <c r="K701">
        <v>32</v>
      </c>
      <c r="L701">
        <v>0</v>
      </c>
      <c r="M701">
        <v>126</v>
      </c>
      <c r="N701" s="1">
        <v>0.38541666666666669</v>
      </c>
      <c r="O701" t="s">
        <v>38</v>
      </c>
    </row>
    <row r="702" spans="1:15" x14ac:dyDescent="0.3">
      <c r="A702" t="s">
        <v>743</v>
      </c>
      <c r="B702">
        <v>20250725</v>
      </c>
      <c r="C702" t="s">
        <v>16</v>
      </c>
      <c r="D702" t="s">
        <v>21</v>
      </c>
      <c r="E702" t="s">
        <v>18</v>
      </c>
      <c r="F702">
        <v>25473</v>
      </c>
      <c r="G702">
        <v>33862</v>
      </c>
      <c r="H702">
        <v>2915</v>
      </c>
      <c r="I702">
        <v>265</v>
      </c>
      <c r="J702">
        <v>351</v>
      </c>
      <c r="K702">
        <v>100</v>
      </c>
      <c r="L702">
        <v>0</v>
      </c>
      <c r="M702">
        <v>261</v>
      </c>
      <c r="N702" s="1">
        <v>0.91666666666666663</v>
      </c>
      <c r="O702" t="s">
        <v>23</v>
      </c>
    </row>
    <row r="703" spans="1:15" x14ac:dyDescent="0.3">
      <c r="A703" t="s">
        <v>744</v>
      </c>
      <c r="B703">
        <v>20250813</v>
      </c>
      <c r="C703" t="s">
        <v>16</v>
      </c>
      <c r="D703" t="s">
        <v>17</v>
      </c>
      <c r="E703" t="s">
        <v>41</v>
      </c>
      <c r="F703">
        <v>27259</v>
      </c>
      <c r="G703">
        <v>40494</v>
      </c>
      <c r="H703">
        <v>1025</v>
      </c>
      <c r="I703">
        <v>82</v>
      </c>
      <c r="J703">
        <v>120</v>
      </c>
      <c r="K703">
        <v>41</v>
      </c>
      <c r="L703">
        <v>22505</v>
      </c>
      <c r="M703">
        <v>217</v>
      </c>
      <c r="N703" s="1">
        <v>0.8125</v>
      </c>
      <c r="O703" t="s">
        <v>38</v>
      </c>
    </row>
    <row r="704" spans="1:15" x14ac:dyDescent="0.3">
      <c r="A704" t="s">
        <v>745</v>
      </c>
      <c r="B704">
        <v>20251105</v>
      </c>
      <c r="C704" t="s">
        <v>16</v>
      </c>
      <c r="D704" t="s">
        <v>21</v>
      </c>
      <c r="E704" t="s">
        <v>22</v>
      </c>
      <c r="F704">
        <v>11380</v>
      </c>
      <c r="G704">
        <v>17783</v>
      </c>
      <c r="H704">
        <v>1175</v>
      </c>
      <c r="I704">
        <v>157</v>
      </c>
      <c r="J704">
        <v>70</v>
      </c>
      <c r="K704">
        <v>157</v>
      </c>
      <c r="L704">
        <v>0</v>
      </c>
      <c r="M704">
        <v>19</v>
      </c>
      <c r="N704" s="1">
        <v>0.76041666666666663</v>
      </c>
      <c r="O704" t="s">
        <v>23</v>
      </c>
    </row>
    <row r="705" spans="1:15" x14ac:dyDescent="0.3">
      <c r="A705" t="s">
        <v>746</v>
      </c>
      <c r="B705">
        <v>20260322</v>
      </c>
      <c r="C705" t="s">
        <v>40</v>
      </c>
      <c r="D705" t="s">
        <v>29</v>
      </c>
      <c r="E705" t="s">
        <v>46</v>
      </c>
      <c r="F705">
        <v>15944</v>
      </c>
      <c r="G705">
        <v>21844</v>
      </c>
      <c r="H705">
        <v>1883</v>
      </c>
      <c r="I705">
        <v>178</v>
      </c>
      <c r="J705">
        <v>154</v>
      </c>
      <c r="K705">
        <v>92</v>
      </c>
      <c r="L705">
        <v>12033</v>
      </c>
      <c r="M705">
        <v>131</v>
      </c>
      <c r="N705" s="1">
        <v>0.80208333333333337</v>
      </c>
      <c r="O705" t="s">
        <v>27</v>
      </c>
    </row>
    <row r="706" spans="1:15" x14ac:dyDescent="0.3">
      <c r="A706" t="s">
        <v>747</v>
      </c>
      <c r="B706">
        <v>20251015</v>
      </c>
      <c r="C706" t="s">
        <v>40</v>
      </c>
      <c r="D706" t="s">
        <v>29</v>
      </c>
      <c r="E706" t="s">
        <v>18</v>
      </c>
      <c r="F706">
        <v>20133</v>
      </c>
      <c r="G706">
        <v>28314</v>
      </c>
      <c r="H706">
        <v>2076</v>
      </c>
      <c r="I706">
        <v>167</v>
      </c>
      <c r="J706">
        <v>313</v>
      </c>
      <c r="K706">
        <v>318</v>
      </c>
      <c r="L706">
        <v>0</v>
      </c>
      <c r="M706">
        <v>286</v>
      </c>
      <c r="N706" s="1">
        <v>0.57291666666666663</v>
      </c>
      <c r="O706" t="s">
        <v>34</v>
      </c>
    </row>
    <row r="707" spans="1:15" x14ac:dyDescent="0.3">
      <c r="A707" t="s">
        <v>249</v>
      </c>
      <c r="B707">
        <v>20260929</v>
      </c>
      <c r="C707" t="s">
        <v>16</v>
      </c>
      <c r="D707" t="s">
        <v>17</v>
      </c>
      <c r="E707" t="s">
        <v>46</v>
      </c>
      <c r="F707">
        <v>42448</v>
      </c>
      <c r="G707">
        <v>65120</v>
      </c>
      <c r="H707">
        <v>2436</v>
      </c>
      <c r="I707">
        <v>299</v>
      </c>
      <c r="J707">
        <v>332</v>
      </c>
      <c r="K707">
        <v>239</v>
      </c>
      <c r="L707">
        <v>36595</v>
      </c>
      <c r="M707">
        <v>103</v>
      </c>
      <c r="N707" s="1">
        <v>0.84375</v>
      </c>
      <c r="O707" t="s">
        <v>53</v>
      </c>
    </row>
    <row r="708" spans="1:15" x14ac:dyDescent="0.3">
      <c r="A708" t="s">
        <v>748</v>
      </c>
      <c r="B708">
        <v>20260803</v>
      </c>
      <c r="C708" t="s">
        <v>44</v>
      </c>
      <c r="D708" t="s">
        <v>61</v>
      </c>
      <c r="E708" t="s">
        <v>18</v>
      </c>
      <c r="F708">
        <v>112704</v>
      </c>
      <c r="G708">
        <v>139986</v>
      </c>
      <c r="H708">
        <v>4444</v>
      </c>
      <c r="I708">
        <v>584</v>
      </c>
      <c r="J708">
        <v>145</v>
      </c>
      <c r="K708">
        <v>255</v>
      </c>
      <c r="L708">
        <v>0</v>
      </c>
      <c r="M708">
        <v>620</v>
      </c>
      <c r="N708" s="1">
        <v>0.82291666666666663</v>
      </c>
      <c r="O708" t="s">
        <v>19</v>
      </c>
    </row>
    <row r="709" spans="1:15" x14ac:dyDescent="0.3">
      <c r="A709" t="s">
        <v>749</v>
      </c>
      <c r="B709">
        <v>20250813</v>
      </c>
      <c r="C709" t="s">
        <v>40</v>
      </c>
      <c r="D709" t="s">
        <v>29</v>
      </c>
      <c r="E709" t="s">
        <v>22</v>
      </c>
      <c r="F709">
        <v>8233</v>
      </c>
      <c r="G709">
        <v>12489</v>
      </c>
      <c r="H709">
        <v>662</v>
      </c>
      <c r="I709">
        <v>35</v>
      </c>
      <c r="J709">
        <v>73</v>
      </c>
      <c r="K709">
        <v>69</v>
      </c>
      <c r="L709">
        <v>0</v>
      </c>
      <c r="M709">
        <v>78</v>
      </c>
      <c r="N709" s="1">
        <v>0.36458333333333331</v>
      </c>
      <c r="O709" t="s">
        <v>19</v>
      </c>
    </row>
    <row r="710" spans="1:15" x14ac:dyDescent="0.3">
      <c r="A710" t="s">
        <v>750</v>
      </c>
      <c r="B710">
        <v>20260427</v>
      </c>
      <c r="C710" t="s">
        <v>40</v>
      </c>
      <c r="D710" t="s">
        <v>33</v>
      </c>
      <c r="E710" t="s">
        <v>46</v>
      </c>
      <c r="F710">
        <v>57982</v>
      </c>
      <c r="G710">
        <v>67372</v>
      </c>
      <c r="H710">
        <v>3052</v>
      </c>
      <c r="I710">
        <v>174</v>
      </c>
      <c r="J710">
        <v>212</v>
      </c>
      <c r="K710">
        <v>156</v>
      </c>
      <c r="L710">
        <v>41078</v>
      </c>
      <c r="M710">
        <v>522</v>
      </c>
      <c r="N710" s="1">
        <v>0.79166666666666663</v>
      </c>
      <c r="O710" t="s">
        <v>53</v>
      </c>
    </row>
    <row r="711" spans="1:15" x14ac:dyDescent="0.3">
      <c r="A711" t="s">
        <v>751</v>
      </c>
      <c r="B711">
        <v>20260626</v>
      </c>
      <c r="C711" t="s">
        <v>25</v>
      </c>
      <c r="D711" t="s">
        <v>21</v>
      </c>
      <c r="E711" t="s">
        <v>51</v>
      </c>
      <c r="F711">
        <v>23198</v>
      </c>
      <c r="G711">
        <v>37482</v>
      </c>
      <c r="H711">
        <v>1905</v>
      </c>
      <c r="I711">
        <v>226</v>
      </c>
      <c r="J711">
        <v>63</v>
      </c>
      <c r="K711">
        <v>217</v>
      </c>
      <c r="L711">
        <v>0</v>
      </c>
      <c r="M711">
        <v>39</v>
      </c>
      <c r="N711" s="1">
        <v>0.34375</v>
      </c>
      <c r="O711" t="s">
        <v>38</v>
      </c>
    </row>
    <row r="712" spans="1:15" x14ac:dyDescent="0.3">
      <c r="A712" t="s">
        <v>752</v>
      </c>
      <c r="B712">
        <v>20260711</v>
      </c>
      <c r="C712" t="s">
        <v>44</v>
      </c>
      <c r="D712" t="s">
        <v>21</v>
      </c>
      <c r="E712" t="s">
        <v>51</v>
      </c>
      <c r="F712">
        <v>23491</v>
      </c>
      <c r="G712">
        <v>29673</v>
      </c>
      <c r="H712">
        <v>981</v>
      </c>
      <c r="I712">
        <v>46</v>
      </c>
      <c r="J712">
        <v>118</v>
      </c>
      <c r="K712">
        <v>27</v>
      </c>
      <c r="L712">
        <v>0</v>
      </c>
      <c r="M712">
        <v>83</v>
      </c>
      <c r="N712" s="1">
        <v>0.46875</v>
      </c>
      <c r="O712" t="s">
        <v>47</v>
      </c>
    </row>
    <row r="713" spans="1:15" x14ac:dyDescent="0.3">
      <c r="A713" t="s">
        <v>753</v>
      </c>
      <c r="B713">
        <v>20250117</v>
      </c>
      <c r="C713" t="s">
        <v>25</v>
      </c>
      <c r="D713" t="s">
        <v>17</v>
      </c>
      <c r="E713" t="s">
        <v>46</v>
      </c>
      <c r="F713">
        <v>11002</v>
      </c>
      <c r="G713">
        <v>11731</v>
      </c>
      <c r="H713">
        <v>934</v>
      </c>
      <c r="I713">
        <v>123</v>
      </c>
      <c r="J713">
        <v>53</v>
      </c>
      <c r="K713">
        <v>42</v>
      </c>
      <c r="L713">
        <v>8772</v>
      </c>
      <c r="M713">
        <v>119</v>
      </c>
      <c r="N713" s="1">
        <v>0.36458333333333331</v>
      </c>
      <c r="O713" t="s">
        <v>47</v>
      </c>
    </row>
    <row r="714" spans="1:15" x14ac:dyDescent="0.3">
      <c r="A714" t="s">
        <v>754</v>
      </c>
      <c r="B714">
        <v>20251117</v>
      </c>
      <c r="C714" t="s">
        <v>16</v>
      </c>
      <c r="D714" t="s">
        <v>33</v>
      </c>
      <c r="E714" t="s">
        <v>51</v>
      </c>
      <c r="F714">
        <v>12922</v>
      </c>
      <c r="G714">
        <v>14965</v>
      </c>
      <c r="H714">
        <v>1056</v>
      </c>
      <c r="I714">
        <v>38</v>
      </c>
      <c r="J714">
        <v>98</v>
      </c>
      <c r="K714">
        <v>74</v>
      </c>
      <c r="L714">
        <v>0</v>
      </c>
      <c r="M714">
        <v>149</v>
      </c>
      <c r="N714" s="1">
        <v>0.42708333333333331</v>
      </c>
      <c r="O714" t="s">
        <v>27</v>
      </c>
    </row>
    <row r="715" spans="1:15" x14ac:dyDescent="0.3">
      <c r="A715" t="s">
        <v>755</v>
      </c>
      <c r="B715">
        <v>20260329</v>
      </c>
      <c r="C715" t="s">
        <v>40</v>
      </c>
      <c r="D715" t="s">
        <v>17</v>
      </c>
      <c r="E715" t="s">
        <v>41</v>
      </c>
      <c r="F715">
        <v>12618</v>
      </c>
      <c r="G715">
        <v>15326</v>
      </c>
      <c r="H715">
        <v>1041</v>
      </c>
      <c r="I715">
        <v>31</v>
      </c>
      <c r="J715">
        <v>61</v>
      </c>
      <c r="K715">
        <v>30</v>
      </c>
      <c r="L715">
        <v>9869</v>
      </c>
      <c r="M715">
        <v>23</v>
      </c>
      <c r="N715" s="1">
        <v>0.58333333333333337</v>
      </c>
      <c r="O715" t="s">
        <v>49</v>
      </c>
    </row>
    <row r="716" spans="1:15" x14ac:dyDescent="0.3">
      <c r="A716" t="s">
        <v>756</v>
      </c>
      <c r="B716">
        <v>20251106</v>
      </c>
      <c r="C716" t="s">
        <v>44</v>
      </c>
      <c r="D716" t="s">
        <v>36</v>
      </c>
      <c r="E716" t="s">
        <v>26</v>
      </c>
      <c r="F716">
        <v>73622</v>
      </c>
      <c r="G716">
        <v>110866</v>
      </c>
      <c r="H716">
        <v>4657</v>
      </c>
      <c r="I716">
        <v>312</v>
      </c>
      <c r="J716">
        <v>273</v>
      </c>
      <c r="K716">
        <v>215</v>
      </c>
      <c r="L716">
        <v>63041</v>
      </c>
      <c r="M716">
        <v>197</v>
      </c>
      <c r="N716" s="1">
        <v>0.44791666666666669</v>
      </c>
      <c r="O716" t="s">
        <v>38</v>
      </c>
    </row>
    <row r="717" spans="1:15" x14ac:dyDescent="0.3">
      <c r="A717" t="s">
        <v>757</v>
      </c>
      <c r="B717">
        <v>20250901</v>
      </c>
      <c r="C717" t="s">
        <v>32</v>
      </c>
      <c r="D717" t="s">
        <v>29</v>
      </c>
      <c r="E717" t="s">
        <v>26</v>
      </c>
      <c r="F717">
        <v>10448</v>
      </c>
      <c r="G717">
        <v>15899</v>
      </c>
      <c r="H717">
        <v>653</v>
      </c>
      <c r="I717">
        <v>44</v>
      </c>
      <c r="J717">
        <v>59</v>
      </c>
      <c r="K717">
        <v>70</v>
      </c>
      <c r="L717">
        <v>8261</v>
      </c>
      <c r="M717">
        <v>58</v>
      </c>
      <c r="N717" s="1">
        <v>0.35416666666666669</v>
      </c>
      <c r="O717" t="s">
        <v>34</v>
      </c>
    </row>
    <row r="718" spans="1:15" x14ac:dyDescent="0.3">
      <c r="A718" t="s">
        <v>758</v>
      </c>
      <c r="B718">
        <v>20250925</v>
      </c>
      <c r="C718" t="s">
        <v>44</v>
      </c>
      <c r="D718" t="s">
        <v>17</v>
      </c>
      <c r="E718" t="s">
        <v>18</v>
      </c>
      <c r="F718">
        <v>44042</v>
      </c>
      <c r="G718">
        <v>57686</v>
      </c>
      <c r="H718">
        <v>5186</v>
      </c>
      <c r="I718">
        <v>139</v>
      </c>
      <c r="J718">
        <v>1015</v>
      </c>
      <c r="K718">
        <v>698</v>
      </c>
      <c r="L718">
        <v>0</v>
      </c>
      <c r="M718">
        <v>646</v>
      </c>
      <c r="N718" s="1">
        <v>0.84375</v>
      </c>
      <c r="O718" t="s">
        <v>19</v>
      </c>
    </row>
    <row r="719" spans="1:15" x14ac:dyDescent="0.3">
      <c r="A719" t="s">
        <v>759</v>
      </c>
      <c r="B719">
        <v>20260102</v>
      </c>
      <c r="C719" t="s">
        <v>44</v>
      </c>
      <c r="D719" t="s">
        <v>29</v>
      </c>
      <c r="E719" t="s">
        <v>18</v>
      </c>
      <c r="F719">
        <v>46106</v>
      </c>
      <c r="G719">
        <v>71954</v>
      </c>
      <c r="H719">
        <v>2085</v>
      </c>
      <c r="I719">
        <v>76</v>
      </c>
      <c r="J719">
        <v>253</v>
      </c>
      <c r="K719">
        <v>139</v>
      </c>
      <c r="L719">
        <v>0</v>
      </c>
      <c r="M719">
        <v>688</v>
      </c>
      <c r="N719" s="1">
        <v>0.88541666666666663</v>
      </c>
      <c r="O719" t="s">
        <v>19</v>
      </c>
    </row>
    <row r="720" spans="1:15" x14ac:dyDescent="0.3">
      <c r="A720" t="s">
        <v>760</v>
      </c>
      <c r="B720">
        <v>20250508</v>
      </c>
      <c r="C720" t="s">
        <v>44</v>
      </c>
      <c r="D720" t="s">
        <v>21</v>
      </c>
      <c r="E720" t="s">
        <v>18</v>
      </c>
      <c r="F720">
        <v>103990</v>
      </c>
      <c r="G720">
        <v>151920</v>
      </c>
      <c r="H720">
        <v>5749</v>
      </c>
      <c r="I720">
        <v>144</v>
      </c>
      <c r="J720">
        <v>216</v>
      </c>
      <c r="K720">
        <v>225</v>
      </c>
      <c r="L720">
        <v>0</v>
      </c>
      <c r="M720">
        <v>733</v>
      </c>
      <c r="N720" s="1">
        <v>0.69791666666666663</v>
      </c>
      <c r="O720" t="s">
        <v>49</v>
      </c>
    </row>
    <row r="721" spans="1:15" x14ac:dyDescent="0.3">
      <c r="A721" t="s">
        <v>761</v>
      </c>
      <c r="B721">
        <v>20260414</v>
      </c>
      <c r="C721" t="s">
        <v>44</v>
      </c>
      <c r="D721" t="s">
        <v>61</v>
      </c>
      <c r="E721" t="s">
        <v>46</v>
      </c>
      <c r="F721">
        <v>40825</v>
      </c>
      <c r="G721">
        <v>43302</v>
      </c>
      <c r="H721">
        <v>1654</v>
      </c>
      <c r="I721">
        <v>103</v>
      </c>
      <c r="J721">
        <v>303</v>
      </c>
      <c r="K721">
        <v>76</v>
      </c>
      <c r="L721">
        <v>30575</v>
      </c>
      <c r="M721">
        <v>208</v>
      </c>
      <c r="N721" s="1">
        <v>0.875</v>
      </c>
      <c r="O721" t="s">
        <v>27</v>
      </c>
    </row>
    <row r="722" spans="1:15" x14ac:dyDescent="0.3">
      <c r="A722" t="s">
        <v>762</v>
      </c>
      <c r="B722">
        <v>20250112</v>
      </c>
      <c r="C722" t="s">
        <v>16</v>
      </c>
      <c r="D722" t="s">
        <v>68</v>
      </c>
      <c r="E722" t="s">
        <v>22</v>
      </c>
      <c r="F722">
        <v>15992</v>
      </c>
      <c r="G722">
        <v>23738</v>
      </c>
      <c r="H722">
        <v>834</v>
      </c>
      <c r="I722">
        <v>67</v>
      </c>
      <c r="J722">
        <v>106</v>
      </c>
      <c r="K722">
        <v>123</v>
      </c>
      <c r="L722">
        <v>0</v>
      </c>
      <c r="M722">
        <v>171</v>
      </c>
      <c r="N722" s="1">
        <v>0.625</v>
      </c>
      <c r="O722" t="s">
        <v>23</v>
      </c>
    </row>
    <row r="723" spans="1:15" x14ac:dyDescent="0.3">
      <c r="A723" t="s">
        <v>763</v>
      </c>
      <c r="B723">
        <v>20251101</v>
      </c>
      <c r="C723" t="s">
        <v>25</v>
      </c>
      <c r="D723" t="s">
        <v>17</v>
      </c>
      <c r="E723" t="s">
        <v>46</v>
      </c>
      <c r="F723">
        <v>17188</v>
      </c>
      <c r="G723">
        <v>26142</v>
      </c>
      <c r="H723">
        <v>1676</v>
      </c>
      <c r="I723">
        <v>84</v>
      </c>
      <c r="J723">
        <v>245</v>
      </c>
      <c r="K723">
        <v>207</v>
      </c>
      <c r="L723">
        <v>12857</v>
      </c>
      <c r="M723">
        <v>198</v>
      </c>
      <c r="N723" s="1">
        <v>0.5</v>
      </c>
      <c r="O723" t="s">
        <v>38</v>
      </c>
    </row>
    <row r="724" spans="1:15" x14ac:dyDescent="0.3">
      <c r="A724" t="s">
        <v>764</v>
      </c>
      <c r="B724">
        <v>20260706</v>
      </c>
      <c r="C724" t="s">
        <v>44</v>
      </c>
      <c r="D724" t="s">
        <v>17</v>
      </c>
      <c r="E724" t="s">
        <v>51</v>
      </c>
      <c r="F724">
        <v>59866</v>
      </c>
      <c r="G724">
        <v>77620</v>
      </c>
      <c r="H724">
        <v>6731</v>
      </c>
      <c r="I724">
        <v>903</v>
      </c>
      <c r="J724">
        <v>1096</v>
      </c>
      <c r="K724">
        <v>795</v>
      </c>
      <c r="L724">
        <v>0</v>
      </c>
      <c r="M724">
        <v>1036</v>
      </c>
      <c r="N724" s="1">
        <v>0.84375</v>
      </c>
      <c r="O724" t="s">
        <v>47</v>
      </c>
    </row>
    <row r="725" spans="1:15" x14ac:dyDescent="0.3">
      <c r="A725" t="s">
        <v>765</v>
      </c>
      <c r="B725">
        <v>20250606</v>
      </c>
      <c r="C725" t="s">
        <v>40</v>
      </c>
      <c r="D725" t="s">
        <v>17</v>
      </c>
      <c r="E725" t="s">
        <v>51</v>
      </c>
      <c r="F725">
        <v>21007</v>
      </c>
      <c r="G725">
        <v>29245</v>
      </c>
      <c r="H725">
        <v>1695</v>
      </c>
      <c r="I725">
        <v>82</v>
      </c>
      <c r="J725">
        <v>270</v>
      </c>
      <c r="K725">
        <v>237</v>
      </c>
      <c r="L725">
        <v>0</v>
      </c>
      <c r="M725">
        <v>291</v>
      </c>
      <c r="N725" s="1">
        <v>0.40625</v>
      </c>
      <c r="O725" t="s">
        <v>53</v>
      </c>
    </row>
    <row r="726" spans="1:15" x14ac:dyDescent="0.3">
      <c r="A726" t="s">
        <v>766</v>
      </c>
      <c r="B726">
        <v>20260219</v>
      </c>
      <c r="C726" t="s">
        <v>16</v>
      </c>
      <c r="D726" t="s">
        <v>17</v>
      </c>
      <c r="E726" t="s">
        <v>41</v>
      </c>
      <c r="F726">
        <v>18877</v>
      </c>
      <c r="G726">
        <v>24720</v>
      </c>
      <c r="H726">
        <v>1035</v>
      </c>
      <c r="I726">
        <v>97</v>
      </c>
      <c r="J726">
        <v>33</v>
      </c>
      <c r="K726">
        <v>36</v>
      </c>
      <c r="L726">
        <v>10110</v>
      </c>
      <c r="M726">
        <v>26</v>
      </c>
      <c r="N726" s="1">
        <v>0.32291666666666669</v>
      </c>
      <c r="O726" t="s">
        <v>53</v>
      </c>
    </row>
    <row r="727" spans="1:15" x14ac:dyDescent="0.3">
      <c r="A727" t="s">
        <v>767</v>
      </c>
      <c r="B727">
        <v>20260921</v>
      </c>
      <c r="C727" t="s">
        <v>32</v>
      </c>
      <c r="D727" t="s">
        <v>33</v>
      </c>
      <c r="E727" t="s">
        <v>26</v>
      </c>
      <c r="F727">
        <v>11177</v>
      </c>
      <c r="G727">
        <v>17323</v>
      </c>
      <c r="H727">
        <v>446</v>
      </c>
      <c r="I727">
        <v>60</v>
      </c>
      <c r="J727">
        <v>20</v>
      </c>
      <c r="K727">
        <v>69</v>
      </c>
      <c r="L727">
        <v>10041</v>
      </c>
      <c r="M727">
        <v>23</v>
      </c>
      <c r="N727" s="1">
        <v>0.89583333333333337</v>
      </c>
      <c r="O727" t="s">
        <v>23</v>
      </c>
    </row>
    <row r="728" spans="1:15" x14ac:dyDescent="0.3">
      <c r="A728" t="s">
        <v>768</v>
      </c>
      <c r="B728">
        <v>20251120</v>
      </c>
      <c r="C728" t="s">
        <v>40</v>
      </c>
      <c r="D728" t="s">
        <v>61</v>
      </c>
      <c r="E728" t="s">
        <v>51</v>
      </c>
      <c r="F728">
        <v>15794</v>
      </c>
      <c r="G728">
        <v>21641</v>
      </c>
      <c r="H728">
        <v>1493</v>
      </c>
      <c r="I728">
        <v>179</v>
      </c>
      <c r="J728">
        <v>222</v>
      </c>
      <c r="K728">
        <v>238</v>
      </c>
      <c r="L728">
        <v>0</v>
      </c>
      <c r="M728">
        <v>45</v>
      </c>
      <c r="N728" s="1">
        <v>0.35416666666666669</v>
      </c>
      <c r="O728" t="s">
        <v>27</v>
      </c>
    </row>
    <row r="729" spans="1:15" x14ac:dyDescent="0.3">
      <c r="A729" t="s">
        <v>769</v>
      </c>
      <c r="B729">
        <v>20260722</v>
      </c>
      <c r="C729" t="s">
        <v>16</v>
      </c>
      <c r="D729" t="s">
        <v>29</v>
      </c>
      <c r="E729" t="s">
        <v>41</v>
      </c>
      <c r="F729">
        <v>22065</v>
      </c>
      <c r="G729">
        <v>24870</v>
      </c>
      <c r="H729">
        <v>623</v>
      </c>
      <c r="I729">
        <v>48</v>
      </c>
      <c r="J729">
        <v>74</v>
      </c>
      <c r="K729">
        <v>27</v>
      </c>
      <c r="L729">
        <v>9163</v>
      </c>
      <c r="M729">
        <v>290</v>
      </c>
      <c r="N729" s="1">
        <v>0.55208333333333337</v>
      </c>
      <c r="O729" t="s">
        <v>42</v>
      </c>
    </row>
    <row r="730" spans="1:15" x14ac:dyDescent="0.3">
      <c r="A730" t="s">
        <v>770</v>
      </c>
      <c r="B730">
        <v>20260828</v>
      </c>
      <c r="C730" t="s">
        <v>16</v>
      </c>
      <c r="D730" t="s">
        <v>17</v>
      </c>
      <c r="E730" t="s">
        <v>51</v>
      </c>
      <c r="F730">
        <v>17133</v>
      </c>
      <c r="G730">
        <v>23208</v>
      </c>
      <c r="H730">
        <v>675</v>
      </c>
      <c r="I730">
        <v>34</v>
      </c>
      <c r="J730">
        <v>92</v>
      </c>
      <c r="K730">
        <v>97</v>
      </c>
      <c r="L730">
        <v>0</v>
      </c>
      <c r="M730">
        <v>122</v>
      </c>
      <c r="N730" s="1">
        <v>0.34375</v>
      </c>
      <c r="O730" t="s">
        <v>47</v>
      </c>
    </row>
    <row r="731" spans="1:15" x14ac:dyDescent="0.3">
      <c r="A731" t="s">
        <v>771</v>
      </c>
      <c r="B731">
        <v>20250211</v>
      </c>
      <c r="C731" t="s">
        <v>32</v>
      </c>
      <c r="D731" t="s">
        <v>36</v>
      </c>
      <c r="E731" t="s">
        <v>51</v>
      </c>
      <c r="F731">
        <v>6222</v>
      </c>
      <c r="G731">
        <v>9448</v>
      </c>
      <c r="H731">
        <v>594</v>
      </c>
      <c r="I731">
        <v>21</v>
      </c>
      <c r="J731">
        <v>75</v>
      </c>
      <c r="K731">
        <v>44</v>
      </c>
      <c r="L731">
        <v>0</v>
      </c>
      <c r="M731">
        <v>97</v>
      </c>
      <c r="N731" s="1">
        <v>0.4375</v>
      </c>
      <c r="O731" t="s">
        <v>53</v>
      </c>
    </row>
    <row r="732" spans="1:15" x14ac:dyDescent="0.3">
      <c r="A732" t="s">
        <v>772</v>
      </c>
      <c r="B732">
        <v>20260201</v>
      </c>
      <c r="C732" t="s">
        <v>32</v>
      </c>
      <c r="D732" t="s">
        <v>61</v>
      </c>
      <c r="E732" t="s">
        <v>46</v>
      </c>
      <c r="F732">
        <v>15782</v>
      </c>
      <c r="G732">
        <v>19177</v>
      </c>
      <c r="H732">
        <v>719</v>
      </c>
      <c r="I732">
        <v>75</v>
      </c>
      <c r="J732">
        <v>102</v>
      </c>
      <c r="K732">
        <v>44</v>
      </c>
      <c r="L732">
        <v>11784</v>
      </c>
      <c r="M732">
        <v>166</v>
      </c>
      <c r="N732" s="1">
        <v>0.9375</v>
      </c>
      <c r="O732" t="s">
        <v>49</v>
      </c>
    </row>
    <row r="733" spans="1:15" x14ac:dyDescent="0.3">
      <c r="A733" t="s">
        <v>773</v>
      </c>
      <c r="B733">
        <v>20251003</v>
      </c>
      <c r="C733" t="s">
        <v>40</v>
      </c>
      <c r="D733" t="s">
        <v>61</v>
      </c>
      <c r="E733" t="s">
        <v>26</v>
      </c>
      <c r="F733">
        <v>10911</v>
      </c>
      <c r="G733">
        <v>16377</v>
      </c>
      <c r="H733">
        <v>783</v>
      </c>
      <c r="I733">
        <v>106</v>
      </c>
      <c r="J733">
        <v>143</v>
      </c>
      <c r="K733">
        <v>28</v>
      </c>
      <c r="L733">
        <v>4246</v>
      </c>
      <c r="M733">
        <v>145</v>
      </c>
      <c r="N733" s="1">
        <v>0.32291666666666669</v>
      </c>
      <c r="O733" t="s">
        <v>34</v>
      </c>
    </row>
    <row r="734" spans="1:15" x14ac:dyDescent="0.3">
      <c r="A734" t="s">
        <v>774</v>
      </c>
      <c r="B734">
        <v>20260205</v>
      </c>
      <c r="C734" t="s">
        <v>44</v>
      </c>
      <c r="D734" t="s">
        <v>33</v>
      </c>
      <c r="E734" t="s">
        <v>46</v>
      </c>
      <c r="F734">
        <v>124057</v>
      </c>
      <c r="G734">
        <v>188670</v>
      </c>
      <c r="H734">
        <v>6678</v>
      </c>
      <c r="I734">
        <v>617</v>
      </c>
      <c r="J734">
        <v>801</v>
      </c>
      <c r="K734">
        <v>965</v>
      </c>
      <c r="L734">
        <v>111577</v>
      </c>
      <c r="M734">
        <v>1325</v>
      </c>
      <c r="N734" s="1">
        <v>0.29166666666666669</v>
      </c>
      <c r="O734" t="s">
        <v>19</v>
      </c>
    </row>
    <row r="735" spans="1:15" x14ac:dyDescent="0.3">
      <c r="A735" t="s">
        <v>775</v>
      </c>
      <c r="B735">
        <v>20250608</v>
      </c>
      <c r="C735" t="s">
        <v>32</v>
      </c>
      <c r="D735" t="s">
        <v>33</v>
      </c>
      <c r="E735" t="s">
        <v>46</v>
      </c>
      <c r="F735">
        <v>18384</v>
      </c>
      <c r="G735">
        <v>20788</v>
      </c>
      <c r="H735">
        <v>1551</v>
      </c>
      <c r="I735">
        <v>49</v>
      </c>
      <c r="J735">
        <v>173</v>
      </c>
      <c r="K735">
        <v>53</v>
      </c>
      <c r="L735">
        <v>6797</v>
      </c>
      <c r="M735">
        <v>226</v>
      </c>
      <c r="N735" s="1">
        <v>0.69791666666666663</v>
      </c>
      <c r="O735" t="s">
        <v>23</v>
      </c>
    </row>
    <row r="736" spans="1:15" x14ac:dyDescent="0.3">
      <c r="A736" t="s">
        <v>776</v>
      </c>
      <c r="B736">
        <v>20250511</v>
      </c>
      <c r="C736" t="s">
        <v>44</v>
      </c>
      <c r="D736" t="s">
        <v>17</v>
      </c>
      <c r="E736" t="s">
        <v>18</v>
      </c>
      <c r="F736">
        <v>52152</v>
      </c>
      <c r="G736">
        <v>73486</v>
      </c>
      <c r="H736">
        <v>4897</v>
      </c>
      <c r="I736">
        <v>435</v>
      </c>
      <c r="J736">
        <v>324</v>
      </c>
      <c r="K736">
        <v>634</v>
      </c>
      <c r="L736">
        <v>0</v>
      </c>
      <c r="M736">
        <v>124</v>
      </c>
      <c r="N736" s="1">
        <v>0.78125</v>
      </c>
      <c r="O736" t="s">
        <v>34</v>
      </c>
    </row>
    <row r="737" spans="1:15" x14ac:dyDescent="0.3">
      <c r="A737" t="s">
        <v>777</v>
      </c>
      <c r="B737">
        <v>20260220</v>
      </c>
      <c r="C737" t="s">
        <v>16</v>
      </c>
      <c r="D737" t="s">
        <v>36</v>
      </c>
      <c r="E737" t="s">
        <v>41</v>
      </c>
      <c r="F737">
        <v>73672</v>
      </c>
      <c r="G737">
        <v>92399</v>
      </c>
      <c r="H737">
        <v>5504</v>
      </c>
      <c r="I737">
        <v>495</v>
      </c>
      <c r="J737">
        <v>203</v>
      </c>
      <c r="K737">
        <v>748</v>
      </c>
      <c r="L737">
        <v>36400</v>
      </c>
      <c r="M737">
        <v>1041</v>
      </c>
      <c r="N737" s="1">
        <v>0.89583333333333337</v>
      </c>
      <c r="O737" t="s">
        <v>34</v>
      </c>
    </row>
    <row r="738" spans="1:15" x14ac:dyDescent="0.3">
      <c r="A738" t="s">
        <v>778</v>
      </c>
      <c r="B738">
        <v>20260528</v>
      </c>
      <c r="C738" t="s">
        <v>16</v>
      </c>
      <c r="D738" t="s">
        <v>61</v>
      </c>
      <c r="E738" t="s">
        <v>22</v>
      </c>
      <c r="F738">
        <v>19099</v>
      </c>
      <c r="G738">
        <v>30000</v>
      </c>
      <c r="H738">
        <v>1423</v>
      </c>
      <c r="I738">
        <v>71</v>
      </c>
      <c r="J738">
        <v>140</v>
      </c>
      <c r="K738">
        <v>195</v>
      </c>
      <c r="L738">
        <v>0</v>
      </c>
      <c r="M738">
        <v>178</v>
      </c>
      <c r="N738" s="1">
        <v>0.46875</v>
      </c>
      <c r="O738" t="s">
        <v>42</v>
      </c>
    </row>
    <row r="739" spans="1:15" x14ac:dyDescent="0.3">
      <c r="A739" t="s">
        <v>779</v>
      </c>
      <c r="B739">
        <v>20250523</v>
      </c>
      <c r="C739" t="s">
        <v>44</v>
      </c>
      <c r="D739" t="s">
        <v>36</v>
      </c>
      <c r="E739" t="s">
        <v>51</v>
      </c>
      <c r="F739">
        <v>48499</v>
      </c>
      <c r="G739">
        <v>66614</v>
      </c>
      <c r="H739">
        <v>4384</v>
      </c>
      <c r="I739">
        <v>182</v>
      </c>
      <c r="J739">
        <v>863</v>
      </c>
      <c r="K739">
        <v>399</v>
      </c>
      <c r="L739">
        <v>0</v>
      </c>
      <c r="M739">
        <v>485</v>
      </c>
      <c r="N739" s="1">
        <v>0.44791666666666669</v>
      </c>
      <c r="O739" t="s">
        <v>30</v>
      </c>
    </row>
    <row r="740" spans="1:15" x14ac:dyDescent="0.3">
      <c r="A740" t="s">
        <v>780</v>
      </c>
      <c r="B740">
        <v>20260311</v>
      </c>
      <c r="C740" t="s">
        <v>40</v>
      </c>
      <c r="E740" t="s">
        <v>26</v>
      </c>
      <c r="F740">
        <v>6733</v>
      </c>
      <c r="G740">
        <v>9996</v>
      </c>
      <c r="H740">
        <v>677</v>
      </c>
      <c r="I740">
        <v>27</v>
      </c>
      <c r="J740">
        <v>92</v>
      </c>
      <c r="K740">
        <v>104</v>
      </c>
      <c r="L740">
        <v>4341</v>
      </c>
      <c r="M740">
        <v>88</v>
      </c>
      <c r="N740" s="1">
        <v>0.375</v>
      </c>
      <c r="O740" t="s">
        <v>30</v>
      </c>
    </row>
    <row r="741" spans="1:15" x14ac:dyDescent="0.3">
      <c r="A741" t="s">
        <v>781</v>
      </c>
      <c r="B741">
        <v>20250216</v>
      </c>
      <c r="C741" t="s">
        <v>25</v>
      </c>
      <c r="D741" t="s">
        <v>29</v>
      </c>
      <c r="E741" t="s">
        <v>51</v>
      </c>
      <c r="F741">
        <v>8985</v>
      </c>
      <c r="G741">
        <v>11086</v>
      </c>
      <c r="H741">
        <v>572</v>
      </c>
      <c r="I741">
        <v>50</v>
      </c>
      <c r="J741">
        <v>100</v>
      </c>
      <c r="K741">
        <v>44</v>
      </c>
      <c r="L741">
        <v>0</v>
      </c>
      <c r="M741">
        <v>52</v>
      </c>
      <c r="N741" s="1">
        <v>0.625</v>
      </c>
      <c r="O741" t="s">
        <v>49</v>
      </c>
    </row>
    <row r="742" spans="1:15" x14ac:dyDescent="0.3">
      <c r="A742" t="s">
        <v>782</v>
      </c>
      <c r="B742">
        <v>20260224</v>
      </c>
      <c r="C742" t="s">
        <v>25</v>
      </c>
      <c r="D742" t="s">
        <v>36</v>
      </c>
      <c r="E742" t="s">
        <v>18</v>
      </c>
      <c r="F742">
        <v>13578</v>
      </c>
      <c r="G742">
        <v>15842</v>
      </c>
      <c r="H742">
        <v>1182</v>
      </c>
      <c r="I742">
        <v>97</v>
      </c>
      <c r="J742">
        <v>172</v>
      </c>
      <c r="K742">
        <v>104</v>
      </c>
      <c r="L742">
        <v>0</v>
      </c>
      <c r="M742">
        <v>49</v>
      </c>
      <c r="N742" s="1">
        <v>0.29166666666666669</v>
      </c>
      <c r="O742" t="s">
        <v>27</v>
      </c>
    </row>
    <row r="743" spans="1:15" x14ac:dyDescent="0.3">
      <c r="A743" t="s">
        <v>783</v>
      </c>
      <c r="B743">
        <v>20260610</v>
      </c>
      <c r="C743" t="s">
        <v>44</v>
      </c>
      <c r="D743" t="s">
        <v>68</v>
      </c>
      <c r="E743" t="s">
        <v>51</v>
      </c>
      <c r="F743">
        <v>60055</v>
      </c>
      <c r="G743">
        <v>93769</v>
      </c>
      <c r="H743">
        <v>3673</v>
      </c>
      <c r="I743">
        <v>499</v>
      </c>
      <c r="J743">
        <v>660</v>
      </c>
      <c r="K743">
        <v>406</v>
      </c>
      <c r="L743">
        <v>0</v>
      </c>
      <c r="M743">
        <v>460</v>
      </c>
      <c r="N743" s="1">
        <v>0.35416666666666669</v>
      </c>
      <c r="O743" t="s">
        <v>42</v>
      </c>
    </row>
    <row r="744" spans="1:15" x14ac:dyDescent="0.3">
      <c r="A744" t="s">
        <v>784</v>
      </c>
      <c r="B744">
        <v>20250304</v>
      </c>
      <c r="C744" t="s">
        <v>25</v>
      </c>
      <c r="D744" t="s">
        <v>68</v>
      </c>
      <c r="E744" t="s">
        <v>26</v>
      </c>
      <c r="F744">
        <v>6813</v>
      </c>
      <c r="G744">
        <v>8769</v>
      </c>
      <c r="H744">
        <v>549</v>
      </c>
      <c r="I744">
        <v>52</v>
      </c>
      <c r="J744">
        <v>87</v>
      </c>
      <c r="K744">
        <v>73</v>
      </c>
      <c r="L744">
        <v>2835</v>
      </c>
      <c r="M744">
        <v>48</v>
      </c>
      <c r="N744" s="1">
        <v>0.33333333333333331</v>
      </c>
      <c r="O744" t="s">
        <v>53</v>
      </c>
    </row>
    <row r="745" spans="1:15" x14ac:dyDescent="0.3">
      <c r="A745" t="s">
        <v>785</v>
      </c>
      <c r="B745">
        <v>20250115</v>
      </c>
      <c r="C745" t="s">
        <v>16</v>
      </c>
      <c r="D745" t="s">
        <v>21</v>
      </c>
      <c r="E745" t="s">
        <v>18</v>
      </c>
      <c r="F745">
        <v>36671</v>
      </c>
      <c r="G745">
        <v>47558</v>
      </c>
      <c r="H745">
        <v>1174</v>
      </c>
      <c r="I745">
        <v>144</v>
      </c>
      <c r="J745">
        <v>209</v>
      </c>
      <c r="K745">
        <v>35</v>
      </c>
      <c r="L745">
        <v>0</v>
      </c>
      <c r="M745">
        <v>217</v>
      </c>
      <c r="N745" s="1">
        <v>0.77083333333333337</v>
      </c>
      <c r="O745" t="s">
        <v>49</v>
      </c>
    </row>
    <row r="746" spans="1:15" x14ac:dyDescent="0.3">
      <c r="A746" t="s">
        <v>786</v>
      </c>
      <c r="B746">
        <v>20260331</v>
      </c>
      <c r="C746" t="s">
        <v>16</v>
      </c>
      <c r="D746" t="s">
        <v>61</v>
      </c>
      <c r="E746" t="s">
        <v>22</v>
      </c>
      <c r="F746">
        <v>21267</v>
      </c>
      <c r="G746">
        <v>28278</v>
      </c>
      <c r="H746">
        <v>2475</v>
      </c>
      <c r="I746">
        <v>344</v>
      </c>
      <c r="J746">
        <v>235</v>
      </c>
      <c r="K746">
        <v>325</v>
      </c>
      <c r="L746">
        <v>0</v>
      </c>
      <c r="M746">
        <v>297</v>
      </c>
      <c r="N746" s="1">
        <v>0.63541666666666663</v>
      </c>
      <c r="O746" t="s">
        <v>38</v>
      </c>
    </row>
    <row r="747" spans="1:15" x14ac:dyDescent="0.3">
      <c r="A747" t="s">
        <v>787</v>
      </c>
      <c r="B747">
        <v>20260311</v>
      </c>
      <c r="C747" t="s">
        <v>32</v>
      </c>
      <c r="E747" t="s">
        <v>26</v>
      </c>
      <c r="F747">
        <v>6653</v>
      </c>
      <c r="G747">
        <v>7596</v>
      </c>
      <c r="H747">
        <v>388</v>
      </c>
      <c r="I747">
        <v>10</v>
      </c>
      <c r="J747">
        <v>74</v>
      </c>
      <c r="K747">
        <v>38</v>
      </c>
      <c r="L747">
        <v>3585</v>
      </c>
      <c r="M747">
        <v>30</v>
      </c>
      <c r="N747" s="1">
        <v>0.71875</v>
      </c>
      <c r="O747" t="s">
        <v>19</v>
      </c>
    </row>
    <row r="748" spans="1:15" x14ac:dyDescent="0.3">
      <c r="A748" t="s">
        <v>788</v>
      </c>
      <c r="B748">
        <v>20251028</v>
      </c>
      <c r="C748" t="s">
        <v>32</v>
      </c>
      <c r="D748" t="s">
        <v>17</v>
      </c>
      <c r="E748" t="s">
        <v>41</v>
      </c>
      <c r="F748">
        <v>9081</v>
      </c>
      <c r="G748">
        <v>14140</v>
      </c>
      <c r="H748">
        <v>238</v>
      </c>
      <c r="I748">
        <v>24</v>
      </c>
      <c r="J748">
        <v>7</v>
      </c>
      <c r="K748">
        <v>10</v>
      </c>
      <c r="L748">
        <v>5066</v>
      </c>
      <c r="M748">
        <v>105</v>
      </c>
      <c r="N748" s="1">
        <v>0.32291666666666669</v>
      </c>
      <c r="O748" t="s">
        <v>27</v>
      </c>
    </row>
    <row r="749" spans="1:15" x14ac:dyDescent="0.3">
      <c r="A749" t="s">
        <v>789</v>
      </c>
      <c r="B749">
        <v>20260111</v>
      </c>
      <c r="C749" t="s">
        <v>16</v>
      </c>
      <c r="D749" t="s">
        <v>21</v>
      </c>
      <c r="E749" t="s">
        <v>51</v>
      </c>
      <c r="F749">
        <v>15999</v>
      </c>
      <c r="G749">
        <v>24461</v>
      </c>
      <c r="H749">
        <v>1200</v>
      </c>
      <c r="I749">
        <v>151</v>
      </c>
      <c r="J749">
        <v>95</v>
      </c>
      <c r="K749">
        <v>177</v>
      </c>
      <c r="L749">
        <v>0</v>
      </c>
      <c r="M749">
        <v>64</v>
      </c>
      <c r="N749" s="1">
        <v>0.69791666666666663</v>
      </c>
      <c r="O749" t="s">
        <v>19</v>
      </c>
    </row>
    <row r="750" spans="1:15" x14ac:dyDescent="0.3">
      <c r="A750" t="s">
        <v>790</v>
      </c>
      <c r="B750">
        <v>20250531</v>
      </c>
      <c r="C750" t="s">
        <v>44</v>
      </c>
      <c r="E750" t="s">
        <v>26</v>
      </c>
      <c r="F750">
        <v>45630</v>
      </c>
      <c r="G750">
        <v>66473</v>
      </c>
      <c r="H750">
        <v>3883</v>
      </c>
      <c r="I750">
        <v>290</v>
      </c>
      <c r="J750">
        <v>389</v>
      </c>
      <c r="K750">
        <v>147</v>
      </c>
      <c r="L750">
        <v>21634</v>
      </c>
      <c r="M750">
        <v>704</v>
      </c>
      <c r="N750" s="1">
        <v>0.29166666666666669</v>
      </c>
      <c r="O750" t="s">
        <v>27</v>
      </c>
    </row>
    <row r="751" spans="1:15" x14ac:dyDescent="0.3">
      <c r="A751" t="s">
        <v>791</v>
      </c>
      <c r="B751">
        <v>20260330</v>
      </c>
      <c r="C751" t="s">
        <v>44</v>
      </c>
      <c r="D751" t="s">
        <v>61</v>
      </c>
      <c r="E751" t="s">
        <v>22</v>
      </c>
      <c r="F751">
        <v>49280</v>
      </c>
      <c r="G751">
        <v>64865</v>
      </c>
      <c r="H751">
        <v>2869</v>
      </c>
      <c r="I751">
        <v>232</v>
      </c>
      <c r="J751">
        <v>475</v>
      </c>
      <c r="K751">
        <v>397</v>
      </c>
      <c r="M751">
        <v>265</v>
      </c>
      <c r="N751" s="1">
        <v>0.42708333333333331</v>
      </c>
      <c r="O751" t="s">
        <v>23</v>
      </c>
    </row>
    <row r="752" spans="1:15" x14ac:dyDescent="0.3">
      <c r="A752" t="s">
        <v>792</v>
      </c>
      <c r="B752">
        <v>20260122</v>
      </c>
      <c r="C752" t="s">
        <v>25</v>
      </c>
      <c r="D752" t="s">
        <v>36</v>
      </c>
      <c r="E752" t="s">
        <v>46</v>
      </c>
      <c r="F752">
        <v>7760</v>
      </c>
      <c r="G752">
        <v>10038</v>
      </c>
      <c r="H752">
        <v>690</v>
      </c>
      <c r="I752">
        <v>55</v>
      </c>
      <c r="J752">
        <v>88</v>
      </c>
      <c r="K752">
        <v>74</v>
      </c>
      <c r="L752">
        <v>6312</v>
      </c>
      <c r="M752">
        <v>45</v>
      </c>
      <c r="N752" s="1">
        <v>0.57291666666666663</v>
      </c>
      <c r="O752" t="s">
        <v>30</v>
      </c>
    </row>
    <row r="753" spans="1:15" x14ac:dyDescent="0.3">
      <c r="A753" t="s">
        <v>793</v>
      </c>
      <c r="B753">
        <v>20260608</v>
      </c>
      <c r="C753" t="s">
        <v>40</v>
      </c>
      <c r="D753" t="s">
        <v>36</v>
      </c>
      <c r="E753" t="s">
        <v>46</v>
      </c>
      <c r="F753">
        <v>11115</v>
      </c>
      <c r="G753">
        <v>12068</v>
      </c>
      <c r="H753">
        <v>561</v>
      </c>
      <c r="I753">
        <v>75</v>
      </c>
      <c r="J753">
        <v>89</v>
      </c>
      <c r="K753">
        <v>61</v>
      </c>
      <c r="L753">
        <v>9962</v>
      </c>
      <c r="M753">
        <v>178</v>
      </c>
      <c r="N753" s="1">
        <v>0.58333333333333337</v>
      </c>
      <c r="O753" t="s">
        <v>27</v>
      </c>
    </row>
    <row r="754" spans="1:15" x14ac:dyDescent="0.3">
      <c r="A754" t="s">
        <v>794</v>
      </c>
      <c r="B754">
        <v>20260812</v>
      </c>
      <c r="C754" t="s">
        <v>40</v>
      </c>
      <c r="D754" t="s">
        <v>61</v>
      </c>
      <c r="E754" t="s">
        <v>41</v>
      </c>
      <c r="F754">
        <v>31124</v>
      </c>
      <c r="G754">
        <v>48727</v>
      </c>
      <c r="H754">
        <v>3298</v>
      </c>
      <c r="I754">
        <v>216</v>
      </c>
      <c r="J754">
        <v>138</v>
      </c>
      <c r="K754">
        <v>117</v>
      </c>
      <c r="L754">
        <v>23838</v>
      </c>
      <c r="M754">
        <v>358</v>
      </c>
      <c r="N754" s="1">
        <v>0.65625</v>
      </c>
      <c r="O754" t="s">
        <v>49</v>
      </c>
    </row>
    <row r="755" spans="1:15" x14ac:dyDescent="0.3">
      <c r="A755" t="s">
        <v>795</v>
      </c>
      <c r="B755">
        <v>20251208</v>
      </c>
      <c r="C755" t="s">
        <v>16</v>
      </c>
      <c r="D755" t="s">
        <v>21</v>
      </c>
      <c r="E755" t="s">
        <v>46</v>
      </c>
      <c r="F755">
        <v>62828</v>
      </c>
      <c r="G755">
        <v>67418</v>
      </c>
      <c r="H755">
        <v>5516</v>
      </c>
      <c r="I755">
        <v>157</v>
      </c>
      <c r="J755">
        <v>495</v>
      </c>
      <c r="K755">
        <v>768</v>
      </c>
      <c r="L755">
        <v>43451</v>
      </c>
      <c r="M755">
        <v>341</v>
      </c>
      <c r="N755" s="1">
        <v>0.48958333333333331</v>
      </c>
      <c r="O755" t="s">
        <v>19</v>
      </c>
    </row>
    <row r="756" spans="1:15" x14ac:dyDescent="0.3">
      <c r="A756" t="s">
        <v>796</v>
      </c>
      <c r="B756">
        <v>20251229</v>
      </c>
      <c r="C756" t="s">
        <v>32</v>
      </c>
      <c r="D756" t="s">
        <v>36</v>
      </c>
      <c r="E756" t="s">
        <v>51</v>
      </c>
      <c r="F756">
        <v>6557</v>
      </c>
      <c r="G756">
        <v>10719</v>
      </c>
      <c r="H756">
        <v>282</v>
      </c>
      <c r="I756">
        <v>8</v>
      </c>
      <c r="J756">
        <v>10</v>
      </c>
      <c r="K756">
        <v>22</v>
      </c>
      <c r="L756">
        <v>0</v>
      </c>
      <c r="M756">
        <v>87</v>
      </c>
      <c r="N756" s="1">
        <v>0.71875</v>
      </c>
      <c r="O756" t="s">
        <v>27</v>
      </c>
    </row>
    <row r="757" spans="1:15" x14ac:dyDescent="0.3">
      <c r="A757" t="s">
        <v>797</v>
      </c>
      <c r="B757">
        <v>20250805</v>
      </c>
      <c r="C757" t="s">
        <v>40</v>
      </c>
      <c r="D757" t="s">
        <v>29</v>
      </c>
      <c r="E757" t="s">
        <v>18</v>
      </c>
      <c r="F757">
        <v>33513</v>
      </c>
      <c r="G757">
        <v>52284</v>
      </c>
      <c r="H757">
        <v>3323</v>
      </c>
      <c r="I757">
        <v>113</v>
      </c>
      <c r="J757">
        <v>336</v>
      </c>
      <c r="K757">
        <v>90</v>
      </c>
      <c r="L757">
        <v>0</v>
      </c>
      <c r="M757">
        <v>540</v>
      </c>
      <c r="N757" s="1">
        <v>0.65625</v>
      </c>
      <c r="O757" t="s">
        <v>42</v>
      </c>
    </row>
    <row r="758" spans="1:15" x14ac:dyDescent="0.3">
      <c r="A758" t="s">
        <v>798</v>
      </c>
      <c r="B758">
        <v>20250930</v>
      </c>
      <c r="C758" t="s">
        <v>16</v>
      </c>
      <c r="D758" t="s">
        <v>17</v>
      </c>
      <c r="E758" t="s">
        <v>18</v>
      </c>
      <c r="F758">
        <v>28091</v>
      </c>
      <c r="G758">
        <v>29837</v>
      </c>
      <c r="H758">
        <v>2637</v>
      </c>
      <c r="I758">
        <v>291</v>
      </c>
      <c r="J758">
        <v>373</v>
      </c>
      <c r="K758">
        <v>318</v>
      </c>
      <c r="L758">
        <v>0</v>
      </c>
      <c r="M758">
        <v>413</v>
      </c>
      <c r="N758" s="1">
        <v>0.34375</v>
      </c>
      <c r="O758" t="s">
        <v>42</v>
      </c>
    </row>
    <row r="759" spans="1:15" x14ac:dyDescent="0.3">
      <c r="A759" t="s">
        <v>799</v>
      </c>
      <c r="B759">
        <v>20260622</v>
      </c>
      <c r="C759" t="s">
        <v>25</v>
      </c>
      <c r="D759" t="s">
        <v>21</v>
      </c>
      <c r="E759" t="s">
        <v>51</v>
      </c>
      <c r="F759">
        <v>15853</v>
      </c>
      <c r="G759">
        <v>23292</v>
      </c>
      <c r="H759">
        <v>805</v>
      </c>
      <c r="I759">
        <v>40</v>
      </c>
      <c r="J759">
        <v>84</v>
      </c>
      <c r="K759">
        <v>57</v>
      </c>
      <c r="L759">
        <v>0</v>
      </c>
      <c r="M759">
        <v>145</v>
      </c>
      <c r="N759" s="1">
        <v>0.5625</v>
      </c>
      <c r="O759" t="s">
        <v>49</v>
      </c>
    </row>
    <row r="760" spans="1:15" x14ac:dyDescent="0.3">
      <c r="A760" t="s">
        <v>800</v>
      </c>
      <c r="B760">
        <v>20251208</v>
      </c>
      <c r="C760" t="s">
        <v>25</v>
      </c>
      <c r="D760" t="s">
        <v>21</v>
      </c>
      <c r="E760" t="s">
        <v>18</v>
      </c>
      <c r="F760">
        <v>14827</v>
      </c>
      <c r="G760">
        <v>23920</v>
      </c>
      <c r="H760">
        <v>1448</v>
      </c>
      <c r="I760">
        <v>160</v>
      </c>
      <c r="J760">
        <v>244</v>
      </c>
      <c r="K760">
        <v>140</v>
      </c>
      <c r="L760">
        <v>0</v>
      </c>
      <c r="M760">
        <v>125</v>
      </c>
      <c r="N760" s="1">
        <v>0.89583333333333337</v>
      </c>
      <c r="O760" t="s">
        <v>34</v>
      </c>
    </row>
    <row r="761" spans="1:15" x14ac:dyDescent="0.3">
      <c r="A761" t="s">
        <v>801</v>
      </c>
      <c r="B761">
        <v>20251014</v>
      </c>
      <c r="C761" t="s">
        <v>16</v>
      </c>
      <c r="D761" t="s">
        <v>68</v>
      </c>
      <c r="E761" t="s">
        <v>51</v>
      </c>
      <c r="F761">
        <v>31540</v>
      </c>
      <c r="G761">
        <v>35829</v>
      </c>
      <c r="H761">
        <v>1694</v>
      </c>
      <c r="I761">
        <v>140</v>
      </c>
      <c r="J761">
        <v>63</v>
      </c>
      <c r="K761">
        <v>258</v>
      </c>
      <c r="L761">
        <v>0</v>
      </c>
      <c r="M761">
        <v>326</v>
      </c>
      <c r="N761" s="1">
        <v>0.55208333333333337</v>
      </c>
      <c r="O761" t="s">
        <v>19</v>
      </c>
    </row>
    <row r="762" spans="1:15" x14ac:dyDescent="0.3">
      <c r="A762" t="s">
        <v>802</v>
      </c>
      <c r="B762">
        <v>20251230</v>
      </c>
      <c r="C762" t="s">
        <v>44</v>
      </c>
      <c r="D762" t="s">
        <v>33</v>
      </c>
      <c r="E762" t="s">
        <v>18</v>
      </c>
      <c r="F762">
        <v>13498</v>
      </c>
      <c r="G762">
        <v>21167</v>
      </c>
      <c r="H762">
        <v>520</v>
      </c>
      <c r="I762">
        <v>57</v>
      </c>
      <c r="J762">
        <v>42</v>
      </c>
      <c r="K762">
        <v>82</v>
      </c>
      <c r="L762">
        <v>0</v>
      </c>
      <c r="M762">
        <v>194</v>
      </c>
      <c r="N762" s="1">
        <v>0.83333333333333337</v>
      </c>
      <c r="O762" t="s">
        <v>49</v>
      </c>
    </row>
    <row r="763" spans="1:15" x14ac:dyDescent="0.3">
      <c r="A763" t="s">
        <v>803</v>
      </c>
      <c r="B763">
        <v>20250623</v>
      </c>
      <c r="C763" t="s">
        <v>32</v>
      </c>
      <c r="D763" t="s">
        <v>17</v>
      </c>
      <c r="E763" t="s">
        <v>18</v>
      </c>
      <c r="F763">
        <v>2649</v>
      </c>
      <c r="G763">
        <v>4255</v>
      </c>
      <c r="H763">
        <v>119</v>
      </c>
      <c r="I763">
        <v>4</v>
      </c>
      <c r="J763">
        <v>11</v>
      </c>
      <c r="K763">
        <v>12</v>
      </c>
      <c r="L763">
        <v>0</v>
      </c>
      <c r="M763">
        <v>16</v>
      </c>
      <c r="N763" s="1">
        <v>0.72916666666666663</v>
      </c>
      <c r="O763" t="s">
        <v>34</v>
      </c>
    </row>
    <row r="764" spans="1:15" x14ac:dyDescent="0.3">
      <c r="A764" t="s">
        <v>804</v>
      </c>
      <c r="B764">
        <v>20250428</v>
      </c>
      <c r="C764" t="s">
        <v>16</v>
      </c>
      <c r="D764" t="s">
        <v>17</v>
      </c>
      <c r="E764" t="s">
        <v>41</v>
      </c>
      <c r="F764">
        <v>46249</v>
      </c>
      <c r="G764">
        <v>50423</v>
      </c>
      <c r="H764">
        <v>1541</v>
      </c>
      <c r="I764">
        <v>92</v>
      </c>
      <c r="J764">
        <v>238</v>
      </c>
      <c r="K764">
        <v>168</v>
      </c>
      <c r="L764">
        <v>36819</v>
      </c>
      <c r="M764">
        <v>808</v>
      </c>
      <c r="N764" s="1">
        <v>0.48958333333333331</v>
      </c>
      <c r="O764" t="s">
        <v>30</v>
      </c>
    </row>
    <row r="765" spans="1:15" x14ac:dyDescent="0.3">
      <c r="A765" t="s">
        <v>805</v>
      </c>
      <c r="B765">
        <v>20250430</v>
      </c>
      <c r="C765" t="s">
        <v>16</v>
      </c>
      <c r="D765" t="s">
        <v>17</v>
      </c>
      <c r="E765" t="s">
        <v>46</v>
      </c>
      <c r="F765">
        <v>9434</v>
      </c>
      <c r="G765">
        <v>11306</v>
      </c>
      <c r="H765">
        <v>402</v>
      </c>
      <c r="I765">
        <v>52</v>
      </c>
      <c r="J765">
        <v>38</v>
      </c>
      <c r="K765">
        <v>59</v>
      </c>
      <c r="L765">
        <v>6445</v>
      </c>
      <c r="M765">
        <v>36</v>
      </c>
      <c r="N765" s="1">
        <v>0.60416666666666663</v>
      </c>
      <c r="O765" t="s">
        <v>30</v>
      </c>
    </row>
    <row r="766" spans="1:15" x14ac:dyDescent="0.3">
      <c r="A766" t="s">
        <v>806</v>
      </c>
      <c r="B766">
        <v>20250126</v>
      </c>
      <c r="C766" t="s">
        <v>25</v>
      </c>
      <c r="D766" t="s">
        <v>17</v>
      </c>
      <c r="E766" t="s">
        <v>46</v>
      </c>
      <c r="F766">
        <v>28460</v>
      </c>
      <c r="G766">
        <v>43319</v>
      </c>
      <c r="H766">
        <v>1710</v>
      </c>
      <c r="I766">
        <v>188</v>
      </c>
      <c r="J766">
        <v>99</v>
      </c>
      <c r="K766">
        <v>198</v>
      </c>
      <c r="L766">
        <v>19469</v>
      </c>
      <c r="M766">
        <v>410</v>
      </c>
      <c r="N766" s="1">
        <v>0.44791666666666669</v>
      </c>
      <c r="O766" t="s">
        <v>49</v>
      </c>
    </row>
    <row r="767" spans="1:15" x14ac:dyDescent="0.3">
      <c r="A767" t="s">
        <v>807</v>
      </c>
      <c r="B767">
        <v>20260610</v>
      </c>
      <c r="C767" t="s">
        <v>16</v>
      </c>
      <c r="D767" t="s">
        <v>33</v>
      </c>
      <c r="E767" t="s">
        <v>51</v>
      </c>
      <c r="F767">
        <v>39885</v>
      </c>
      <c r="G767">
        <v>42683</v>
      </c>
      <c r="H767">
        <v>4021</v>
      </c>
      <c r="I767">
        <v>350</v>
      </c>
      <c r="J767">
        <v>771</v>
      </c>
      <c r="K767">
        <v>479</v>
      </c>
      <c r="L767">
        <v>0</v>
      </c>
      <c r="M767">
        <v>449</v>
      </c>
      <c r="N767" s="1">
        <v>0.88541666666666663</v>
      </c>
      <c r="O767" t="s">
        <v>53</v>
      </c>
    </row>
    <row r="768" spans="1:15" x14ac:dyDescent="0.3">
      <c r="A768" t="s">
        <v>808</v>
      </c>
      <c r="B768">
        <v>20250524</v>
      </c>
      <c r="C768" t="s">
        <v>40</v>
      </c>
      <c r="D768" t="s">
        <v>29</v>
      </c>
      <c r="E768" t="s">
        <v>46</v>
      </c>
      <c r="F768">
        <v>10757</v>
      </c>
      <c r="G768">
        <v>15682</v>
      </c>
      <c r="H768">
        <v>1205</v>
      </c>
      <c r="I768">
        <v>105</v>
      </c>
      <c r="J768">
        <v>171</v>
      </c>
      <c r="K768">
        <v>69</v>
      </c>
      <c r="L768">
        <v>7150</v>
      </c>
      <c r="M768">
        <v>63</v>
      </c>
      <c r="N768" s="1">
        <v>0.46875</v>
      </c>
      <c r="O768" t="s">
        <v>49</v>
      </c>
    </row>
    <row r="769" spans="1:15" x14ac:dyDescent="0.3">
      <c r="A769" t="s">
        <v>809</v>
      </c>
      <c r="B769">
        <v>20251130</v>
      </c>
      <c r="C769" t="s">
        <v>25</v>
      </c>
      <c r="D769" t="s">
        <v>68</v>
      </c>
      <c r="E769" t="s">
        <v>26</v>
      </c>
      <c r="F769">
        <v>12700</v>
      </c>
      <c r="G769">
        <v>15017</v>
      </c>
      <c r="H769">
        <v>630</v>
      </c>
      <c r="I769">
        <v>88</v>
      </c>
      <c r="J769">
        <v>110</v>
      </c>
      <c r="K769">
        <v>38</v>
      </c>
      <c r="L769">
        <v>8914</v>
      </c>
      <c r="M769">
        <v>163</v>
      </c>
      <c r="N769" s="1">
        <v>0.6875</v>
      </c>
      <c r="O769" t="s">
        <v>47</v>
      </c>
    </row>
    <row r="770" spans="1:15" x14ac:dyDescent="0.3">
      <c r="A770" t="s">
        <v>810</v>
      </c>
      <c r="B770">
        <v>20260317</v>
      </c>
      <c r="C770" t="s">
        <v>44</v>
      </c>
      <c r="D770" t="s">
        <v>21</v>
      </c>
      <c r="E770" t="s">
        <v>51</v>
      </c>
      <c r="F770">
        <v>36173</v>
      </c>
      <c r="G770">
        <v>53624</v>
      </c>
      <c r="H770">
        <v>2878</v>
      </c>
      <c r="I770">
        <v>284</v>
      </c>
      <c r="J770">
        <v>204</v>
      </c>
      <c r="K770">
        <v>152</v>
      </c>
      <c r="L770">
        <v>0</v>
      </c>
      <c r="M770">
        <v>147</v>
      </c>
      <c r="N770" s="1">
        <v>0.82291666666666663</v>
      </c>
      <c r="O770" t="s">
        <v>27</v>
      </c>
    </row>
    <row r="771" spans="1:15" x14ac:dyDescent="0.3">
      <c r="A771" t="s">
        <v>811</v>
      </c>
      <c r="B771">
        <v>20260201</v>
      </c>
      <c r="C771" t="s">
        <v>32</v>
      </c>
      <c r="D771" t="s">
        <v>36</v>
      </c>
      <c r="E771" t="s">
        <v>26</v>
      </c>
      <c r="F771">
        <v>7002</v>
      </c>
      <c r="G771">
        <v>8622</v>
      </c>
      <c r="H771">
        <v>204</v>
      </c>
      <c r="I771">
        <v>12</v>
      </c>
      <c r="K771">
        <v>17</v>
      </c>
      <c r="L771">
        <v>2837</v>
      </c>
      <c r="M771">
        <v>52</v>
      </c>
      <c r="N771" s="1">
        <v>0.80208333333333337</v>
      </c>
      <c r="O771" t="s">
        <v>30</v>
      </c>
    </row>
    <row r="772" spans="1:15" x14ac:dyDescent="0.3">
      <c r="A772" t="s">
        <v>812</v>
      </c>
      <c r="B772">
        <v>20260224</v>
      </c>
      <c r="C772" t="s">
        <v>40</v>
      </c>
      <c r="D772" t="s">
        <v>17</v>
      </c>
      <c r="E772" t="s">
        <v>41</v>
      </c>
      <c r="F772">
        <v>17376</v>
      </c>
      <c r="G772">
        <v>24135</v>
      </c>
      <c r="H772">
        <v>1325</v>
      </c>
      <c r="I772">
        <v>174</v>
      </c>
      <c r="J772">
        <v>101</v>
      </c>
      <c r="K772">
        <v>49</v>
      </c>
      <c r="L772">
        <v>7860</v>
      </c>
      <c r="M772">
        <v>99</v>
      </c>
      <c r="N772" s="1">
        <v>0.9375</v>
      </c>
      <c r="O772" t="s">
        <v>53</v>
      </c>
    </row>
    <row r="773" spans="1:15" x14ac:dyDescent="0.3">
      <c r="A773" t="s">
        <v>813</v>
      </c>
      <c r="B773">
        <v>20250818</v>
      </c>
      <c r="C773" t="s">
        <v>44</v>
      </c>
      <c r="D773" t="s">
        <v>21</v>
      </c>
      <c r="E773" t="s">
        <v>41</v>
      </c>
      <c r="F773">
        <v>62984</v>
      </c>
      <c r="G773">
        <v>71454</v>
      </c>
      <c r="H773">
        <v>3027</v>
      </c>
      <c r="I773">
        <v>257</v>
      </c>
      <c r="J773">
        <v>261</v>
      </c>
      <c r="K773">
        <v>333</v>
      </c>
      <c r="L773">
        <v>31207</v>
      </c>
      <c r="M773">
        <v>142</v>
      </c>
      <c r="N773" s="1">
        <v>0.40625</v>
      </c>
      <c r="O773" t="s">
        <v>38</v>
      </c>
    </row>
    <row r="774" spans="1:15" x14ac:dyDescent="0.3">
      <c r="A774" t="s">
        <v>814</v>
      </c>
      <c r="B774">
        <v>20260806</v>
      </c>
      <c r="C774" t="s">
        <v>32</v>
      </c>
      <c r="D774" t="s">
        <v>68</v>
      </c>
      <c r="E774" t="s">
        <v>46</v>
      </c>
      <c r="F774">
        <v>20992</v>
      </c>
      <c r="G774">
        <v>24676</v>
      </c>
      <c r="H774">
        <v>1925</v>
      </c>
      <c r="I774">
        <v>115</v>
      </c>
      <c r="J774">
        <v>269</v>
      </c>
      <c r="K774">
        <v>237</v>
      </c>
      <c r="L774">
        <v>8645</v>
      </c>
      <c r="M774">
        <v>377</v>
      </c>
      <c r="N774" s="1">
        <v>0.6875</v>
      </c>
      <c r="O774" t="s">
        <v>42</v>
      </c>
    </row>
    <row r="775" spans="1:15" x14ac:dyDescent="0.3">
      <c r="A775" t="s">
        <v>815</v>
      </c>
      <c r="B775">
        <v>20260512</v>
      </c>
      <c r="C775" t="s">
        <v>44</v>
      </c>
      <c r="D775" t="s">
        <v>29</v>
      </c>
      <c r="E775" t="s">
        <v>26</v>
      </c>
      <c r="F775">
        <v>28319</v>
      </c>
      <c r="G775">
        <v>46557</v>
      </c>
      <c r="H775">
        <v>895</v>
      </c>
      <c r="I775">
        <v>91</v>
      </c>
      <c r="J775">
        <v>65</v>
      </c>
      <c r="K775">
        <v>110</v>
      </c>
      <c r="L775">
        <v>22577</v>
      </c>
      <c r="M775">
        <v>493</v>
      </c>
      <c r="N775" s="1">
        <v>0.4375</v>
      </c>
      <c r="O775" t="s">
        <v>27</v>
      </c>
    </row>
    <row r="776" spans="1:15" x14ac:dyDescent="0.3">
      <c r="A776" t="s">
        <v>816</v>
      </c>
      <c r="B776">
        <v>20250803</v>
      </c>
      <c r="C776" t="s">
        <v>44</v>
      </c>
      <c r="D776" t="s">
        <v>33</v>
      </c>
      <c r="E776" t="s">
        <v>26</v>
      </c>
      <c r="F776">
        <v>23980</v>
      </c>
      <c r="G776">
        <v>39314</v>
      </c>
      <c r="H776">
        <v>1268</v>
      </c>
      <c r="I776">
        <v>109</v>
      </c>
      <c r="J776">
        <v>72</v>
      </c>
      <c r="K776">
        <v>40</v>
      </c>
      <c r="L776">
        <v>16275</v>
      </c>
      <c r="M776">
        <v>56</v>
      </c>
      <c r="N776" s="1">
        <v>0.83333333333333337</v>
      </c>
      <c r="O776" t="s">
        <v>23</v>
      </c>
    </row>
    <row r="777" spans="1:15" x14ac:dyDescent="0.3">
      <c r="A777" t="s">
        <v>817</v>
      </c>
      <c r="B777">
        <v>20250713</v>
      </c>
      <c r="C777" t="s">
        <v>16</v>
      </c>
      <c r="D777" t="s">
        <v>21</v>
      </c>
      <c r="E777" t="s">
        <v>18</v>
      </c>
      <c r="F777">
        <v>21595</v>
      </c>
      <c r="G777">
        <v>34619</v>
      </c>
      <c r="H777">
        <v>1681</v>
      </c>
      <c r="I777">
        <v>163</v>
      </c>
      <c r="J777">
        <v>267</v>
      </c>
      <c r="K777">
        <v>148</v>
      </c>
      <c r="L777">
        <v>0</v>
      </c>
      <c r="M777">
        <v>105</v>
      </c>
      <c r="N777" s="1">
        <v>0.38541666666666669</v>
      </c>
      <c r="O777" t="s">
        <v>47</v>
      </c>
    </row>
    <row r="778" spans="1:15" x14ac:dyDescent="0.3">
      <c r="A778" t="s">
        <v>818</v>
      </c>
      <c r="B778">
        <v>20250109</v>
      </c>
      <c r="C778" t="s">
        <v>16</v>
      </c>
      <c r="D778" t="s">
        <v>33</v>
      </c>
      <c r="E778" t="s">
        <v>46</v>
      </c>
      <c r="F778">
        <v>16843</v>
      </c>
      <c r="G778">
        <v>19568</v>
      </c>
      <c r="H778">
        <v>1107</v>
      </c>
      <c r="I778">
        <v>29</v>
      </c>
      <c r="J778">
        <v>83</v>
      </c>
      <c r="K778">
        <v>27</v>
      </c>
      <c r="L778">
        <v>6867</v>
      </c>
      <c r="M778">
        <v>48</v>
      </c>
      <c r="N778" s="1">
        <v>0.65625</v>
      </c>
      <c r="O778" t="s">
        <v>34</v>
      </c>
    </row>
    <row r="779" spans="1:15" x14ac:dyDescent="0.3">
      <c r="A779" t="s">
        <v>819</v>
      </c>
      <c r="B779">
        <v>20260627</v>
      </c>
      <c r="C779" t="s">
        <v>40</v>
      </c>
      <c r="D779" t="s">
        <v>17</v>
      </c>
      <c r="E779" t="s">
        <v>26</v>
      </c>
      <c r="F779">
        <v>14595</v>
      </c>
      <c r="G779">
        <v>16325</v>
      </c>
      <c r="H779">
        <v>1101</v>
      </c>
      <c r="I779">
        <v>131</v>
      </c>
      <c r="J779">
        <v>63</v>
      </c>
      <c r="K779">
        <v>102</v>
      </c>
      <c r="L779">
        <v>6751</v>
      </c>
      <c r="M779">
        <v>209</v>
      </c>
      <c r="N779" s="1">
        <v>0.72916666666666663</v>
      </c>
      <c r="O779" t="s">
        <v>23</v>
      </c>
    </row>
    <row r="780" spans="1:15" x14ac:dyDescent="0.3">
      <c r="A780" t="s">
        <v>820</v>
      </c>
      <c r="B780">
        <v>20250624</v>
      </c>
      <c r="C780" t="s">
        <v>40</v>
      </c>
      <c r="D780" t="s">
        <v>68</v>
      </c>
      <c r="E780" t="s">
        <v>18</v>
      </c>
      <c r="F780">
        <v>5933</v>
      </c>
      <c r="G780">
        <v>9156</v>
      </c>
      <c r="H780">
        <v>447</v>
      </c>
      <c r="I780">
        <v>56</v>
      </c>
      <c r="J780">
        <v>40</v>
      </c>
      <c r="K780">
        <v>67</v>
      </c>
      <c r="L780">
        <v>0</v>
      </c>
      <c r="M780">
        <v>31</v>
      </c>
      <c r="N780" s="1">
        <v>0.32291666666666669</v>
      </c>
      <c r="O780" t="s">
        <v>38</v>
      </c>
    </row>
    <row r="781" spans="1:15" x14ac:dyDescent="0.3">
      <c r="A781" t="s">
        <v>821</v>
      </c>
      <c r="B781">
        <v>20250101</v>
      </c>
      <c r="C781" t="s">
        <v>16</v>
      </c>
      <c r="D781" t="s">
        <v>17</v>
      </c>
      <c r="E781" t="s">
        <v>41</v>
      </c>
      <c r="F781">
        <v>68350</v>
      </c>
      <c r="G781">
        <v>99436</v>
      </c>
      <c r="H781">
        <v>3473</v>
      </c>
      <c r="J781">
        <v>358</v>
      </c>
      <c r="K781">
        <v>359</v>
      </c>
      <c r="L781">
        <v>51892</v>
      </c>
      <c r="M781">
        <v>463</v>
      </c>
      <c r="N781" s="1">
        <v>0.88541666666666663</v>
      </c>
      <c r="O781" t="s">
        <v>34</v>
      </c>
    </row>
    <row r="782" spans="1:15" x14ac:dyDescent="0.3">
      <c r="A782" t="s">
        <v>822</v>
      </c>
      <c r="B782">
        <v>20260306</v>
      </c>
      <c r="C782" t="s">
        <v>16</v>
      </c>
      <c r="D782" t="s">
        <v>33</v>
      </c>
      <c r="E782" t="s">
        <v>22</v>
      </c>
      <c r="F782">
        <v>7363</v>
      </c>
      <c r="G782">
        <v>9967</v>
      </c>
      <c r="H782">
        <v>241</v>
      </c>
      <c r="I782">
        <v>21</v>
      </c>
      <c r="J782">
        <v>42</v>
      </c>
      <c r="K782">
        <v>15</v>
      </c>
      <c r="L782">
        <v>0</v>
      </c>
      <c r="M782">
        <v>126</v>
      </c>
      <c r="N782" s="1">
        <v>0.65625</v>
      </c>
      <c r="O782" t="s">
        <v>23</v>
      </c>
    </row>
    <row r="783" spans="1:15" x14ac:dyDescent="0.3">
      <c r="A783" t="s">
        <v>823</v>
      </c>
      <c r="B783">
        <v>20250117</v>
      </c>
      <c r="C783" t="s">
        <v>40</v>
      </c>
      <c r="D783" t="s">
        <v>33</v>
      </c>
      <c r="E783" t="s">
        <v>26</v>
      </c>
      <c r="F783">
        <v>22173</v>
      </c>
      <c r="G783">
        <v>31185</v>
      </c>
      <c r="H783">
        <v>1835</v>
      </c>
      <c r="I783">
        <v>253</v>
      </c>
      <c r="J783">
        <v>316</v>
      </c>
      <c r="K783">
        <v>48</v>
      </c>
      <c r="L783">
        <v>9641</v>
      </c>
      <c r="M783">
        <v>306</v>
      </c>
      <c r="N783" s="1">
        <v>0.9375</v>
      </c>
      <c r="O783" t="s">
        <v>30</v>
      </c>
    </row>
    <row r="784" spans="1:15" x14ac:dyDescent="0.3">
      <c r="A784" t="s">
        <v>824</v>
      </c>
      <c r="B784">
        <v>20250927</v>
      </c>
      <c r="C784" t="s">
        <v>16</v>
      </c>
      <c r="D784" t="s">
        <v>36</v>
      </c>
      <c r="E784" t="s">
        <v>18</v>
      </c>
      <c r="F784">
        <v>34558</v>
      </c>
      <c r="G784">
        <v>49236</v>
      </c>
      <c r="H784">
        <v>910</v>
      </c>
      <c r="I784">
        <v>63</v>
      </c>
      <c r="J784">
        <v>130</v>
      </c>
      <c r="K784">
        <v>56</v>
      </c>
      <c r="L784">
        <v>0</v>
      </c>
      <c r="M784">
        <v>169</v>
      </c>
      <c r="N784" s="1">
        <v>0.71875</v>
      </c>
      <c r="O784" t="s">
        <v>30</v>
      </c>
    </row>
    <row r="785" spans="1:15" x14ac:dyDescent="0.3">
      <c r="A785" t="s">
        <v>825</v>
      </c>
      <c r="B785">
        <v>20250402</v>
      </c>
      <c r="C785" t="s">
        <v>44</v>
      </c>
      <c r="D785" t="s">
        <v>17</v>
      </c>
      <c r="E785" t="s">
        <v>41</v>
      </c>
      <c r="F785">
        <v>25947</v>
      </c>
      <c r="G785">
        <v>37421</v>
      </c>
      <c r="H785">
        <v>2774</v>
      </c>
      <c r="I785">
        <v>180</v>
      </c>
      <c r="J785">
        <v>530</v>
      </c>
      <c r="K785">
        <v>415</v>
      </c>
      <c r="L785">
        <v>10369</v>
      </c>
      <c r="M785">
        <v>198</v>
      </c>
      <c r="N785" s="1">
        <v>0.67708333333333337</v>
      </c>
      <c r="O785" t="s">
        <v>34</v>
      </c>
    </row>
    <row r="786" spans="1:15" x14ac:dyDescent="0.3">
      <c r="A786" t="s">
        <v>826</v>
      </c>
      <c r="B786">
        <v>20251114</v>
      </c>
      <c r="C786" t="s">
        <v>40</v>
      </c>
      <c r="D786" t="s">
        <v>21</v>
      </c>
      <c r="E786" t="s">
        <v>41</v>
      </c>
      <c r="F786">
        <v>15170</v>
      </c>
      <c r="G786">
        <v>25010</v>
      </c>
      <c r="H786">
        <v>944</v>
      </c>
      <c r="I786">
        <v>82</v>
      </c>
      <c r="J786">
        <v>61</v>
      </c>
      <c r="K786">
        <v>112</v>
      </c>
      <c r="L786">
        <v>7550</v>
      </c>
      <c r="M786">
        <v>230</v>
      </c>
      <c r="N786" s="1">
        <v>0.58333333333333337</v>
      </c>
      <c r="O786" t="s">
        <v>27</v>
      </c>
    </row>
    <row r="787" spans="1:15" x14ac:dyDescent="0.3">
      <c r="A787" t="s">
        <v>827</v>
      </c>
      <c r="B787">
        <v>20260304</v>
      </c>
      <c r="C787" t="s">
        <v>40</v>
      </c>
      <c r="D787" t="s">
        <v>21</v>
      </c>
      <c r="E787" t="s">
        <v>26</v>
      </c>
      <c r="F787">
        <v>25589</v>
      </c>
      <c r="G787">
        <v>32018</v>
      </c>
      <c r="H787">
        <v>1534</v>
      </c>
      <c r="I787">
        <v>86</v>
      </c>
      <c r="J787">
        <v>197</v>
      </c>
      <c r="K787">
        <v>206</v>
      </c>
      <c r="L787">
        <v>15162</v>
      </c>
      <c r="M787">
        <v>264</v>
      </c>
      <c r="N787" s="1">
        <v>0.70833333333333337</v>
      </c>
      <c r="O787" t="s">
        <v>49</v>
      </c>
    </row>
    <row r="788" spans="1:15" x14ac:dyDescent="0.3">
      <c r="A788" t="s">
        <v>828</v>
      </c>
      <c r="B788">
        <v>20260907</v>
      </c>
      <c r="C788" t="s">
        <v>40</v>
      </c>
      <c r="D788" t="s">
        <v>21</v>
      </c>
      <c r="E788" t="s">
        <v>18</v>
      </c>
      <c r="F788">
        <v>42056</v>
      </c>
      <c r="G788">
        <v>56958</v>
      </c>
      <c r="H788">
        <v>5031</v>
      </c>
      <c r="I788">
        <v>425</v>
      </c>
      <c r="J788">
        <v>905</v>
      </c>
      <c r="K788">
        <v>305</v>
      </c>
      <c r="L788">
        <v>0</v>
      </c>
      <c r="M788">
        <v>675</v>
      </c>
      <c r="N788" s="1">
        <v>0.72916666666666663</v>
      </c>
      <c r="O788" t="s">
        <v>23</v>
      </c>
    </row>
    <row r="789" spans="1:15" x14ac:dyDescent="0.3">
      <c r="A789" t="s">
        <v>829</v>
      </c>
      <c r="B789">
        <v>20260222</v>
      </c>
      <c r="C789" t="s">
        <v>32</v>
      </c>
      <c r="D789" t="s">
        <v>17</v>
      </c>
      <c r="E789" t="s">
        <v>18</v>
      </c>
      <c r="F789">
        <v>6255</v>
      </c>
      <c r="G789">
        <v>7558</v>
      </c>
      <c r="H789">
        <v>366</v>
      </c>
      <c r="I789">
        <v>10</v>
      </c>
      <c r="J789">
        <v>41</v>
      </c>
      <c r="K789">
        <v>29</v>
      </c>
      <c r="L789">
        <v>0</v>
      </c>
      <c r="M789">
        <v>15</v>
      </c>
      <c r="N789" s="1">
        <v>0.47916666666666669</v>
      </c>
      <c r="O789" t="s">
        <v>23</v>
      </c>
    </row>
    <row r="790" spans="1:15" x14ac:dyDescent="0.3">
      <c r="A790" t="s">
        <v>830</v>
      </c>
      <c r="B790">
        <v>20260311</v>
      </c>
      <c r="C790" t="s">
        <v>44</v>
      </c>
      <c r="D790" t="s">
        <v>29</v>
      </c>
      <c r="E790" t="s">
        <v>51</v>
      </c>
      <c r="F790">
        <v>22971</v>
      </c>
      <c r="G790">
        <v>36197</v>
      </c>
      <c r="H790">
        <v>1323</v>
      </c>
      <c r="I790">
        <v>80</v>
      </c>
      <c r="J790">
        <v>203</v>
      </c>
      <c r="K790">
        <v>186</v>
      </c>
      <c r="L790">
        <v>0</v>
      </c>
      <c r="M790">
        <v>100</v>
      </c>
      <c r="N790" s="1">
        <v>0.32291666666666669</v>
      </c>
      <c r="O790" t="s">
        <v>49</v>
      </c>
    </row>
    <row r="791" spans="1:15" x14ac:dyDescent="0.3">
      <c r="A791" t="s">
        <v>831</v>
      </c>
      <c r="B791">
        <v>20250727</v>
      </c>
      <c r="C791" t="s">
        <v>40</v>
      </c>
      <c r="D791" t="s">
        <v>61</v>
      </c>
      <c r="E791" t="s">
        <v>18</v>
      </c>
      <c r="F791">
        <v>12406</v>
      </c>
      <c r="G791">
        <v>17765</v>
      </c>
      <c r="H791">
        <v>1114</v>
      </c>
      <c r="I791">
        <v>93</v>
      </c>
      <c r="J791">
        <v>118</v>
      </c>
      <c r="K791">
        <v>83</v>
      </c>
      <c r="L791">
        <v>0</v>
      </c>
      <c r="M791">
        <v>121</v>
      </c>
      <c r="N791" s="1">
        <v>0.41666666666666669</v>
      </c>
      <c r="O791" t="s">
        <v>49</v>
      </c>
    </row>
    <row r="792" spans="1:15" x14ac:dyDescent="0.3">
      <c r="A792" t="s">
        <v>832</v>
      </c>
      <c r="B792">
        <v>20250115</v>
      </c>
      <c r="C792" t="s">
        <v>16</v>
      </c>
      <c r="D792" t="s">
        <v>33</v>
      </c>
      <c r="E792" t="s">
        <v>26</v>
      </c>
      <c r="F792">
        <v>12867</v>
      </c>
      <c r="G792">
        <v>14299</v>
      </c>
      <c r="H792">
        <v>1159</v>
      </c>
      <c r="I792">
        <v>41</v>
      </c>
      <c r="J792">
        <v>126</v>
      </c>
      <c r="K792">
        <v>24</v>
      </c>
      <c r="L792">
        <v>8104</v>
      </c>
      <c r="M792">
        <v>73</v>
      </c>
      <c r="N792" s="1">
        <v>0.54166666666666663</v>
      </c>
      <c r="O792" t="s">
        <v>23</v>
      </c>
    </row>
    <row r="793" spans="1:15" x14ac:dyDescent="0.3">
      <c r="A793" t="s">
        <v>833</v>
      </c>
      <c r="B793">
        <v>20260121</v>
      </c>
      <c r="C793" t="s">
        <v>40</v>
      </c>
      <c r="D793" t="s">
        <v>68</v>
      </c>
      <c r="E793" t="s">
        <v>26</v>
      </c>
      <c r="F793">
        <v>13308</v>
      </c>
      <c r="G793">
        <v>21066</v>
      </c>
      <c r="H793">
        <v>461</v>
      </c>
      <c r="I793">
        <v>33</v>
      </c>
      <c r="J793">
        <v>50</v>
      </c>
      <c r="K793">
        <v>41</v>
      </c>
      <c r="L793">
        <v>6680</v>
      </c>
      <c r="M793">
        <v>103</v>
      </c>
      <c r="N793" s="1">
        <v>0.79166666666666663</v>
      </c>
      <c r="O793" t="s">
        <v>30</v>
      </c>
    </row>
    <row r="794" spans="1:15" x14ac:dyDescent="0.3">
      <c r="A794" t="s">
        <v>834</v>
      </c>
      <c r="B794">
        <v>20251031</v>
      </c>
      <c r="C794" t="s">
        <v>25</v>
      </c>
      <c r="D794" t="s">
        <v>36</v>
      </c>
      <c r="E794" t="s">
        <v>46</v>
      </c>
      <c r="F794">
        <v>8736</v>
      </c>
      <c r="G794">
        <v>10033</v>
      </c>
      <c r="H794">
        <v>355</v>
      </c>
      <c r="I794">
        <v>34</v>
      </c>
      <c r="J794">
        <v>37</v>
      </c>
      <c r="K794">
        <v>47</v>
      </c>
      <c r="L794">
        <v>3969</v>
      </c>
      <c r="M794">
        <v>64</v>
      </c>
      <c r="N794" s="1">
        <v>0.90625</v>
      </c>
      <c r="O794" t="s">
        <v>34</v>
      </c>
    </row>
    <row r="795" spans="1:15" x14ac:dyDescent="0.3">
      <c r="A795" t="s">
        <v>835</v>
      </c>
      <c r="B795">
        <v>20250216</v>
      </c>
      <c r="C795" t="s">
        <v>25</v>
      </c>
      <c r="D795" t="s">
        <v>21</v>
      </c>
      <c r="E795" t="s">
        <v>22</v>
      </c>
      <c r="F795">
        <v>22758</v>
      </c>
      <c r="G795">
        <v>26449</v>
      </c>
      <c r="H795">
        <v>1018</v>
      </c>
      <c r="I795">
        <v>73</v>
      </c>
      <c r="J795">
        <v>154</v>
      </c>
      <c r="K795">
        <v>124</v>
      </c>
      <c r="L795">
        <v>0</v>
      </c>
      <c r="M795">
        <v>93</v>
      </c>
      <c r="N795" s="1">
        <v>0.78125</v>
      </c>
      <c r="O795" t="s">
        <v>34</v>
      </c>
    </row>
    <row r="796" spans="1:15" x14ac:dyDescent="0.3">
      <c r="A796" t="s">
        <v>836</v>
      </c>
      <c r="B796">
        <v>20251021</v>
      </c>
      <c r="C796" t="s">
        <v>16</v>
      </c>
      <c r="D796" t="s">
        <v>17</v>
      </c>
      <c r="E796" t="s">
        <v>41</v>
      </c>
      <c r="F796">
        <v>64135</v>
      </c>
      <c r="G796">
        <v>98587</v>
      </c>
      <c r="H796">
        <v>7213</v>
      </c>
      <c r="I796">
        <v>468</v>
      </c>
      <c r="J796">
        <v>320</v>
      </c>
      <c r="K796">
        <v>358</v>
      </c>
      <c r="L796">
        <v>40231</v>
      </c>
      <c r="M796">
        <v>1050</v>
      </c>
      <c r="N796" s="1">
        <v>0.53125</v>
      </c>
      <c r="O796" t="s">
        <v>38</v>
      </c>
    </row>
    <row r="797" spans="1:15" x14ac:dyDescent="0.3">
      <c r="A797" t="s">
        <v>837</v>
      </c>
      <c r="B797">
        <v>20250821</v>
      </c>
      <c r="C797" t="s">
        <v>16</v>
      </c>
      <c r="D797" t="s">
        <v>21</v>
      </c>
      <c r="E797" t="s">
        <v>46</v>
      </c>
      <c r="F797">
        <v>31593</v>
      </c>
      <c r="G797">
        <v>44084</v>
      </c>
      <c r="H797">
        <v>3684</v>
      </c>
      <c r="I797">
        <v>429</v>
      </c>
      <c r="J797">
        <v>259</v>
      </c>
      <c r="K797">
        <v>413</v>
      </c>
      <c r="L797">
        <v>12126</v>
      </c>
      <c r="M797">
        <v>338</v>
      </c>
      <c r="N797" s="1">
        <v>0.46875</v>
      </c>
      <c r="O797" t="s">
        <v>27</v>
      </c>
    </row>
    <row r="798" spans="1:15" x14ac:dyDescent="0.3">
      <c r="A798" t="s">
        <v>838</v>
      </c>
      <c r="B798">
        <v>20260325</v>
      </c>
      <c r="C798" t="s">
        <v>25</v>
      </c>
      <c r="E798" t="s">
        <v>46</v>
      </c>
      <c r="F798">
        <v>17967</v>
      </c>
      <c r="G798">
        <v>26112</v>
      </c>
      <c r="H798">
        <v>451</v>
      </c>
      <c r="I798">
        <v>52</v>
      </c>
      <c r="J798">
        <v>42</v>
      </c>
      <c r="K798">
        <v>51</v>
      </c>
      <c r="L798">
        <v>15632</v>
      </c>
      <c r="M798">
        <v>105</v>
      </c>
      <c r="N798" s="1">
        <v>0.39583333333333331</v>
      </c>
      <c r="O798" t="s">
        <v>42</v>
      </c>
    </row>
    <row r="799" spans="1:15" x14ac:dyDescent="0.3">
      <c r="A799" t="s">
        <v>839</v>
      </c>
      <c r="B799">
        <v>20260812</v>
      </c>
      <c r="C799" t="s">
        <v>16</v>
      </c>
      <c r="D799" t="s">
        <v>36</v>
      </c>
      <c r="E799" t="s">
        <v>51</v>
      </c>
      <c r="F799">
        <v>15006</v>
      </c>
      <c r="G799">
        <v>21564</v>
      </c>
      <c r="H799">
        <v>991</v>
      </c>
      <c r="I799">
        <v>70</v>
      </c>
      <c r="J799">
        <v>180</v>
      </c>
      <c r="K799">
        <v>82</v>
      </c>
      <c r="L799">
        <v>0</v>
      </c>
      <c r="M799">
        <v>187</v>
      </c>
      <c r="N799" s="1">
        <v>0.30208333333333331</v>
      </c>
      <c r="O799" t="s">
        <v>53</v>
      </c>
    </row>
    <row r="800" spans="1:15" x14ac:dyDescent="0.3">
      <c r="A800" t="s">
        <v>840</v>
      </c>
      <c r="B800">
        <v>20251230</v>
      </c>
      <c r="C800" t="s">
        <v>16</v>
      </c>
      <c r="D800" t="s">
        <v>33</v>
      </c>
      <c r="E800" t="s">
        <v>46</v>
      </c>
      <c r="F800">
        <v>40981</v>
      </c>
      <c r="G800">
        <v>65075</v>
      </c>
      <c r="H800">
        <v>3202</v>
      </c>
      <c r="I800">
        <v>343</v>
      </c>
      <c r="J800">
        <v>613</v>
      </c>
      <c r="K800">
        <v>476</v>
      </c>
      <c r="L800">
        <v>20413</v>
      </c>
      <c r="M800">
        <v>416</v>
      </c>
      <c r="N800" s="1">
        <v>0.64583333333333337</v>
      </c>
      <c r="O800" t="s">
        <v>34</v>
      </c>
    </row>
    <row r="801" spans="1:15" x14ac:dyDescent="0.3">
      <c r="A801" t="s">
        <v>841</v>
      </c>
      <c r="B801">
        <v>20250521</v>
      </c>
      <c r="C801" t="s">
        <v>16</v>
      </c>
      <c r="D801" t="s">
        <v>33</v>
      </c>
      <c r="E801" t="s">
        <v>46</v>
      </c>
      <c r="F801">
        <v>27495</v>
      </c>
      <c r="G801">
        <v>39438</v>
      </c>
      <c r="H801">
        <v>1146</v>
      </c>
      <c r="I801">
        <v>58</v>
      </c>
      <c r="J801">
        <v>98</v>
      </c>
      <c r="K801">
        <v>104</v>
      </c>
      <c r="L801">
        <v>12439</v>
      </c>
      <c r="M801">
        <v>250</v>
      </c>
      <c r="N801" s="1">
        <v>0.73958333333333337</v>
      </c>
      <c r="O801" t="s">
        <v>30</v>
      </c>
    </row>
    <row r="802" spans="1:15" x14ac:dyDescent="0.3">
      <c r="A802" t="s">
        <v>842</v>
      </c>
      <c r="B802">
        <v>20251122</v>
      </c>
      <c r="C802" t="s">
        <v>32</v>
      </c>
      <c r="D802" t="s">
        <v>17</v>
      </c>
      <c r="E802" t="s">
        <v>51</v>
      </c>
      <c r="F802">
        <v>7415</v>
      </c>
      <c r="G802">
        <v>8449</v>
      </c>
      <c r="H802">
        <v>682</v>
      </c>
      <c r="I802">
        <v>18</v>
      </c>
      <c r="J802">
        <v>122</v>
      </c>
      <c r="K802">
        <v>33</v>
      </c>
      <c r="L802">
        <v>0</v>
      </c>
      <c r="M802">
        <v>88</v>
      </c>
      <c r="N802" s="1">
        <v>0.45833333333333331</v>
      </c>
      <c r="O802" t="s">
        <v>34</v>
      </c>
    </row>
    <row r="803" spans="1:15" x14ac:dyDescent="0.3">
      <c r="A803" t="s">
        <v>843</v>
      </c>
      <c r="B803">
        <v>20251004</v>
      </c>
      <c r="C803" t="s">
        <v>32</v>
      </c>
      <c r="D803" t="s">
        <v>17</v>
      </c>
      <c r="E803" t="s">
        <v>41</v>
      </c>
      <c r="F803">
        <v>24863</v>
      </c>
      <c r="G803">
        <v>30719</v>
      </c>
      <c r="H803">
        <v>1748</v>
      </c>
      <c r="I803">
        <v>160</v>
      </c>
      <c r="J803">
        <v>100</v>
      </c>
      <c r="K803">
        <v>117</v>
      </c>
      <c r="L803">
        <v>8983</v>
      </c>
      <c r="M803">
        <v>61</v>
      </c>
      <c r="N803" s="1">
        <v>0.66666666666666663</v>
      </c>
      <c r="O803" t="s">
        <v>38</v>
      </c>
    </row>
    <row r="804" spans="1:15" x14ac:dyDescent="0.3">
      <c r="A804" t="s">
        <v>844</v>
      </c>
      <c r="B804">
        <v>20250414</v>
      </c>
      <c r="C804" t="s">
        <v>25</v>
      </c>
      <c r="D804" t="s">
        <v>33</v>
      </c>
      <c r="E804" t="s">
        <v>51</v>
      </c>
      <c r="F804">
        <v>6106</v>
      </c>
      <c r="G804">
        <v>9799</v>
      </c>
      <c r="H804">
        <v>565</v>
      </c>
      <c r="I804">
        <v>50</v>
      </c>
      <c r="J804">
        <v>61</v>
      </c>
      <c r="K804">
        <v>25</v>
      </c>
      <c r="L804">
        <v>0</v>
      </c>
      <c r="M804">
        <v>34</v>
      </c>
      <c r="N804" s="1">
        <v>0.61458333333333337</v>
      </c>
      <c r="O804" t="s">
        <v>19</v>
      </c>
    </row>
    <row r="805" spans="1:15" x14ac:dyDescent="0.3">
      <c r="A805" t="s">
        <v>845</v>
      </c>
      <c r="B805">
        <v>20250209</v>
      </c>
      <c r="C805" t="s">
        <v>16</v>
      </c>
      <c r="D805" t="s">
        <v>61</v>
      </c>
      <c r="E805" t="s">
        <v>18</v>
      </c>
      <c r="F805">
        <v>11688</v>
      </c>
      <c r="G805">
        <v>15504</v>
      </c>
      <c r="H805">
        <v>1391</v>
      </c>
      <c r="I805">
        <v>151</v>
      </c>
      <c r="J805">
        <v>155</v>
      </c>
      <c r="K805">
        <v>103</v>
      </c>
      <c r="L805">
        <v>0</v>
      </c>
      <c r="M805">
        <v>87</v>
      </c>
      <c r="N805" s="1">
        <v>0.44791666666666669</v>
      </c>
      <c r="O805" t="s">
        <v>49</v>
      </c>
    </row>
    <row r="806" spans="1:15" x14ac:dyDescent="0.3">
      <c r="A806" t="s">
        <v>846</v>
      </c>
      <c r="B806">
        <v>20260411</v>
      </c>
      <c r="C806" t="s">
        <v>40</v>
      </c>
      <c r="D806" t="s">
        <v>21</v>
      </c>
      <c r="E806" t="s">
        <v>46</v>
      </c>
      <c r="F806">
        <v>66322</v>
      </c>
      <c r="G806">
        <v>109328</v>
      </c>
      <c r="H806">
        <v>6118</v>
      </c>
      <c r="I806">
        <v>186</v>
      </c>
      <c r="J806">
        <v>412</v>
      </c>
      <c r="K806">
        <v>248</v>
      </c>
      <c r="L806">
        <v>44060</v>
      </c>
      <c r="M806">
        <v>461</v>
      </c>
      <c r="N806" s="1">
        <v>0.78125</v>
      </c>
      <c r="O806" t="s">
        <v>23</v>
      </c>
    </row>
    <row r="807" spans="1:15" x14ac:dyDescent="0.3">
      <c r="A807" t="s">
        <v>847</v>
      </c>
      <c r="B807">
        <v>20260510</v>
      </c>
      <c r="C807" t="s">
        <v>44</v>
      </c>
      <c r="D807" t="s">
        <v>21</v>
      </c>
      <c r="E807" t="s">
        <v>41</v>
      </c>
      <c r="F807">
        <v>18837</v>
      </c>
      <c r="G807">
        <v>27801</v>
      </c>
      <c r="H807">
        <v>1034</v>
      </c>
      <c r="I807">
        <v>136</v>
      </c>
      <c r="J807">
        <v>158</v>
      </c>
      <c r="K807">
        <v>72</v>
      </c>
      <c r="L807">
        <v>15806</v>
      </c>
      <c r="M807">
        <v>285</v>
      </c>
      <c r="N807" s="1">
        <v>0.3125</v>
      </c>
      <c r="O807" t="s">
        <v>23</v>
      </c>
    </row>
    <row r="808" spans="1:15" x14ac:dyDescent="0.3">
      <c r="A808" t="s">
        <v>848</v>
      </c>
      <c r="B808">
        <v>20250117</v>
      </c>
      <c r="C808" t="s">
        <v>16</v>
      </c>
      <c r="D808" t="s">
        <v>36</v>
      </c>
      <c r="E808" t="s">
        <v>18</v>
      </c>
      <c r="F808">
        <v>14172</v>
      </c>
      <c r="G808">
        <v>17428</v>
      </c>
      <c r="H808">
        <v>1287</v>
      </c>
      <c r="I808">
        <v>133</v>
      </c>
      <c r="J808">
        <v>176</v>
      </c>
      <c r="K808">
        <v>42</v>
      </c>
      <c r="L808">
        <v>0</v>
      </c>
      <c r="M808">
        <v>238</v>
      </c>
      <c r="N808" s="1">
        <v>0.86458333333333337</v>
      </c>
      <c r="O808" t="s">
        <v>38</v>
      </c>
    </row>
    <row r="809" spans="1:15" x14ac:dyDescent="0.3">
      <c r="A809" t="s">
        <v>849</v>
      </c>
      <c r="B809">
        <v>20250228</v>
      </c>
      <c r="C809" t="s">
        <v>16</v>
      </c>
      <c r="D809" t="s">
        <v>29</v>
      </c>
      <c r="E809" t="s">
        <v>22</v>
      </c>
      <c r="F809">
        <v>7024</v>
      </c>
      <c r="G809">
        <v>9545</v>
      </c>
      <c r="H809">
        <v>524</v>
      </c>
      <c r="I809">
        <v>52</v>
      </c>
      <c r="J809">
        <v>75</v>
      </c>
      <c r="K809">
        <v>21</v>
      </c>
      <c r="L809">
        <v>0</v>
      </c>
      <c r="M809">
        <v>47</v>
      </c>
      <c r="N809" s="1">
        <v>0.78125</v>
      </c>
      <c r="O809" t="s">
        <v>47</v>
      </c>
    </row>
    <row r="810" spans="1:15" x14ac:dyDescent="0.3">
      <c r="A810" t="s">
        <v>850</v>
      </c>
      <c r="B810">
        <v>20260825</v>
      </c>
      <c r="C810" t="s">
        <v>16</v>
      </c>
      <c r="D810" t="s">
        <v>61</v>
      </c>
      <c r="E810" t="s">
        <v>18</v>
      </c>
      <c r="F810">
        <v>19083</v>
      </c>
      <c r="G810">
        <v>22357</v>
      </c>
      <c r="H810">
        <v>1980</v>
      </c>
      <c r="I810">
        <v>242</v>
      </c>
      <c r="J810">
        <v>106</v>
      </c>
      <c r="K810">
        <v>104</v>
      </c>
      <c r="L810">
        <v>0</v>
      </c>
      <c r="M810">
        <v>177</v>
      </c>
      <c r="N810" s="1">
        <v>0.76041666666666663</v>
      </c>
      <c r="O810" t="s">
        <v>19</v>
      </c>
    </row>
    <row r="811" spans="1:15" x14ac:dyDescent="0.3">
      <c r="A811" t="s">
        <v>851</v>
      </c>
      <c r="B811">
        <v>20251217</v>
      </c>
      <c r="C811" t="s">
        <v>16</v>
      </c>
      <c r="D811" t="s">
        <v>61</v>
      </c>
      <c r="E811" t="s">
        <v>51</v>
      </c>
      <c r="F811">
        <v>13187</v>
      </c>
      <c r="G811">
        <v>15449</v>
      </c>
      <c r="H811">
        <v>823</v>
      </c>
      <c r="I811">
        <v>74</v>
      </c>
      <c r="J811">
        <v>107</v>
      </c>
      <c r="K811">
        <v>33</v>
      </c>
      <c r="L811">
        <v>0</v>
      </c>
      <c r="M811">
        <v>20</v>
      </c>
      <c r="N811" s="1">
        <v>0.51041666666666663</v>
      </c>
      <c r="O811" t="s">
        <v>53</v>
      </c>
    </row>
    <row r="812" spans="1:15" x14ac:dyDescent="0.3">
      <c r="A812" t="s">
        <v>852</v>
      </c>
      <c r="B812">
        <v>20260801</v>
      </c>
      <c r="C812" t="s">
        <v>25</v>
      </c>
      <c r="D812" t="s">
        <v>29</v>
      </c>
      <c r="E812" t="s">
        <v>46</v>
      </c>
      <c r="F812">
        <v>12706</v>
      </c>
      <c r="G812">
        <v>15428</v>
      </c>
      <c r="H812">
        <v>472</v>
      </c>
      <c r="I812">
        <v>29</v>
      </c>
      <c r="J812">
        <v>31</v>
      </c>
      <c r="K812">
        <v>16</v>
      </c>
      <c r="L812">
        <v>5090</v>
      </c>
      <c r="M812">
        <v>54</v>
      </c>
      <c r="N812" s="1">
        <v>0.40625</v>
      </c>
      <c r="O812" t="s">
        <v>47</v>
      </c>
    </row>
    <row r="813" spans="1:15" x14ac:dyDescent="0.3">
      <c r="A813" t="s">
        <v>853</v>
      </c>
      <c r="B813">
        <v>20250814</v>
      </c>
      <c r="C813" t="s">
        <v>16</v>
      </c>
      <c r="D813" t="s">
        <v>17</v>
      </c>
      <c r="E813" t="s">
        <v>46</v>
      </c>
      <c r="F813">
        <v>32991</v>
      </c>
      <c r="G813">
        <v>47008</v>
      </c>
      <c r="H813">
        <v>1839</v>
      </c>
      <c r="I813">
        <v>248</v>
      </c>
      <c r="J813">
        <v>353</v>
      </c>
      <c r="K813">
        <v>46</v>
      </c>
      <c r="L813">
        <v>15987</v>
      </c>
      <c r="M813">
        <v>372</v>
      </c>
      <c r="N813" s="1">
        <v>0.875</v>
      </c>
      <c r="O813" t="s">
        <v>49</v>
      </c>
    </row>
    <row r="814" spans="1:15" x14ac:dyDescent="0.3">
      <c r="A814" t="s">
        <v>854</v>
      </c>
      <c r="B814">
        <v>20251021</v>
      </c>
      <c r="C814" t="s">
        <v>16</v>
      </c>
      <c r="D814" t="s">
        <v>17</v>
      </c>
      <c r="E814" t="s">
        <v>41</v>
      </c>
      <c r="F814">
        <v>38556</v>
      </c>
      <c r="G814">
        <v>52639</v>
      </c>
      <c r="H814">
        <v>2893</v>
      </c>
      <c r="I814">
        <v>384</v>
      </c>
      <c r="J814">
        <v>488</v>
      </c>
      <c r="K814">
        <v>323</v>
      </c>
      <c r="L814">
        <v>24525</v>
      </c>
      <c r="M814">
        <v>188</v>
      </c>
      <c r="N814" s="1">
        <v>0.34375</v>
      </c>
      <c r="O814" t="s">
        <v>27</v>
      </c>
    </row>
    <row r="815" spans="1:15" x14ac:dyDescent="0.3">
      <c r="A815" t="s">
        <v>855</v>
      </c>
      <c r="B815">
        <v>20251204</v>
      </c>
      <c r="C815" t="s">
        <v>32</v>
      </c>
      <c r="D815" t="s">
        <v>68</v>
      </c>
      <c r="E815" t="s">
        <v>18</v>
      </c>
      <c r="F815">
        <v>10062</v>
      </c>
      <c r="G815">
        <v>13945</v>
      </c>
      <c r="H815">
        <v>1135</v>
      </c>
      <c r="I815">
        <v>53</v>
      </c>
      <c r="J815">
        <v>54</v>
      </c>
      <c r="K815">
        <v>28</v>
      </c>
      <c r="L815">
        <v>0</v>
      </c>
      <c r="M815">
        <v>129</v>
      </c>
      <c r="N815" s="1">
        <v>0.6875</v>
      </c>
      <c r="O815" t="s">
        <v>38</v>
      </c>
    </row>
    <row r="816" spans="1:15" x14ac:dyDescent="0.3">
      <c r="A816" t="s">
        <v>856</v>
      </c>
      <c r="B816">
        <v>20250722</v>
      </c>
      <c r="C816" t="s">
        <v>25</v>
      </c>
      <c r="D816" t="s">
        <v>33</v>
      </c>
      <c r="E816" t="s">
        <v>18</v>
      </c>
      <c r="F816">
        <v>19244</v>
      </c>
      <c r="G816">
        <v>29594</v>
      </c>
      <c r="H816">
        <v>2173</v>
      </c>
      <c r="I816">
        <v>77</v>
      </c>
      <c r="J816">
        <v>342</v>
      </c>
      <c r="K816">
        <v>123</v>
      </c>
      <c r="L816">
        <v>0</v>
      </c>
      <c r="M816">
        <v>235</v>
      </c>
      <c r="N816" s="1">
        <v>0.54166666666666663</v>
      </c>
      <c r="O816" t="s">
        <v>49</v>
      </c>
    </row>
    <row r="817" spans="1:15" x14ac:dyDescent="0.3">
      <c r="A817" t="s">
        <v>857</v>
      </c>
      <c r="B817">
        <v>20250218</v>
      </c>
      <c r="C817" t="s">
        <v>16</v>
      </c>
      <c r="E817" t="s">
        <v>18</v>
      </c>
      <c r="F817">
        <v>22482</v>
      </c>
      <c r="G817">
        <v>34529</v>
      </c>
      <c r="H817">
        <v>1605</v>
      </c>
      <c r="I817">
        <v>138</v>
      </c>
      <c r="J817">
        <v>132</v>
      </c>
      <c r="K817">
        <v>58</v>
      </c>
      <c r="L817">
        <v>0</v>
      </c>
      <c r="M817">
        <v>374</v>
      </c>
      <c r="N817" s="1">
        <v>0.65625</v>
      </c>
      <c r="O817" t="s">
        <v>27</v>
      </c>
    </row>
    <row r="818" spans="1:15" x14ac:dyDescent="0.3">
      <c r="A818" t="s">
        <v>858</v>
      </c>
      <c r="B818">
        <v>20250606</v>
      </c>
      <c r="C818" t="s">
        <v>25</v>
      </c>
      <c r="D818" t="s">
        <v>17</v>
      </c>
      <c r="E818" t="s">
        <v>46</v>
      </c>
      <c r="F818">
        <v>13814</v>
      </c>
      <c r="G818">
        <v>19795</v>
      </c>
      <c r="H818">
        <v>1148</v>
      </c>
      <c r="I818">
        <v>147</v>
      </c>
      <c r="J818">
        <v>57</v>
      </c>
      <c r="K818">
        <v>88</v>
      </c>
      <c r="L818">
        <v>7680</v>
      </c>
      <c r="M818">
        <v>64</v>
      </c>
      <c r="N818" s="1">
        <v>0.38541666666666669</v>
      </c>
      <c r="O818" t="s">
        <v>27</v>
      </c>
    </row>
    <row r="819" spans="1:15" x14ac:dyDescent="0.3">
      <c r="A819" t="s">
        <v>859</v>
      </c>
      <c r="B819">
        <v>20250521</v>
      </c>
      <c r="C819" t="s">
        <v>32</v>
      </c>
      <c r="D819" t="s">
        <v>17</v>
      </c>
      <c r="E819" t="s">
        <v>18</v>
      </c>
      <c r="F819">
        <v>6833</v>
      </c>
      <c r="G819">
        <v>11152</v>
      </c>
      <c r="H819">
        <v>749</v>
      </c>
      <c r="I819">
        <v>99</v>
      </c>
      <c r="J819">
        <v>123</v>
      </c>
      <c r="K819">
        <v>25</v>
      </c>
      <c r="L819">
        <v>0</v>
      </c>
      <c r="M819">
        <v>68</v>
      </c>
      <c r="N819" s="1">
        <v>0.69791666666666663</v>
      </c>
      <c r="O819" t="s">
        <v>19</v>
      </c>
    </row>
    <row r="820" spans="1:15" x14ac:dyDescent="0.3">
      <c r="A820" t="s">
        <v>860</v>
      </c>
      <c r="B820">
        <v>20260527</v>
      </c>
      <c r="C820" t="s">
        <v>40</v>
      </c>
      <c r="D820" t="s">
        <v>61</v>
      </c>
      <c r="E820" t="s">
        <v>46</v>
      </c>
      <c r="F820">
        <v>60065</v>
      </c>
      <c r="G820">
        <v>64040</v>
      </c>
      <c r="H820">
        <v>2858</v>
      </c>
      <c r="I820">
        <v>171</v>
      </c>
      <c r="J820">
        <v>261</v>
      </c>
      <c r="K820">
        <v>72</v>
      </c>
      <c r="L820">
        <v>48736</v>
      </c>
      <c r="M820">
        <v>1002</v>
      </c>
      <c r="N820" s="1">
        <v>0.29166666666666669</v>
      </c>
      <c r="O820" t="s">
        <v>49</v>
      </c>
    </row>
    <row r="821" spans="1:15" x14ac:dyDescent="0.3">
      <c r="A821" t="s">
        <v>861</v>
      </c>
      <c r="B821">
        <v>20260312</v>
      </c>
      <c r="C821" t="s">
        <v>25</v>
      </c>
      <c r="D821" t="s">
        <v>61</v>
      </c>
      <c r="E821" t="s">
        <v>22</v>
      </c>
      <c r="F821">
        <v>10477</v>
      </c>
      <c r="G821">
        <v>12651</v>
      </c>
      <c r="H821">
        <v>1128</v>
      </c>
      <c r="I821">
        <v>104</v>
      </c>
      <c r="J821">
        <v>90</v>
      </c>
      <c r="K821">
        <v>127</v>
      </c>
      <c r="L821">
        <v>0</v>
      </c>
      <c r="M821">
        <v>120</v>
      </c>
      <c r="N821" s="1">
        <v>0.90625</v>
      </c>
      <c r="O821" t="s">
        <v>42</v>
      </c>
    </row>
    <row r="822" spans="1:15" x14ac:dyDescent="0.3">
      <c r="A822" t="s">
        <v>862</v>
      </c>
      <c r="B822">
        <v>20260311</v>
      </c>
      <c r="C822" t="s">
        <v>16</v>
      </c>
      <c r="D822" t="s">
        <v>36</v>
      </c>
      <c r="E822" t="s">
        <v>46</v>
      </c>
      <c r="F822">
        <v>37425</v>
      </c>
      <c r="G822">
        <v>45239</v>
      </c>
      <c r="H822">
        <v>1524</v>
      </c>
      <c r="I822">
        <v>46</v>
      </c>
      <c r="J822">
        <v>299</v>
      </c>
      <c r="K822">
        <v>163</v>
      </c>
      <c r="L822">
        <v>30178</v>
      </c>
      <c r="M822">
        <v>252</v>
      </c>
      <c r="N822" s="1">
        <v>0.65625</v>
      </c>
      <c r="O822" t="s">
        <v>53</v>
      </c>
    </row>
    <row r="823" spans="1:15" x14ac:dyDescent="0.3">
      <c r="A823" t="s">
        <v>863</v>
      </c>
      <c r="B823">
        <v>20251001</v>
      </c>
      <c r="C823" t="s">
        <v>44</v>
      </c>
      <c r="D823" t="s">
        <v>68</v>
      </c>
      <c r="E823" t="s">
        <v>46</v>
      </c>
      <c r="F823">
        <v>33890</v>
      </c>
      <c r="G823">
        <v>53853</v>
      </c>
      <c r="H823">
        <v>1385</v>
      </c>
      <c r="I823">
        <v>154</v>
      </c>
      <c r="J823">
        <v>89</v>
      </c>
      <c r="K823">
        <v>103</v>
      </c>
      <c r="L823">
        <v>12705</v>
      </c>
      <c r="M823">
        <v>491</v>
      </c>
      <c r="N823" s="1">
        <v>0.94791666666666663</v>
      </c>
      <c r="O823" t="s">
        <v>42</v>
      </c>
    </row>
    <row r="824" spans="1:15" x14ac:dyDescent="0.3">
      <c r="A824" t="s">
        <v>864</v>
      </c>
      <c r="B824">
        <v>20250430</v>
      </c>
      <c r="C824" t="s">
        <v>44</v>
      </c>
      <c r="D824" t="s">
        <v>33</v>
      </c>
      <c r="E824" t="s">
        <v>46</v>
      </c>
      <c r="F824">
        <v>62423</v>
      </c>
      <c r="G824">
        <v>90452</v>
      </c>
      <c r="H824">
        <v>3268</v>
      </c>
      <c r="I824">
        <v>428</v>
      </c>
      <c r="J824">
        <v>376</v>
      </c>
      <c r="K824">
        <v>292</v>
      </c>
      <c r="L824">
        <v>22516</v>
      </c>
      <c r="M824">
        <v>579</v>
      </c>
      <c r="N824" s="1">
        <v>0.46875</v>
      </c>
      <c r="O824" t="s">
        <v>49</v>
      </c>
    </row>
    <row r="825" spans="1:15" x14ac:dyDescent="0.3">
      <c r="A825" t="s">
        <v>865</v>
      </c>
      <c r="B825">
        <v>20250301</v>
      </c>
      <c r="C825" t="s">
        <v>16</v>
      </c>
      <c r="D825" t="s">
        <v>21</v>
      </c>
      <c r="E825" t="s">
        <v>46</v>
      </c>
      <c r="F825">
        <v>55352</v>
      </c>
      <c r="G825">
        <v>69827</v>
      </c>
      <c r="H825">
        <v>2479</v>
      </c>
      <c r="I825">
        <v>214</v>
      </c>
      <c r="J825">
        <v>327</v>
      </c>
      <c r="K825">
        <v>250</v>
      </c>
      <c r="L825">
        <v>42743</v>
      </c>
      <c r="M825">
        <v>920</v>
      </c>
      <c r="N825" s="1">
        <v>0.66666666666666663</v>
      </c>
      <c r="O825" t="s">
        <v>34</v>
      </c>
    </row>
    <row r="826" spans="1:15" x14ac:dyDescent="0.3">
      <c r="A826" t="s">
        <v>866</v>
      </c>
      <c r="B826">
        <v>20260621</v>
      </c>
      <c r="C826" t="s">
        <v>16</v>
      </c>
      <c r="D826" t="s">
        <v>29</v>
      </c>
      <c r="E826" t="s">
        <v>26</v>
      </c>
      <c r="F826">
        <v>23782</v>
      </c>
      <c r="G826">
        <v>30684</v>
      </c>
      <c r="H826">
        <v>1723</v>
      </c>
      <c r="I826">
        <v>235</v>
      </c>
      <c r="J826">
        <v>66</v>
      </c>
      <c r="K826">
        <v>220</v>
      </c>
      <c r="L826">
        <v>9373</v>
      </c>
      <c r="M826">
        <v>264</v>
      </c>
      <c r="N826" s="1">
        <v>0.90625</v>
      </c>
      <c r="O826" t="s">
        <v>38</v>
      </c>
    </row>
    <row r="827" spans="1:15" x14ac:dyDescent="0.3">
      <c r="A827" t="s">
        <v>867</v>
      </c>
      <c r="B827">
        <v>20260919</v>
      </c>
      <c r="C827" t="s">
        <v>44</v>
      </c>
      <c r="D827" t="s">
        <v>33</v>
      </c>
      <c r="E827" t="s">
        <v>46</v>
      </c>
      <c r="F827">
        <v>71817</v>
      </c>
      <c r="G827">
        <v>88719</v>
      </c>
      <c r="H827">
        <v>5303</v>
      </c>
      <c r="I827">
        <v>369</v>
      </c>
      <c r="J827">
        <v>972</v>
      </c>
      <c r="K827">
        <v>256</v>
      </c>
      <c r="L827">
        <v>58100</v>
      </c>
      <c r="M827">
        <v>649</v>
      </c>
      <c r="N827" s="1">
        <v>0.89583333333333337</v>
      </c>
      <c r="O827" t="s">
        <v>42</v>
      </c>
    </row>
    <row r="828" spans="1:15" x14ac:dyDescent="0.3">
      <c r="A828" t="s">
        <v>868</v>
      </c>
      <c r="B828">
        <v>20250609</v>
      </c>
      <c r="C828" t="s">
        <v>32</v>
      </c>
      <c r="D828" t="s">
        <v>29</v>
      </c>
      <c r="E828" t="s">
        <v>41</v>
      </c>
      <c r="F828">
        <v>8164</v>
      </c>
      <c r="G828">
        <v>10806</v>
      </c>
      <c r="H828">
        <v>884</v>
      </c>
      <c r="I828">
        <v>111</v>
      </c>
      <c r="J828">
        <v>60</v>
      </c>
      <c r="K828">
        <v>77</v>
      </c>
      <c r="L828">
        <v>6391</v>
      </c>
      <c r="M828">
        <v>70</v>
      </c>
      <c r="N828" s="1">
        <v>0.76041666666666663</v>
      </c>
      <c r="O828" t="s">
        <v>23</v>
      </c>
    </row>
    <row r="829" spans="1:15" x14ac:dyDescent="0.3">
      <c r="A829" t="s">
        <v>869</v>
      </c>
      <c r="B829">
        <v>20260515</v>
      </c>
      <c r="C829" t="s">
        <v>40</v>
      </c>
      <c r="D829" t="s">
        <v>21</v>
      </c>
      <c r="E829" t="s">
        <v>18</v>
      </c>
      <c r="F829">
        <v>7102</v>
      </c>
      <c r="G829">
        <v>10782</v>
      </c>
      <c r="H829">
        <v>188</v>
      </c>
      <c r="I829">
        <v>8</v>
      </c>
      <c r="J829">
        <v>17</v>
      </c>
      <c r="K829">
        <v>7</v>
      </c>
      <c r="M829">
        <v>120</v>
      </c>
      <c r="N829" s="1">
        <v>0.80208333333333337</v>
      </c>
      <c r="O829" t="s">
        <v>34</v>
      </c>
    </row>
    <row r="830" spans="1:15" x14ac:dyDescent="0.3">
      <c r="A830" t="s">
        <v>870</v>
      </c>
      <c r="B830">
        <v>20250302</v>
      </c>
      <c r="C830" t="s">
        <v>44</v>
      </c>
      <c r="D830" t="s">
        <v>36</v>
      </c>
      <c r="E830" t="s">
        <v>26</v>
      </c>
      <c r="F830">
        <v>23559</v>
      </c>
      <c r="G830">
        <v>27726</v>
      </c>
      <c r="H830">
        <v>2581</v>
      </c>
      <c r="I830">
        <v>120</v>
      </c>
      <c r="J830">
        <v>307</v>
      </c>
      <c r="K830">
        <v>210</v>
      </c>
      <c r="L830">
        <v>19594</v>
      </c>
      <c r="M830">
        <v>237</v>
      </c>
      <c r="N830" s="1">
        <v>0.76041666666666663</v>
      </c>
      <c r="O830" t="s">
        <v>23</v>
      </c>
    </row>
    <row r="831" spans="1:15" x14ac:dyDescent="0.3">
      <c r="A831" t="s">
        <v>871</v>
      </c>
      <c r="B831">
        <v>20250330</v>
      </c>
      <c r="C831" t="s">
        <v>32</v>
      </c>
      <c r="D831" t="s">
        <v>17</v>
      </c>
      <c r="E831" t="s">
        <v>41</v>
      </c>
      <c r="F831">
        <v>14302</v>
      </c>
      <c r="G831">
        <v>15408</v>
      </c>
      <c r="H831">
        <v>991</v>
      </c>
      <c r="I831">
        <v>55</v>
      </c>
      <c r="J831">
        <v>56</v>
      </c>
      <c r="K831">
        <v>78</v>
      </c>
      <c r="L831">
        <v>9413</v>
      </c>
      <c r="M831">
        <v>170</v>
      </c>
      <c r="N831" s="1">
        <v>0.86458333333333337</v>
      </c>
      <c r="O831" t="s">
        <v>34</v>
      </c>
    </row>
    <row r="832" spans="1:15" x14ac:dyDescent="0.3">
      <c r="A832" t="s">
        <v>872</v>
      </c>
      <c r="B832">
        <v>20250410</v>
      </c>
      <c r="C832" t="s">
        <v>32</v>
      </c>
      <c r="D832" t="s">
        <v>68</v>
      </c>
      <c r="E832" t="s">
        <v>51</v>
      </c>
      <c r="F832">
        <v>6844</v>
      </c>
      <c r="G832">
        <v>8062</v>
      </c>
      <c r="H832">
        <v>701</v>
      </c>
      <c r="I832">
        <v>81</v>
      </c>
      <c r="J832">
        <v>81</v>
      </c>
      <c r="K832">
        <v>25</v>
      </c>
      <c r="L832">
        <v>0</v>
      </c>
      <c r="M832">
        <v>102</v>
      </c>
      <c r="N832" s="1">
        <v>0.77083333333333337</v>
      </c>
      <c r="O832" t="s">
        <v>47</v>
      </c>
    </row>
    <row r="833" spans="1:15" x14ac:dyDescent="0.3">
      <c r="A833" t="s">
        <v>873</v>
      </c>
      <c r="B833">
        <v>20250805</v>
      </c>
      <c r="C833" t="s">
        <v>16</v>
      </c>
      <c r="D833" t="s">
        <v>17</v>
      </c>
      <c r="E833" t="s">
        <v>22</v>
      </c>
      <c r="F833">
        <v>11978</v>
      </c>
      <c r="G833">
        <v>16803</v>
      </c>
      <c r="H833">
        <v>319</v>
      </c>
      <c r="I833">
        <v>38</v>
      </c>
      <c r="J833">
        <v>30</v>
      </c>
      <c r="K833">
        <v>31</v>
      </c>
      <c r="L833">
        <v>0</v>
      </c>
      <c r="M833">
        <v>200</v>
      </c>
      <c r="N833" s="1">
        <v>0.58333333333333337</v>
      </c>
      <c r="O833" t="s">
        <v>23</v>
      </c>
    </row>
    <row r="834" spans="1:15" x14ac:dyDescent="0.3">
      <c r="A834" t="s">
        <v>874</v>
      </c>
      <c r="B834">
        <v>20250710</v>
      </c>
      <c r="C834" t="s">
        <v>40</v>
      </c>
      <c r="D834" t="s">
        <v>17</v>
      </c>
      <c r="E834" t="s">
        <v>26</v>
      </c>
      <c r="F834">
        <v>5328</v>
      </c>
      <c r="G834">
        <v>7126</v>
      </c>
      <c r="H834">
        <v>265</v>
      </c>
      <c r="I834">
        <v>23</v>
      </c>
      <c r="J834">
        <v>32</v>
      </c>
      <c r="K834">
        <v>42</v>
      </c>
      <c r="L834">
        <v>3747</v>
      </c>
      <c r="M834">
        <v>88</v>
      </c>
      <c r="N834" s="1">
        <v>0.65625</v>
      </c>
      <c r="O834" t="s">
        <v>19</v>
      </c>
    </row>
    <row r="835" spans="1:15" x14ac:dyDescent="0.3">
      <c r="A835" t="s">
        <v>875</v>
      </c>
      <c r="B835">
        <v>20250409</v>
      </c>
      <c r="C835" t="s">
        <v>16</v>
      </c>
      <c r="D835" t="s">
        <v>68</v>
      </c>
      <c r="E835" t="s">
        <v>26</v>
      </c>
      <c r="F835">
        <v>19401</v>
      </c>
      <c r="G835">
        <v>31730</v>
      </c>
      <c r="H835">
        <v>1763</v>
      </c>
      <c r="I835">
        <v>81</v>
      </c>
      <c r="J835">
        <v>341</v>
      </c>
      <c r="K835">
        <v>35</v>
      </c>
      <c r="L835">
        <v>9952</v>
      </c>
      <c r="M835">
        <v>244</v>
      </c>
      <c r="N835" s="1">
        <v>0.88541666666666663</v>
      </c>
      <c r="O835" t="s">
        <v>38</v>
      </c>
    </row>
    <row r="836" spans="1:15" x14ac:dyDescent="0.3">
      <c r="A836" t="s">
        <v>876</v>
      </c>
      <c r="B836">
        <v>20260430</v>
      </c>
      <c r="C836" t="s">
        <v>25</v>
      </c>
      <c r="D836" t="s">
        <v>21</v>
      </c>
      <c r="E836" t="s">
        <v>22</v>
      </c>
      <c r="F836">
        <v>5430</v>
      </c>
      <c r="G836">
        <v>5942</v>
      </c>
      <c r="H836">
        <v>613</v>
      </c>
      <c r="I836">
        <v>48</v>
      </c>
      <c r="J836">
        <v>49</v>
      </c>
      <c r="K836">
        <v>83</v>
      </c>
      <c r="L836">
        <v>0</v>
      </c>
      <c r="M836">
        <v>48</v>
      </c>
      <c r="N836" s="1">
        <v>0.5625</v>
      </c>
      <c r="O836" t="s">
        <v>34</v>
      </c>
    </row>
    <row r="837" spans="1:15" x14ac:dyDescent="0.3">
      <c r="A837" t="s">
        <v>877</v>
      </c>
      <c r="B837">
        <v>20251212</v>
      </c>
      <c r="C837" t="s">
        <v>25</v>
      </c>
      <c r="D837" t="s">
        <v>36</v>
      </c>
      <c r="E837" t="s">
        <v>18</v>
      </c>
      <c r="F837">
        <v>6477</v>
      </c>
      <c r="G837">
        <v>8035</v>
      </c>
      <c r="H837">
        <v>767</v>
      </c>
      <c r="I837">
        <v>99</v>
      </c>
      <c r="J837">
        <v>123</v>
      </c>
      <c r="K837">
        <v>81</v>
      </c>
      <c r="L837">
        <v>0</v>
      </c>
      <c r="M837">
        <v>35</v>
      </c>
      <c r="N837" s="1">
        <v>0.66666666666666663</v>
      </c>
      <c r="O837" t="s">
        <v>53</v>
      </c>
    </row>
    <row r="838" spans="1:15" x14ac:dyDescent="0.3">
      <c r="A838" t="s">
        <v>878</v>
      </c>
      <c r="B838">
        <v>20250427</v>
      </c>
      <c r="C838" t="s">
        <v>16</v>
      </c>
      <c r="D838" t="s">
        <v>33</v>
      </c>
      <c r="E838" t="s">
        <v>51</v>
      </c>
      <c r="F838">
        <v>22697</v>
      </c>
      <c r="G838">
        <v>31845</v>
      </c>
      <c r="H838">
        <v>885</v>
      </c>
      <c r="I838">
        <v>47</v>
      </c>
      <c r="J838">
        <v>59</v>
      </c>
      <c r="K838">
        <v>34</v>
      </c>
      <c r="L838">
        <v>0</v>
      </c>
      <c r="M838">
        <v>88</v>
      </c>
      <c r="N838" s="1">
        <v>0.9375</v>
      </c>
      <c r="O838" t="s">
        <v>34</v>
      </c>
    </row>
    <row r="839" spans="1:15" x14ac:dyDescent="0.3">
      <c r="A839" t="s">
        <v>879</v>
      </c>
      <c r="B839">
        <v>20260217</v>
      </c>
      <c r="C839" t="s">
        <v>16</v>
      </c>
      <c r="D839" t="s">
        <v>36</v>
      </c>
      <c r="E839" t="s">
        <v>51</v>
      </c>
      <c r="F839">
        <v>15362</v>
      </c>
      <c r="G839">
        <v>16447</v>
      </c>
      <c r="H839">
        <v>571</v>
      </c>
      <c r="I839">
        <v>45</v>
      </c>
      <c r="J839">
        <v>83</v>
      </c>
      <c r="K839">
        <v>23</v>
      </c>
      <c r="L839">
        <v>0</v>
      </c>
      <c r="M839">
        <v>81</v>
      </c>
      <c r="N839" s="1">
        <v>0.84375</v>
      </c>
      <c r="O839" t="s">
        <v>47</v>
      </c>
    </row>
    <row r="840" spans="1:15" x14ac:dyDescent="0.3">
      <c r="A840" t="s">
        <v>880</v>
      </c>
      <c r="B840">
        <v>20250829</v>
      </c>
      <c r="C840" t="s">
        <v>32</v>
      </c>
      <c r="D840" t="s">
        <v>61</v>
      </c>
      <c r="E840" t="s">
        <v>41</v>
      </c>
      <c r="F840">
        <v>15237</v>
      </c>
      <c r="G840">
        <v>24057</v>
      </c>
      <c r="H840">
        <v>1223</v>
      </c>
      <c r="I840">
        <v>53</v>
      </c>
      <c r="J840">
        <v>37</v>
      </c>
      <c r="K840">
        <v>180</v>
      </c>
      <c r="L840">
        <v>9988</v>
      </c>
      <c r="M840">
        <v>18</v>
      </c>
      <c r="N840" s="1">
        <v>0.59375</v>
      </c>
      <c r="O840" t="s">
        <v>49</v>
      </c>
    </row>
    <row r="841" spans="1:15" x14ac:dyDescent="0.3">
      <c r="A841" t="s">
        <v>881</v>
      </c>
      <c r="B841">
        <v>20260817</v>
      </c>
      <c r="C841" t="s">
        <v>44</v>
      </c>
      <c r="D841" t="s">
        <v>17</v>
      </c>
      <c r="E841" t="s">
        <v>18</v>
      </c>
      <c r="F841">
        <v>16661</v>
      </c>
      <c r="G841">
        <v>24754</v>
      </c>
      <c r="H841">
        <v>966</v>
      </c>
      <c r="I841">
        <v>67</v>
      </c>
      <c r="J841">
        <v>176</v>
      </c>
      <c r="K841">
        <v>70</v>
      </c>
      <c r="L841">
        <v>0</v>
      </c>
      <c r="M841">
        <v>228</v>
      </c>
      <c r="N841" s="1">
        <v>0.58333333333333337</v>
      </c>
      <c r="O841" t="s">
        <v>42</v>
      </c>
    </row>
    <row r="842" spans="1:15" x14ac:dyDescent="0.3">
      <c r="A842" t="s">
        <v>882</v>
      </c>
      <c r="B842">
        <v>20260419</v>
      </c>
      <c r="C842" t="s">
        <v>44</v>
      </c>
      <c r="D842" t="s">
        <v>21</v>
      </c>
      <c r="E842" t="s">
        <v>26</v>
      </c>
      <c r="F842">
        <v>59825</v>
      </c>
      <c r="G842">
        <v>86151</v>
      </c>
      <c r="H842">
        <v>2505</v>
      </c>
      <c r="I842">
        <v>315</v>
      </c>
      <c r="J842">
        <v>98</v>
      </c>
      <c r="K842">
        <v>316</v>
      </c>
      <c r="L842">
        <v>47904</v>
      </c>
      <c r="M842">
        <v>995</v>
      </c>
      <c r="N842" s="1">
        <v>0.86458333333333337</v>
      </c>
      <c r="O842" t="s">
        <v>27</v>
      </c>
    </row>
    <row r="843" spans="1:15" x14ac:dyDescent="0.3">
      <c r="A843" t="s">
        <v>883</v>
      </c>
      <c r="B843">
        <v>20250801</v>
      </c>
      <c r="C843" t="s">
        <v>16</v>
      </c>
      <c r="D843" t="s">
        <v>61</v>
      </c>
      <c r="E843" t="s">
        <v>18</v>
      </c>
      <c r="F843">
        <v>17328</v>
      </c>
      <c r="G843">
        <v>20058</v>
      </c>
      <c r="H843">
        <v>1130</v>
      </c>
      <c r="I843">
        <v>43</v>
      </c>
      <c r="J843">
        <v>74</v>
      </c>
      <c r="K843">
        <v>124</v>
      </c>
      <c r="L843">
        <v>0</v>
      </c>
      <c r="M843">
        <v>293</v>
      </c>
      <c r="N843" s="1">
        <v>0.71875</v>
      </c>
      <c r="O843" t="s">
        <v>30</v>
      </c>
    </row>
    <row r="844" spans="1:15" x14ac:dyDescent="0.3">
      <c r="A844" t="s">
        <v>884</v>
      </c>
      <c r="B844">
        <v>20260205</v>
      </c>
      <c r="C844" t="s">
        <v>44</v>
      </c>
      <c r="D844" t="s">
        <v>36</v>
      </c>
      <c r="E844" t="s">
        <v>46</v>
      </c>
      <c r="F844">
        <v>62783</v>
      </c>
      <c r="G844">
        <v>85778</v>
      </c>
      <c r="H844">
        <v>6286</v>
      </c>
      <c r="I844">
        <v>305</v>
      </c>
      <c r="J844">
        <v>853</v>
      </c>
      <c r="K844">
        <v>428</v>
      </c>
      <c r="L844">
        <v>52002</v>
      </c>
      <c r="M844">
        <v>394</v>
      </c>
      <c r="N844" s="1">
        <v>0.86458333333333337</v>
      </c>
      <c r="O844" t="s">
        <v>23</v>
      </c>
    </row>
    <row r="845" spans="1:15" x14ac:dyDescent="0.3">
      <c r="A845" t="s">
        <v>885</v>
      </c>
      <c r="B845">
        <v>20250325</v>
      </c>
      <c r="C845" t="s">
        <v>40</v>
      </c>
      <c r="D845" t="s">
        <v>36</v>
      </c>
      <c r="E845" t="s">
        <v>46</v>
      </c>
      <c r="F845">
        <v>17038</v>
      </c>
      <c r="G845">
        <v>19084</v>
      </c>
      <c r="H845">
        <v>1988</v>
      </c>
      <c r="I845">
        <v>108</v>
      </c>
      <c r="J845">
        <v>338</v>
      </c>
      <c r="K845">
        <v>107</v>
      </c>
      <c r="L845">
        <v>10072</v>
      </c>
      <c r="M845">
        <v>173</v>
      </c>
      <c r="N845" s="1">
        <v>0.40625</v>
      </c>
      <c r="O845" t="s">
        <v>38</v>
      </c>
    </row>
    <row r="846" spans="1:15" x14ac:dyDescent="0.3">
      <c r="A846" t="s">
        <v>886</v>
      </c>
      <c r="B846">
        <v>20260104</v>
      </c>
      <c r="C846" t="s">
        <v>40</v>
      </c>
      <c r="D846" t="s">
        <v>33</v>
      </c>
      <c r="E846" t="s">
        <v>26</v>
      </c>
      <c r="F846">
        <v>11099</v>
      </c>
      <c r="G846">
        <v>16205</v>
      </c>
      <c r="H846">
        <v>411</v>
      </c>
      <c r="I846">
        <v>11</v>
      </c>
      <c r="J846">
        <v>70</v>
      </c>
      <c r="K846">
        <v>24</v>
      </c>
      <c r="L846">
        <v>7216</v>
      </c>
      <c r="M846">
        <v>16</v>
      </c>
      <c r="N846" s="1">
        <v>0.90625</v>
      </c>
      <c r="O846" t="s">
        <v>49</v>
      </c>
    </row>
    <row r="847" spans="1:15" x14ac:dyDescent="0.3">
      <c r="A847" t="s">
        <v>887</v>
      </c>
      <c r="B847">
        <v>20250114</v>
      </c>
      <c r="C847" t="s">
        <v>40</v>
      </c>
      <c r="D847" t="s">
        <v>21</v>
      </c>
      <c r="E847" t="s">
        <v>22</v>
      </c>
      <c r="F847">
        <v>31646</v>
      </c>
      <c r="G847">
        <v>37167</v>
      </c>
      <c r="H847">
        <v>1701</v>
      </c>
      <c r="I847">
        <v>209</v>
      </c>
      <c r="J847">
        <v>277</v>
      </c>
      <c r="K847">
        <v>130</v>
      </c>
      <c r="L847">
        <v>0</v>
      </c>
      <c r="M847">
        <v>110</v>
      </c>
      <c r="N847" s="1">
        <v>0.70833333333333337</v>
      </c>
      <c r="O847" t="s">
        <v>34</v>
      </c>
    </row>
    <row r="848" spans="1:15" x14ac:dyDescent="0.3">
      <c r="A848" t="s">
        <v>621</v>
      </c>
      <c r="B848">
        <v>20260303</v>
      </c>
      <c r="C848" t="s">
        <v>16</v>
      </c>
      <c r="D848" t="s">
        <v>68</v>
      </c>
      <c r="E848" t="s">
        <v>18</v>
      </c>
      <c r="F848">
        <v>8016</v>
      </c>
      <c r="G848">
        <v>10089</v>
      </c>
      <c r="H848">
        <v>762</v>
      </c>
      <c r="I848">
        <v>92</v>
      </c>
      <c r="J848">
        <v>80</v>
      </c>
      <c r="K848">
        <v>105</v>
      </c>
      <c r="L848">
        <v>0</v>
      </c>
      <c r="M848">
        <v>126</v>
      </c>
      <c r="N848" s="1">
        <v>0.44791666666666669</v>
      </c>
      <c r="O848" t="s">
        <v>23</v>
      </c>
    </row>
    <row r="849" spans="1:15" x14ac:dyDescent="0.3">
      <c r="A849" t="s">
        <v>888</v>
      </c>
      <c r="B849">
        <v>20250220</v>
      </c>
      <c r="C849" t="s">
        <v>44</v>
      </c>
      <c r="D849" t="s">
        <v>21</v>
      </c>
      <c r="E849" t="s">
        <v>41</v>
      </c>
      <c r="F849">
        <v>76713</v>
      </c>
      <c r="G849">
        <v>125370</v>
      </c>
      <c r="H849">
        <v>4031</v>
      </c>
      <c r="I849">
        <v>165</v>
      </c>
      <c r="J849">
        <v>767</v>
      </c>
      <c r="K849">
        <v>445</v>
      </c>
      <c r="L849">
        <v>56916</v>
      </c>
      <c r="M849">
        <v>386</v>
      </c>
      <c r="N849" s="1">
        <v>0.38541666666666669</v>
      </c>
      <c r="O849" t="s">
        <v>30</v>
      </c>
    </row>
    <row r="850" spans="1:15" x14ac:dyDescent="0.3">
      <c r="A850" t="s">
        <v>889</v>
      </c>
      <c r="B850">
        <v>20251107</v>
      </c>
      <c r="C850" t="s">
        <v>25</v>
      </c>
      <c r="D850" t="s">
        <v>36</v>
      </c>
      <c r="E850" t="s">
        <v>26</v>
      </c>
      <c r="F850">
        <v>3886</v>
      </c>
      <c r="G850">
        <v>5482</v>
      </c>
      <c r="H850">
        <v>97</v>
      </c>
      <c r="I850">
        <v>10</v>
      </c>
      <c r="J850">
        <v>12</v>
      </c>
      <c r="K850">
        <v>2</v>
      </c>
      <c r="L850">
        <v>3380</v>
      </c>
      <c r="M850">
        <v>32</v>
      </c>
      <c r="N850" s="1">
        <v>0.33333333333333331</v>
      </c>
      <c r="O850" t="s">
        <v>47</v>
      </c>
    </row>
    <row r="851" spans="1:15" x14ac:dyDescent="0.3">
      <c r="A851" t="s">
        <v>890</v>
      </c>
      <c r="B851">
        <v>20250306</v>
      </c>
      <c r="C851" t="s">
        <v>25</v>
      </c>
      <c r="D851" t="s">
        <v>68</v>
      </c>
      <c r="E851" t="s">
        <v>46</v>
      </c>
      <c r="F851">
        <v>13314</v>
      </c>
      <c r="G851">
        <v>17046</v>
      </c>
      <c r="H851">
        <v>1115</v>
      </c>
      <c r="I851">
        <v>68</v>
      </c>
      <c r="J851">
        <v>195</v>
      </c>
      <c r="K851">
        <v>45</v>
      </c>
      <c r="L851">
        <v>10815</v>
      </c>
      <c r="M851">
        <v>164</v>
      </c>
      <c r="N851" s="1">
        <v>0.91666666666666663</v>
      </c>
      <c r="O851" t="s">
        <v>23</v>
      </c>
    </row>
    <row r="852" spans="1:15" x14ac:dyDescent="0.3">
      <c r="A852" t="s">
        <v>891</v>
      </c>
      <c r="B852">
        <v>20250314</v>
      </c>
      <c r="C852" t="s">
        <v>16</v>
      </c>
      <c r="D852" t="s">
        <v>29</v>
      </c>
      <c r="E852" t="s">
        <v>51</v>
      </c>
      <c r="F852">
        <v>18059</v>
      </c>
      <c r="G852">
        <v>29464</v>
      </c>
      <c r="H852">
        <v>1234</v>
      </c>
      <c r="I852">
        <v>120</v>
      </c>
      <c r="J852">
        <v>244</v>
      </c>
      <c r="K852">
        <v>109</v>
      </c>
      <c r="L852">
        <v>0</v>
      </c>
      <c r="M852">
        <v>282</v>
      </c>
      <c r="N852" s="1">
        <v>0.91666666666666663</v>
      </c>
      <c r="O852" t="s">
        <v>23</v>
      </c>
    </row>
    <row r="853" spans="1:15" x14ac:dyDescent="0.3">
      <c r="A853" t="s">
        <v>892</v>
      </c>
      <c r="B853">
        <v>20250330</v>
      </c>
      <c r="C853" t="s">
        <v>32</v>
      </c>
      <c r="D853" t="s">
        <v>21</v>
      </c>
      <c r="E853" t="s">
        <v>26</v>
      </c>
      <c r="F853">
        <v>14108</v>
      </c>
      <c r="G853">
        <v>15693</v>
      </c>
      <c r="H853">
        <v>1594</v>
      </c>
      <c r="I853">
        <v>95</v>
      </c>
      <c r="J853">
        <v>311</v>
      </c>
      <c r="K853">
        <v>123</v>
      </c>
      <c r="L853">
        <v>10564</v>
      </c>
      <c r="M853">
        <v>169</v>
      </c>
      <c r="N853" s="1">
        <v>0.46875</v>
      </c>
      <c r="O853" t="s">
        <v>42</v>
      </c>
    </row>
    <row r="854" spans="1:15" x14ac:dyDescent="0.3">
      <c r="A854" t="s">
        <v>893</v>
      </c>
      <c r="B854">
        <v>20250124</v>
      </c>
      <c r="C854" t="s">
        <v>40</v>
      </c>
      <c r="D854" t="s">
        <v>29</v>
      </c>
      <c r="E854" t="s">
        <v>22</v>
      </c>
      <c r="F854">
        <v>16399</v>
      </c>
      <c r="G854">
        <v>20549</v>
      </c>
      <c r="H854">
        <v>1629</v>
      </c>
      <c r="I854">
        <v>189</v>
      </c>
      <c r="J854">
        <v>74</v>
      </c>
      <c r="K854">
        <v>105</v>
      </c>
      <c r="L854">
        <v>0</v>
      </c>
      <c r="M854">
        <v>57</v>
      </c>
      <c r="N854" s="1">
        <v>0.35416666666666669</v>
      </c>
      <c r="O854" t="s">
        <v>19</v>
      </c>
    </row>
    <row r="855" spans="1:15" x14ac:dyDescent="0.3">
      <c r="A855" t="s">
        <v>894</v>
      </c>
      <c r="B855">
        <v>20260124</v>
      </c>
      <c r="C855" t="s">
        <v>40</v>
      </c>
      <c r="D855" t="s">
        <v>33</v>
      </c>
      <c r="E855" t="s">
        <v>51</v>
      </c>
      <c r="F855">
        <v>19541</v>
      </c>
      <c r="G855">
        <v>25617</v>
      </c>
      <c r="H855">
        <v>1468</v>
      </c>
      <c r="I855">
        <v>89</v>
      </c>
      <c r="J855">
        <v>259</v>
      </c>
      <c r="K855">
        <v>193</v>
      </c>
      <c r="L855">
        <v>0</v>
      </c>
      <c r="M855">
        <v>213</v>
      </c>
      <c r="N855" s="1">
        <v>0.47916666666666669</v>
      </c>
      <c r="O855" t="s">
        <v>38</v>
      </c>
    </row>
    <row r="856" spans="1:15" x14ac:dyDescent="0.3">
      <c r="A856" t="s">
        <v>895</v>
      </c>
      <c r="B856">
        <v>20260607</v>
      </c>
      <c r="C856" t="s">
        <v>16</v>
      </c>
      <c r="D856" t="s">
        <v>21</v>
      </c>
      <c r="E856" t="s">
        <v>18</v>
      </c>
      <c r="F856">
        <v>8853</v>
      </c>
      <c r="G856">
        <v>11411</v>
      </c>
      <c r="H856">
        <v>932</v>
      </c>
      <c r="I856">
        <v>104</v>
      </c>
      <c r="J856">
        <v>125</v>
      </c>
      <c r="K856">
        <v>26</v>
      </c>
      <c r="L856">
        <v>0</v>
      </c>
      <c r="M856">
        <v>44</v>
      </c>
      <c r="N856" s="1">
        <v>0.53125</v>
      </c>
    </row>
    <row r="857" spans="1:15" x14ac:dyDescent="0.3">
      <c r="A857" t="s">
        <v>896</v>
      </c>
      <c r="B857">
        <v>20250319</v>
      </c>
      <c r="C857" t="s">
        <v>44</v>
      </c>
      <c r="D857" t="s">
        <v>17</v>
      </c>
      <c r="E857" t="s">
        <v>18</v>
      </c>
      <c r="F857">
        <v>42733</v>
      </c>
      <c r="G857">
        <v>48444</v>
      </c>
      <c r="H857">
        <v>4305</v>
      </c>
      <c r="I857">
        <v>484</v>
      </c>
      <c r="J857">
        <v>204</v>
      </c>
      <c r="K857">
        <v>553</v>
      </c>
      <c r="L857">
        <v>0</v>
      </c>
      <c r="M857">
        <v>686</v>
      </c>
      <c r="N857" s="1">
        <v>0.75</v>
      </c>
      <c r="O857" t="s">
        <v>38</v>
      </c>
    </row>
    <row r="858" spans="1:15" x14ac:dyDescent="0.3">
      <c r="A858" t="s">
        <v>897</v>
      </c>
      <c r="B858">
        <v>20251007</v>
      </c>
      <c r="C858" t="s">
        <v>16</v>
      </c>
      <c r="D858" t="s">
        <v>36</v>
      </c>
      <c r="E858" t="s">
        <v>26</v>
      </c>
      <c r="F858">
        <v>25227</v>
      </c>
      <c r="G858">
        <v>29423</v>
      </c>
      <c r="H858">
        <v>1689</v>
      </c>
      <c r="I858">
        <v>43</v>
      </c>
      <c r="J858">
        <v>297</v>
      </c>
      <c r="K858">
        <v>246</v>
      </c>
      <c r="L858">
        <v>22031</v>
      </c>
      <c r="M858">
        <v>363</v>
      </c>
      <c r="N858" s="1">
        <v>0.9375</v>
      </c>
      <c r="O858" t="s">
        <v>34</v>
      </c>
    </row>
    <row r="859" spans="1:15" x14ac:dyDescent="0.3">
      <c r="A859" t="s">
        <v>898</v>
      </c>
      <c r="B859">
        <v>20250406</v>
      </c>
      <c r="C859" t="s">
        <v>25</v>
      </c>
      <c r="D859" t="s">
        <v>17</v>
      </c>
      <c r="E859" t="s">
        <v>18</v>
      </c>
      <c r="F859">
        <v>14921</v>
      </c>
      <c r="G859">
        <v>23987</v>
      </c>
      <c r="H859">
        <v>765</v>
      </c>
      <c r="I859">
        <v>19</v>
      </c>
      <c r="J859">
        <v>102</v>
      </c>
      <c r="K859">
        <v>42</v>
      </c>
      <c r="L859">
        <v>0</v>
      </c>
      <c r="M859">
        <v>268</v>
      </c>
      <c r="N859" s="1">
        <v>0.83333333333333337</v>
      </c>
      <c r="O859" t="s">
        <v>30</v>
      </c>
    </row>
    <row r="860" spans="1:15" x14ac:dyDescent="0.3">
      <c r="A860" t="s">
        <v>899</v>
      </c>
      <c r="B860">
        <v>20260316</v>
      </c>
      <c r="C860" t="s">
        <v>16</v>
      </c>
      <c r="D860" t="s">
        <v>29</v>
      </c>
      <c r="E860" t="s">
        <v>26</v>
      </c>
      <c r="F860">
        <v>12208</v>
      </c>
      <c r="G860">
        <v>14546</v>
      </c>
      <c r="H860">
        <v>1158</v>
      </c>
      <c r="I860">
        <v>46</v>
      </c>
      <c r="J860">
        <v>154</v>
      </c>
      <c r="K860">
        <v>64</v>
      </c>
      <c r="L860">
        <v>6779</v>
      </c>
      <c r="M860">
        <v>12</v>
      </c>
      <c r="N860" s="1">
        <v>0.5</v>
      </c>
      <c r="O860" t="s">
        <v>27</v>
      </c>
    </row>
    <row r="861" spans="1:15" x14ac:dyDescent="0.3">
      <c r="A861" t="s">
        <v>900</v>
      </c>
      <c r="B861">
        <v>20251014</v>
      </c>
      <c r="C861" t="s">
        <v>25</v>
      </c>
      <c r="E861" t="s">
        <v>18</v>
      </c>
      <c r="F861">
        <v>20011</v>
      </c>
      <c r="G861">
        <v>32754</v>
      </c>
      <c r="H861">
        <v>2360</v>
      </c>
      <c r="I861">
        <v>81</v>
      </c>
      <c r="J861">
        <v>143</v>
      </c>
      <c r="K861">
        <v>303</v>
      </c>
      <c r="L861">
        <v>0</v>
      </c>
      <c r="M861">
        <v>304</v>
      </c>
      <c r="N861" s="1">
        <v>0.58333333333333337</v>
      </c>
      <c r="O861" t="s">
        <v>30</v>
      </c>
    </row>
    <row r="862" spans="1:15" x14ac:dyDescent="0.3">
      <c r="A862" t="s">
        <v>901</v>
      </c>
      <c r="B862">
        <v>20251116</v>
      </c>
      <c r="C862" t="s">
        <v>44</v>
      </c>
      <c r="D862" t="s">
        <v>17</v>
      </c>
      <c r="E862" t="s">
        <v>41</v>
      </c>
      <c r="F862">
        <v>50146</v>
      </c>
      <c r="G862">
        <v>73638</v>
      </c>
      <c r="H862">
        <v>2212</v>
      </c>
      <c r="I862">
        <v>175</v>
      </c>
      <c r="J862">
        <v>124</v>
      </c>
      <c r="K862">
        <v>130</v>
      </c>
      <c r="L862">
        <v>32936</v>
      </c>
      <c r="M862">
        <v>179</v>
      </c>
      <c r="N862" s="1">
        <v>0.55208333333333337</v>
      </c>
      <c r="O862" t="s">
        <v>47</v>
      </c>
    </row>
    <row r="863" spans="1:15" x14ac:dyDescent="0.3">
      <c r="A863" t="s">
        <v>902</v>
      </c>
      <c r="B863">
        <v>20250705</v>
      </c>
      <c r="C863" t="s">
        <v>44</v>
      </c>
      <c r="D863" t="s">
        <v>61</v>
      </c>
      <c r="E863" t="s">
        <v>46</v>
      </c>
      <c r="F863">
        <v>49829</v>
      </c>
      <c r="G863">
        <v>56620</v>
      </c>
      <c r="H863">
        <v>5127</v>
      </c>
      <c r="I863">
        <v>147</v>
      </c>
      <c r="J863">
        <v>218</v>
      </c>
      <c r="K863">
        <v>656</v>
      </c>
      <c r="L863">
        <v>29769</v>
      </c>
      <c r="M863">
        <v>493</v>
      </c>
      <c r="N863" s="1">
        <v>0.41666666666666669</v>
      </c>
      <c r="O863" t="s">
        <v>49</v>
      </c>
    </row>
    <row r="864" spans="1:15" x14ac:dyDescent="0.3">
      <c r="A864" t="s">
        <v>903</v>
      </c>
      <c r="B864">
        <v>20260608</v>
      </c>
      <c r="C864" t="s">
        <v>32</v>
      </c>
      <c r="D864" t="s">
        <v>17</v>
      </c>
      <c r="E864" t="s">
        <v>18</v>
      </c>
      <c r="F864">
        <v>12952</v>
      </c>
      <c r="G864">
        <v>20839</v>
      </c>
      <c r="H864">
        <v>1072</v>
      </c>
      <c r="I864">
        <v>104</v>
      </c>
      <c r="J864">
        <v>152</v>
      </c>
      <c r="K864">
        <v>71</v>
      </c>
      <c r="L864">
        <v>0</v>
      </c>
      <c r="M864">
        <v>96</v>
      </c>
      <c r="N864" s="1">
        <v>0.9375</v>
      </c>
      <c r="O864" t="s">
        <v>49</v>
      </c>
    </row>
    <row r="865" spans="1:15" x14ac:dyDescent="0.3">
      <c r="A865" t="s">
        <v>904</v>
      </c>
      <c r="B865">
        <v>20250520</v>
      </c>
      <c r="C865" t="s">
        <v>44</v>
      </c>
      <c r="D865" t="s">
        <v>68</v>
      </c>
      <c r="E865" t="s">
        <v>41</v>
      </c>
      <c r="F865">
        <v>55076</v>
      </c>
      <c r="G865">
        <v>68984</v>
      </c>
      <c r="H865">
        <v>4529</v>
      </c>
      <c r="I865">
        <v>570</v>
      </c>
      <c r="J865">
        <v>450</v>
      </c>
      <c r="K865">
        <v>188</v>
      </c>
      <c r="L865">
        <v>48158</v>
      </c>
      <c r="M865">
        <v>476</v>
      </c>
      <c r="N865" s="1">
        <v>0.44791666666666669</v>
      </c>
      <c r="O865" t="s">
        <v>30</v>
      </c>
    </row>
    <row r="866" spans="1:15" x14ac:dyDescent="0.3">
      <c r="A866" t="s">
        <v>905</v>
      </c>
      <c r="B866">
        <v>20250409</v>
      </c>
      <c r="C866" t="s">
        <v>40</v>
      </c>
      <c r="D866" t="s">
        <v>36</v>
      </c>
      <c r="E866" t="s">
        <v>22</v>
      </c>
      <c r="F866">
        <v>28504</v>
      </c>
      <c r="G866">
        <v>36357</v>
      </c>
      <c r="H866">
        <v>2526</v>
      </c>
      <c r="I866">
        <v>320</v>
      </c>
      <c r="J866">
        <v>121</v>
      </c>
      <c r="K866">
        <v>168</v>
      </c>
      <c r="L866">
        <v>0</v>
      </c>
      <c r="M866">
        <v>209</v>
      </c>
      <c r="N866" s="1">
        <v>0.86458333333333337</v>
      </c>
      <c r="O866" t="s">
        <v>49</v>
      </c>
    </row>
    <row r="867" spans="1:15" x14ac:dyDescent="0.3">
      <c r="A867" t="s">
        <v>906</v>
      </c>
      <c r="B867">
        <v>20251104</v>
      </c>
      <c r="C867" t="s">
        <v>32</v>
      </c>
      <c r="D867" t="s">
        <v>21</v>
      </c>
      <c r="E867" t="s">
        <v>26</v>
      </c>
      <c r="F867">
        <v>10048</v>
      </c>
      <c r="G867">
        <v>13957</v>
      </c>
      <c r="H867">
        <v>751</v>
      </c>
      <c r="I867">
        <v>35</v>
      </c>
      <c r="J867">
        <v>109</v>
      </c>
      <c r="K867">
        <v>27</v>
      </c>
      <c r="L867">
        <v>7303</v>
      </c>
      <c r="M867">
        <v>51</v>
      </c>
      <c r="N867" s="1">
        <v>0.57291666666666663</v>
      </c>
      <c r="O867" t="s">
        <v>27</v>
      </c>
    </row>
    <row r="868" spans="1:15" x14ac:dyDescent="0.3">
      <c r="A868" t="s">
        <v>907</v>
      </c>
      <c r="B868">
        <v>20251225</v>
      </c>
      <c r="C868" t="s">
        <v>40</v>
      </c>
      <c r="D868" t="s">
        <v>21</v>
      </c>
      <c r="E868" t="s">
        <v>18</v>
      </c>
      <c r="F868">
        <v>8416</v>
      </c>
      <c r="G868">
        <v>12548</v>
      </c>
      <c r="H868">
        <v>996</v>
      </c>
      <c r="I868">
        <v>99</v>
      </c>
      <c r="J868">
        <v>179</v>
      </c>
      <c r="K868">
        <v>32</v>
      </c>
      <c r="L868">
        <v>0</v>
      </c>
      <c r="M868">
        <v>128</v>
      </c>
      <c r="N868" s="1">
        <v>0.71875</v>
      </c>
      <c r="O868" t="s">
        <v>27</v>
      </c>
    </row>
    <row r="869" spans="1:15" x14ac:dyDescent="0.3">
      <c r="A869" t="s">
        <v>908</v>
      </c>
      <c r="B869">
        <v>20260427</v>
      </c>
      <c r="C869" t="s">
        <v>40</v>
      </c>
      <c r="D869" t="s">
        <v>36</v>
      </c>
      <c r="E869" t="s">
        <v>41</v>
      </c>
      <c r="F869">
        <v>81021</v>
      </c>
      <c r="G869">
        <v>117143</v>
      </c>
      <c r="H869">
        <v>6041</v>
      </c>
      <c r="I869">
        <v>213</v>
      </c>
      <c r="J869">
        <v>533</v>
      </c>
      <c r="K869">
        <v>613</v>
      </c>
      <c r="L869">
        <v>68415</v>
      </c>
      <c r="M869">
        <v>922</v>
      </c>
      <c r="N869" s="1">
        <v>0.47916666666666669</v>
      </c>
      <c r="O869" t="s">
        <v>19</v>
      </c>
    </row>
    <row r="870" spans="1:15" x14ac:dyDescent="0.3">
      <c r="A870" t="s">
        <v>909</v>
      </c>
      <c r="B870">
        <v>20250916</v>
      </c>
      <c r="C870" t="s">
        <v>25</v>
      </c>
      <c r="D870" t="s">
        <v>33</v>
      </c>
      <c r="E870" t="s">
        <v>26</v>
      </c>
      <c r="F870">
        <v>10035</v>
      </c>
      <c r="G870">
        <v>11624</v>
      </c>
      <c r="H870">
        <v>1145</v>
      </c>
      <c r="I870">
        <v>87</v>
      </c>
      <c r="J870">
        <v>183</v>
      </c>
      <c r="K870">
        <v>86</v>
      </c>
      <c r="L870">
        <v>4009</v>
      </c>
      <c r="M870">
        <v>168</v>
      </c>
      <c r="N870" s="1">
        <v>0.55208333333333337</v>
      </c>
      <c r="O870" t="s">
        <v>49</v>
      </c>
    </row>
    <row r="871" spans="1:15" x14ac:dyDescent="0.3">
      <c r="A871" t="s">
        <v>910</v>
      </c>
      <c r="B871">
        <v>20250522</v>
      </c>
      <c r="C871" t="s">
        <v>16</v>
      </c>
      <c r="D871" t="s">
        <v>36</v>
      </c>
      <c r="E871" t="s">
        <v>26</v>
      </c>
      <c r="F871">
        <v>16004</v>
      </c>
      <c r="G871">
        <v>18305</v>
      </c>
      <c r="H871">
        <v>1266</v>
      </c>
      <c r="I871">
        <v>109</v>
      </c>
      <c r="J871">
        <v>144</v>
      </c>
      <c r="K871">
        <v>106</v>
      </c>
      <c r="L871">
        <v>8870</v>
      </c>
      <c r="M871">
        <v>200</v>
      </c>
      <c r="N871" s="1">
        <v>0.33333333333333331</v>
      </c>
      <c r="O871" t="s">
        <v>19</v>
      </c>
    </row>
    <row r="872" spans="1:15" x14ac:dyDescent="0.3">
      <c r="A872" t="s">
        <v>911</v>
      </c>
      <c r="B872">
        <v>20260120</v>
      </c>
      <c r="C872" t="s">
        <v>16</v>
      </c>
      <c r="D872" t="s">
        <v>68</v>
      </c>
      <c r="E872" t="s">
        <v>41</v>
      </c>
      <c r="F872">
        <v>48231</v>
      </c>
      <c r="G872">
        <v>62347</v>
      </c>
      <c r="H872">
        <v>5006</v>
      </c>
      <c r="I872">
        <v>550</v>
      </c>
      <c r="J872">
        <v>357</v>
      </c>
      <c r="K872">
        <v>502</v>
      </c>
      <c r="L872">
        <v>31003</v>
      </c>
      <c r="M872">
        <v>594</v>
      </c>
      <c r="N872" s="1">
        <v>0.3125</v>
      </c>
      <c r="O872" t="s">
        <v>30</v>
      </c>
    </row>
    <row r="873" spans="1:15" x14ac:dyDescent="0.3">
      <c r="A873" t="s">
        <v>912</v>
      </c>
      <c r="B873">
        <v>20251029</v>
      </c>
      <c r="C873" t="s">
        <v>16</v>
      </c>
      <c r="D873" t="s">
        <v>33</v>
      </c>
      <c r="E873" t="s">
        <v>22</v>
      </c>
      <c r="F873">
        <v>17326</v>
      </c>
      <c r="G873">
        <v>28035</v>
      </c>
      <c r="H873">
        <v>1351</v>
      </c>
      <c r="I873">
        <v>47</v>
      </c>
      <c r="J873">
        <v>81</v>
      </c>
      <c r="K873">
        <v>72</v>
      </c>
      <c r="L873">
        <v>0</v>
      </c>
      <c r="M873">
        <v>49</v>
      </c>
      <c r="N873" s="1">
        <v>0.51041666666666663</v>
      </c>
      <c r="O873" t="s">
        <v>49</v>
      </c>
    </row>
    <row r="874" spans="1:15" x14ac:dyDescent="0.3">
      <c r="A874" t="s">
        <v>913</v>
      </c>
      <c r="B874">
        <v>20251214</v>
      </c>
      <c r="C874" t="s">
        <v>16</v>
      </c>
      <c r="D874" t="s">
        <v>33</v>
      </c>
      <c r="E874" t="s">
        <v>41</v>
      </c>
      <c r="F874">
        <v>28540</v>
      </c>
      <c r="G874">
        <v>35307</v>
      </c>
      <c r="H874">
        <v>2539</v>
      </c>
      <c r="I874">
        <v>272</v>
      </c>
      <c r="J874">
        <v>328</v>
      </c>
      <c r="K874">
        <v>81</v>
      </c>
      <c r="L874">
        <v>13873</v>
      </c>
      <c r="M874">
        <v>427</v>
      </c>
      <c r="N874" s="1">
        <v>0.54166666666666663</v>
      </c>
      <c r="O874" t="s">
        <v>53</v>
      </c>
    </row>
    <row r="875" spans="1:15" x14ac:dyDescent="0.3">
      <c r="A875" t="s">
        <v>914</v>
      </c>
      <c r="B875">
        <v>20260715</v>
      </c>
      <c r="C875" t="s">
        <v>40</v>
      </c>
      <c r="D875" t="s">
        <v>61</v>
      </c>
      <c r="E875" t="s">
        <v>41</v>
      </c>
      <c r="F875">
        <v>38125</v>
      </c>
      <c r="G875">
        <v>54578</v>
      </c>
      <c r="H875">
        <v>3597</v>
      </c>
      <c r="I875">
        <v>127</v>
      </c>
      <c r="J875">
        <v>461</v>
      </c>
      <c r="K875">
        <v>324</v>
      </c>
      <c r="L875">
        <v>24102</v>
      </c>
      <c r="M875">
        <v>589</v>
      </c>
      <c r="N875" s="1">
        <v>0.5</v>
      </c>
      <c r="O875" t="s">
        <v>27</v>
      </c>
    </row>
    <row r="876" spans="1:15" x14ac:dyDescent="0.3">
      <c r="A876" t="s">
        <v>915</v>
      </c>
      <c r="B876">
        <v>20251012</v>
      </c>
      <c r="C876" t="s">
        <v>44</v>
      </c>
      <c r="D876" t="s">
        <v>36</v>
      </c>
      <c r="E876" t="s">
        <v>41</v>
      </c>
      <c r="F876">
        <v>23285</v>
      </c>
      <c r="G876">
        <v>28263</v>
      </c>
      <c r="H876">
        <v>1754</v>
      </c>
      <c r="I876">
        <v>171</v>
      </c>
      <c r="J876">
        <v>202</v>
      </c>
      <c r="K876">
        <v>269</v>
      </c>
      <c r="L876">
        <v>17805</v>
      </c>
      <c r="M876">
        <v>64</v>
      </c>
      <c r="N876" s="1">
        <v>0.36458333333333331</v>
      </c>
    </row>
    <row r="877" spans="1:15" x14ac:dyDescent="0.3">
      <c r="A877" t="s">
        <v>916</v>
      </c>
      <c r="B877">
        <v>20250811</v>
      </c>
      <c r="C877" t="s">
        <v>25</v>
      </c>
      <c r="D877" t="s">
        <v>36</v>
      </c>
      <c r="E877" t="s">
        <v>22</v>
      </c>
      <c r="F877">
        <v>6524</v>
      </c>
      <c r="G877">
        <v>9575</v>
      </c>
      <c r="H877">
        <v>680</v>
      </c>
      <c r="I877">
        <v>37</v>
      </c>
      <c r="J877">
        <v>67</v>
      </c>
      <c r="K877">
        <v>67</v>
      </c>
      <c r="L877">
        <v>0</v>
      </c>
      <c r="M877">
        <v>41</v>
      </c>
      <c r="N877" s="1">
        <v>0.9375</v>
      </c>
      <c r="O877" t="s">
        <v>34</v>
      </c>
    </row>
    <row r="878" spans="1:15" x14ac:dyDescent="0.3">
      <c r="A878" t="s">
        <v>917</v>
      </c>
      <c r="B878">
        <v>20250211</v>
      </c>
      <c r="C878" t="s">
        <v>25</v>
      </c>
      <c r="D878" t="s">
        <v>33</v>
      </c>
      <c r="E878" t="s">
        <v>22</v>
      </c>
      <c r="F878">
        <v>5007</v>
      </c>
      <c r="G878">
        <v>5789</v>
      </c>
      <c r="H878">
        <v>290</v>
      </c>
      <c r="I878">
        <v>32</v>
      </c>
      <c r="J878">
        <v>56</v>
      </c>
      <c r="K878">
        <v>39</v>
      </c>
      <c r="L878">
        <v>0</v>
      </c>
      <c r="M878">
        <v>20</v>
      </c>
      <c r="N878" s="1">
        <v>0.39583333333333331</v>
      </c>
    </row>
    <row r="879" spans="1:15" x14ac:dyDescent="0.3">
      <c r="A879" t="s">
        <v>918</v>
      </c>
      <c r="B879">
        <v>20260504</v>
      </c>
      <c r="C879" t="s">
        <v>44</v>
      </c>
      <c r="D879" t="s">
        <v>61</v>
      </c>
      <c r="E879" t="s">
        <v>51</v>
      </c>
      <c r="F879">
        <v>29334</v>
      </c>
      <c r="G879">
        <v>47519</v>
      </c>
      <c r="H879">
        <v>3262</v>
      </c>
      <c r="I879">
        <v>132</v>
      </c>
      <c r="J879">
        <v>252</v>
      </c>
      <c r="K879">
        <v>398</v>
      </c>
      <c r="L879">
        <v>0</v>
      </c>
      <c r="M879">
        <v>244</v>
      </c>
      <c r="N879" s="1">
        <v>0.71875</v>
      </c>
      <c r="O879" t="s">
        <v>38</v>
      </c>
    </row>
    <row r="880" spans="1:15" x14ac:dyDescent="0.3">
      <c r="A880" t="s">
        <v>919</v>
      </c>
      <c r="B880">
        <v>20250306</v>
      </c>
      <c r="C880" t="s">
        <v>32</v>
      </c>
      <c r="D880" t="s">
        <v>61</v>
      </c>
      <c r="E880" t="s">
        <v>51</v>
      </c>
      <c r="F880">
        <v>6946</v>
      </c>
      <c r="G880">
        <v>10273</v>
      </c>
      <c r="H880">
        <v>491</v>
      </c>
      <c r="I880">
        <v>47</v>
      </c>
      <c r="J880">
        <v>57</v>
      </c>
      <c r="K880">
        <v>21</v>
      </c>
      <c r="L880">
        <v>0</v>
      </c>
      <c r="M880">
        <v>18</v>
      </c>
      <c r="N880" s="1">
        <v>0.63541666666666663</v>
      </c>
      <c r="O880" t="s">
        <v>53</v>
      </c>
    </row>
    <row r="881" spans="1:15" x14ac:dyDescent="0.3">
      <c r="A881" t="s">
        <v>920</v>
      </c>
      <c r="B881">
        <v>20250809</v>
      </c>
      <c r="C881" t="s">
        <v>25</v>
      </c>
      <c r="D881" t="s">
        <v>33</v>
      </c>
      <c r="E881" t="s">
        <v>26</v>
      </c>
      <c r="F881">
        <v>19768</v>
      </c>
      <c r="G881">
        <v>21427</v>
      </c>
      <c r="H881">
        <v>760</v>
      </c>
      <c r="I881">
        <v>92</v>
      </c>
      <c r="J881">
        <v>33</v>
      </c>
      <c r="K881">
        <v>78</v>
      </c>
      <c r="L881">
        <v>13049</v>
      </c>
      <c r="M881">
        <v>184</v>
      </c>
      <c r="N881" s="1">
        <v>0.5</v>
      </c>
      <c r="O881" t="s">
        <v>53</v>
      </c>
    </row>
    <row r="882" spans="1:15" x14ac:dyDescent="0.3">
      <c r="A882" t="s">
        <v>921</v>
      </c>
      <c r="B882">
        <v>20250713</v>
      </c>
      <c r="C882" t="s">
        <v>16</v>
      </c>
      <c r="D882" t="s">
        <v>21</v>
      </c>
      <c r="E882" t="s">
        <v>18</v>
      </c>
      <c r="F882">
        <v>16683</v>
      </c>
      <c r="G882">
        <v>27036</v>
      </c>
      <c r="H882">
        <v>422</v>
      </c>
      <c r="I882">
        <v>13</v>
      </c>
      <c r="J882">
        <v>37</v>
      </c>
      <c r="K882">
        <v>63</v>
      </c>
      <c r="L882">
        <v>0</v>
      </c>
      <c r="M882">
        <v>197</v>
      </c>
      <c r="N882" s="1">
        <v>0.34375</v>
      </c>
      <c r="O882" t="s">
        <v>34</v>
      </c>
    </row>
    <row r="883" spans="1:15" x14ac:dyDescent="0.3">
      <c r="A883" t="s">
        <v>922</v>
      </c>
      <c r="B883">
        <v>20251114</v>
      </c>
      <c r="C883" t="s">
        <v>16</v>
      </c>
      <c r="D883" t="s">
        <v>17</v>
      </c>
      <c r="E883" t="s">
        <v>46</v>
      </c>
      <c r="F883">
        <v>52994</v>
      </c>
      <c r="G883">
        <v>73696</v>
      </c>
      <c r="H883">
        <v>5667</v>
      </c>
      <c r="I883">
        <v>287</v>
      </c>
      <c r="J883">
        <v>193</v>
      </c>
      <c r="K883">
        <v>474</v>
      </c>
      <c r="L883">
        <v>26096</v>
      </c>
      <c r="M883">
        <v>90</v>
      </c>
      <c r="N883" s="1">
        <v>0.41666666666666669</v>
      </c>
      <c r="O883" t="s">
        <v>47</v>
      </c>
    </row>
    <row r="884" spans="1:15" x14ac:dyDescent="0.3">
      <c r="A884" t="s">
        <v>923</v>
      </c>
      <c r="B884">
        <v>20260318</v>
      </c>
      <c r="C884" t="s">
        <v>44</v>
      </c>
      <c r="D884" t="s">
        <v>61</v>
      </c>
      <c r="E884" t="s">
        <v>22</v>
      </c>
      <c r="F884">
        <v>17915</v>
      </c>
      <c r="G884">
        <v>26296</v>
      </c>
      <c r="H884">
        <v>691</v>
      </c>
      <c r="I884">
        <v>59</v>
      </c>
      <c r="J884">
        <v>34</v>
      </c>
      <c r="K884">
        <v>102</v>
      </c>
      <c r="L884">
        <v>0</v>
      </c>
      <c r="M884">
        <v>32</v>
      </c>
      <c r="N884" s="1">
        <v>0.52083333333333337</v>
      </c>
      <c r="O884" t="s">
        <v>30</v>
      </c>
    </row>
    <row r="885" spans="1:15" x14ac:dyDescent="0.3">
      <c r="A885" t="s">
        <v>924</v>
      </c>
      <c r="B885">
        <v>20260518</v>
      </c>
      <c r="C885" t="s">
        <v>44</v>
      </c>
      <c r="D885" t="s">
        <v>33</v>
      </c>
      <c r="E885" t="s">
        <v>22</v>
      </c>
      <c r="F885">
        <v>22100</v>
      </c>
      <c r="G885">
        <v>27159</v>
      </c>
      <c r="H885">
        <v>2058</v>
      </c>
      <c r="I885">
        <v>138</v>
      </c>
      <c r="J885">
        <v>155</v>
      </c>
      <c r="K885">
        <v>291</v>
      </c>
      <c r="L885">
        <v>0</v>
      </c>
      <c r="M885">
        <v>301</v>
      </c>
      <c r="N885" s="1">
        <v>0.75</v>
      </c>
      <c r="O885" t="s">
        <v>38</v>
      </c>
    </row>
    <row r="886" spans="1:15" x14ac:dyDescent="0.3">
      <c r="A886" t="s">
        <v>925</v>
      </c>
      <c r="B886">
        <v>20250424</v>
      </c>
      <c r="C886" t="s">
        <v>44</v>
      </c>
      <c r="D886" t="s">
        <v>33</v>
      </c>
      <c r="E886" t="s">
        <v>41</v>
      </c>
      <c r="F886">
        <v>36575</v>
      </c>
      <c r="G886">
        <v>44176</v>
      </c>
      <c r="H886">
        <v>1060</v>
      </c>
      <c r="I886">
        <v>75</v>
      </c>
      <c r="J886">
        <v>137</v>
      </c>
      <c r="K886">
        <v>112</v>
      </c>
      <c r="L886">
        <v>21063</v>
      </c>
      <c r="M886">
        <v>262</v>
      </c>
      <c r="N886" s="1">
        <v>0.67708333333333337</v>
      </c>
      <c r="O886" t="s">
        <v>38</v>
      </c>
    </row>
    <row r="887" spans="1:15" x14ac:dyDescent="0.3">
      <c r="A887" t="s">
        <v>926</v>
      </c>
      <c r="B887">
        <v>20250515</v>
      </c>
      <c r="C887" t="s">
        <v>16</v>
      </c>
      <c r="D887" t="s">
        <v>21</v>
      </c>
      <c r="E887" t="s">
        <v>18</v>
      </c>
      <c r="F887">
        <v>18984</v>
      </c>
      <c r="G887">
        <v>23644</v>
      </c>
      <c r="H887">
        <v>681</v>
      </c>
      <c r="I887">
        <v>61</v>
      </c>
      <c r="J887">
        <v>70</v>
      </c>
      <c r="K887">
        <v>30</v>
      </c>
      <c r="L887">
        <v>0</v>
      </c>
      <c r="M887">
        <v>39</v>
      </c>
      <c r="N887" s="1">
        <v>0.45833333333333331</v>
      </c>
      <c r="O887" t="s">
        <v>19</v>
      </c>
    </row>
    <row r="888" spans="1:15" x14ac:dyDescent="0.3">
      <c r="A888" t="s">
        <v>927</v>
      </c>
      <c r="B888">
        <v>20250306</v>
      </c>
      <c r="C888" t="s">
        <v>44</v>
      </c>
      <c r="D888" t="s">
        <v>33</v>
      </c>
      <c r="E888" t="s">
        <v>18</v>
      </c>
      <c r="F888">
        <v>92421</v>
      </c>
      <c r="G888">
        <v>150510</v>
      </c>
      <c r="H888">
        <v>3960</v>
      </c>
      <c r="I888">
        <v>279</v>
      </c>
      <c r="J888">
        <v>382</v>
      </c>
      <c r="K888">
        <v>88</v>
      </c>
      <c r="L888">
        <v>0</v>
      </c>
      <c r="M888">
        <v>219</v>
      </c>
      <c r="N888" s="1">
        <v>0.38541666666666669</v>
      </c>
      <c r="O888" t="s">
        <v>38</v>
      </c>
    </row>
    <row r="889" spans="1:15" x14ac:dyDescent="0.3">
      <c r="A889" t="s">
        <v>928</v>
      </c>
      <c r="B889">
        <v>20251004</v>
      </c>
      <c r="C889" t="s">
        <v>32</v>
      </c>
      <c r="D889" t="s">
        <v>61</v>
      </c>
      <c r="E889" t="s">
        <v>41</v>
      </c>
      <c r="F889">
        <v>8372</v>
      </c>
      <c r="G889">
        <v>9294</v>
      </c>
      <c r="H889">
        <v>950</v>
      </c>
      <c r="I889">
        <v>122</v>
      </c>
      <c r="J889">
        <v>112</v>
      </c>
      <c r="K889">
        <v>34</v>
      </c>
      <c r="L889">
        <v>3247</v>
      </c>
      <c r="M889">
        <v>58</v>
      </c>
      <c r="N889" s="1">
        <v>0.78125</v>
      </c>
      <c r="O889" t="s">
        <v>30</v>
      </c>
    </row>
    <row r="890" spans="1:15" x14ac:dyDescent="0.3">
      <c r="A890" t="s">
        <v>929</v>
      </c>
      <c r="B890">
        <v>20250413</v>
      </c>
      <c r="C890" t="s">
        <v>25</v>
      </c>
      <c r="D890" t="s">
        <v>21</v>
      </c>
      <c r="E890" t="s">
        <v>18</v>
      </c>
      <c r="F890">
        <v>12669</v>
      </c>
      <c r="G890">
        <v>19416</v>
      </c>
      <c r="H890">
        <v>888</v>
      </c>
      <c r="I890">
        <v>37</v>
      </c>
      <c r="J890">
        <v>46</v>
      </c>
      <c r="K890">
        <v>65</v>
      </c>
      <c r="L890">
        <v>0</v>
      </c>
      <c r="M890">
        <v>212</v>
      </c>
      <c r="N890" s="1">
        <v>0.90625</v>
      </c>
      <c r="O890" t="s">
        <v>27</v>
      </c>
    </row>
    <row r="891" spans="1:15" x14ac:dyDescent="0.3">
      <c r="A891" t="s">
        <v>930</v>
      </c>
      <c r="B891">
        <v>20250808</v>
      </c>
      <c r="C891" t="s">
        <v>32</v>
      </c>
      <c r="D891" t="s">
        <v>61</v>
      </c>
      <c r="E891" t="s">
        <v>18</v>
      </c>
      <c r="F891">
        <v>27435</v>
      </c>
      <c r="G891">
        <v>30751</v>
      </c>
      <c r="H891">
        <v>3001</v>
      </c>
      <c r="I891">
        <v>147</v>
      </c>
      <c r="J891">
        <v>582</v>
      </c>
      <c r="K891">
        <v>322</v>
      </c>
      <c r="L891">
        <v>0</v>
      </c>
      <c r="M891">
        <v>406</v>
      </c>
      <c r="N891" s="1">
        <v>0.88541666666666663</v>
      </c>
      <c r="O891" t="s">
        <v>30</v>
      </c>
    </row>
    <row r="892" spans="1:15" x14ac:dyDescent="0.3">
      <c r="A892" t="s">
        <v>931</v>
      </c>
      <c r="B892">
        <v>20250821</v>
      </c>
      <c r="C892" t="s">
        <v>32</v>
      </c>
      <c r="D892" t="s">
        <v>21</v>
      </c>
      <c r="E892" t="s">
        <v>22</v>
      </c>
      <c r="F892">
        <v>5684</v>
      </c>
      <c r="G892">
        <v>9056</v>
      </c>
      <c r="H892">
        <v>388</v>
      </c>
      <c r="I892">
        <v>16</v>
      </c>
      <c r="J892">
        <v>58</v>
      </c>
      <c r="K892">
        <v>19</v>
      </c>
      <c r="L892">
        <v>0</v>
      </c>
      <c r="M892">
        <v>42</v>
      </c>
      <c r="N892" s="1">
        <v>0.38541666666666669</v>
      </c>
      <c r="O892" t="s">
        <v>49</v>
      </c>
    </row>
    <row r="893" spans="1:15" x14ac:dyDescent="0.3">
      <c r="A893" t="s">
        <v>932</v>
      </c>
      <c r="B893">
        <v>20260420</v>
      </c>
      <c r="C893" t="s">
        <v>16</v>
      </c>
      <c r="D893" t="s">
        <v>61</v>
      </c>
      <c r="E893" t="s">
        <v>41</v>
      </c>
      <c r="F893">
        <v>75268</v>
      </c>
      <c r="G893">
        <v>117419</v>
      </c>
      <c r="H893">
        <v>4906</v>
      </c>
      <c r="I893">
        <v>347</v>
      </c>
      <c r="J893">
        <v>776</v>
      </c>
      <c r="K893">
        <v>312</v>
      </c>
      <c r="L893">
        <v>33573</v>
      </c>
      <c r="M893">
        <v>492</v>
      </c>
      <c r="N893" s="1">
        <v>0.61458333333333337</v>
      </c>
      <c r="O893" t="s">
        <v>30</v>
      </c>
    </row>
    <row r="894" spans="1:15" x14ac:dyDescent="0.3">
      <c r="A894" t="s">
        <v>933</v>
      </c>
      <c r="B894">
        <v>20260218</v>
      </c>
      <c r="C894" t="s">
        <v>25</v>
      </c>
      <c r="D894" t="s">
        <v>36</v>
      </c>
      <c r="E894" t="s">
        <v>51</v>
      </c>
      <c r="F894">
        <v>16044</v>
      </c>
      <c r="G894">
        <v>18279</v>
      </c>
      <c r="H894">
        <v>1140</v>
      </c>
      <c r="J894">
        <v>106</v>
      </c>
      <c r="K894">
        <v>148</v>
      </c>
      <c r="L894">
        <v>0</v>
      </c>
      <c r="M894">
        <v>137</v>
      </c>
      <c r="N894" s="1">
        <v>0.5</v>
      </c>
      <c r="O894" t="s">
        <v>27</v>
      </c>
    </row>
    <row r="895" spans="1:15" x14ac:dyDescent="0.3">
      <c r="A895" t="s">
        <v>934</v>
      </c>
      <c r="B895">
        <v>20251012</v>
      </c>
      <c r="C895" t="s">
        <v>25</v>
      </c>
      <c r="D895" t="s">
        <v>36</v>
      </c>
      <c r="E895" t="s">
        <v>18</v>
      </c>
      <c r="F895">
        <v>20106</v>
      </c>
      <c r="G895">
        <v>29782</v>
      </c>
      <c r="H895">
        <v>1654</v>
      </c>
      <c r="I895">
        <v>131</v>
      </c>
      <c r="J895">
        <v>226</v>
      </c>
      <c r="K895">
        <v>157</v>
      </c>
      <c r="L895">
        <v>0</v>
      </c>
      <c r="M895">
        <v>196</v>
      </c>
      <c r="N895" s="1">
        <v>0.9375</v>
      </c>
      <c r="O895" t="s">
        <v>23</v>
      </c>
    </row>
    <row r="896" spans="1:15" x14ac:dyDescent="0.3">
      <c r="A896" t="s">
        <v>935</v>
      </c>
      <c r="B896">
        <v>20260415</v>
      </c>
      <c r="C896" t="s">
        <v>40</v>
      </c>
      <c r="D896" t="s">
        <v>33</v>
      </c>
      <c r="E896" t="s">
        <v>22</v>
      </c>
      <c r="F896">
        <v>9818</v>
      </c>
      <c r="G896">
        <v>12747</v>
      </c>
      <c r="H896">
        <v>481</v>
      </c>
      <c r="I896">
        <v>57</v>
      </c>
      <c r="J896">
        <v>74</v>
      </c>
      <c r="K896">
        <v>75</v>
      </c>
      <c r="L896">
        <v>0</v>
      </c>
      <c r="M896">
        <v>168</v>
      </c>
      <c r="N896" s="1">
        <v>0.38541666666666669</v>
      </c>
      <c r="O896" t="s">
        <v>27</v>
      </c>
    </row>
    <row r="897" spans="1:15" x14ac:dyDescent="0.3">
      <c r="A897" t="s">
        <v>936</v>
      </c>
      <c r="B897">
        <v>20260120</v>
      </c>
      <c r="C897" t="s">
        <v>25</v>
      </c>
      <c r="D897" t="s">
        <v>36</v>
      </c>
      <c r="E897" t="s">
        <v>18</v>
      </c>
      <c r="F897">
        <v>14582</v>
      </c>
      <c r="G897">
        <v>20063</v>
      </c>
      <c r="H897">
        <v>1026</v>
      </c>
      <c r="I897">
        <v>129</v>
      </c>
      <c r="J897">
        <v>45</v>
      </c>
      <c r="K897">
        <v>113</v>
      </c>
      <c r="L897">
        <v>0</v>
      </c>
      <c r="M897">
        <v>165</v>
      </c>
      <c r="N897" s="1">
        <v>0.9375</v>
      </c>
      <c r="O897" t="s">
        <v>34</v>
      </c>
    </row>
    <row r="898" spans="1:15" x14ac:dyDescent="0.3">
      <c r="A898" t="s">
        <v>937</v>
      </c>
      <c r="B898">
        <v>20260206</v>
      </c>
      <c r="C898" t="s">
        <v>16</v>
      </c>
      <c r="D898" t="s">
        <v>33</v>
      </c>
      <c r="E898" t="s">
        <v>18</v>
      </c>
      <c r="F898">
        <v>20354</v>
      </c>
      <c r="G898">
        <v>33162</v>
      </c>
      <c r="H898">
        <v>2217</v>
      </c>
      <c r="I898">
        <v>198</v>
      </c>
      <c r="J898">
        <v>250</v>
      </c>
      <c r="K898">
        <v>83</v>
      </c>
      <c r="L898">
        <v>0</v>
      </c>
      <c r="M898">
        <v>21</v>
      </c>
      <c r="N898" s="1">
        <v>0.5</v>
      </c>
    </row>
    <row r="899" spans="1:15" x14ac:dyDescent="0.3">
      <c r="A899" t="s">
        <v>938</v>
      </c>
      <c r="B899">
        <v>20260421</v>
      </c>
      <c r="C899" t="s">
        <v>25</v>
      </c>
      <c r="D899" t="s">
        <v>68</v>
      </c>
      <c r="E899" t="s">
        <v>46</v>
      </c>
      <c r="F899">
        <v>9913</v>
      </c>
      <c r="G899">
        <v>12404</v>
      </c>
      <c r="H899">
        <v>323</v>
      </c>
      <c r="I899">
        <v>12</v>
      </c>
      <c r="J899">
        <v>55</v>
      </c>
      <c r="K899">
        <v>14</v>
      </c>
      <c r="L899">
        <v>7472</v>
      </c>
      <c r="M899">
        <v>116</v>
      </c>
      <c r="N899" s="1">
        <v>0.60416666666666663</v>
      </c>
    </row>
    <row r="900" spans="1:15" x14ac:dyDescent="0.3">
      <c r="A900" t="s">
        <v>939</v>
      </c>
      <c r="B900">
        <v>20250622</v>
      </c>
      <c r="C900" t="s">
        <v>25</v>
      </c>
      <c r="D900" t="s">
        <v>33</v>
      </c>
      <c r="E900" t="s">
        <v>46</v>
      </c>
      <c r="F900">
        <v>13631</v>
      </c>
      <c r="G900">
        <v>21322</v>
      </c>
      <c r="H900">
        <v>1424</v>
      </c>
      <c r="I900">
        <v>172</v>
      </c>
      <c r="J900">
        <v>102</v>
      </c>
      <c r="K900">
        <v>85</v>
      </c>
      <c r="L900">
        <v>7641</v>
      </c>
      <c r="M900">
        <v>203</v>
      </c>
      <c r="N900" s="1">
        <v>0.71875</v>
      </c>
      <c r="O900" t="s">
        <v>30</v>
      </c>
    </row>
    <row r="901" spans="1:15" x14ac:dyDescent="0.3">
      <c r="A901" t="s">
        <v>940</v>
      </c>
      <c r="B901">
        <v>20260211</v>
      </c>
      <c r="C901" t="s">
        <v>16</v>
      </c>
      <c r="D901" t="s">
        <v>68</v>
      </c>
      <c r="E901" t="s">
        <v>51</v>
      </c>
      <c r="F901">
        <v>19578</v>
      </c>
      <c r="G901">
        <v>29388</v>
      </c>
      <c r="H901">
        <v>1820</v>
      </c>
      <c r="I901">
        <v>152</v>
      </c>
      <c r="J901">
        <v>311</v>
      </c>
      <c r="K901">
        <v>96</v>
      </c>
      <c r="L901">
        <v>0</v>
      </c>
      <c r="M901">
        <v>36</v>
      </c>
      <c r="N901" s="1">
        <v>0.36458333333333331</v>
      </c>
      <c r="O901" t="s">
        <v>47</v>
      </c>
    </row>
    <row r="902" spans="1:15" x14ac:dyDescent="0.3">
      <c r="A902" t="s">
        <v>941</v>
      </c>
      <c r="B902">
        <v>20260105</v>
      </c>
      <c r="C902" t="s">
        <v>32</v>
      </c>
      <c r="D902" t="s">
        <v>21</v>
      </c>
      <c r="E902" t="s">
        <v>41</v>
      </c>
      <c r="F902">
        <v>10102</v>
      </c>
      <c r="G902">
        <v>14012</v>
      </c>
      <c r="H902">
        <v>588</v>
      </c>
      <c r="I902">
        <v>51</v>
      </c>
      <c r="J902">
        <v>22</v>
      </c>
      <c r="K902">
        <v>75</v>
      </c>
      <c r="L902">
        <v>3835</v>
      </c>
      <c r="M902">
        <v>163</v>
      </c>
      <c r="N902" s="1">
        <v>0.92708333333333337</v>
      </c>
      <c r="O902" t="s">
        <v>47</v>
      </c>
    </row>
    <row r="903" spans="1:15" x14ac:dyDescent="0.3">
      <c r="A903" t="s">
        <v>942</v>
      </c>
      <c r="B903">
        <v>20260611</v>
      </c>
      <c r="C903" t="s">
        <v>44</v>
      </c>
      <c r="D903" t="s">
        <v>61</v>
      </c>
      <c r="E903" t="s">
        <v>51</v>
      </c>
      <c r="F903">
        <v>122770</v>
      </c>
      <c r="G903">
        <v>142302</v>
      </c>
      <c r="H903">
        <v>13972</v>
      </c>
      <c r="I903">
        <v>1625</v>
      </c>
      <c r="J903">
        <v>2113</v>
      </c>
      <c r="K903">
        <v>1692</v>
      </c>
      <c r="L903">
        <v>0</v>
      </c>
      <c r="M903">
        <v>429</v>
      </c>
      <c r="N903" s="1">
        <v>0.63541666666666663</v>
      </c>
      <c r="O903" t="s">
        <v>42</v>
      </c>
    </row>
    <row r="904" spans="1:15" x14ac:dyDescent="0.3">
      <c r="A904" t="s">
        <v>943</v>
      </c>
      <c r="B904">
        <v>20250101</v>
      </c>
      <c r="C904" t="s">
        <v>40</v>
      </c>
      <c r="D904" t="s">
        <v>21</v>
      </c>
      <c r="E904" t="s">
        <v>26</v>
      </c>
      <c r="F904">
        <v>20374</v>
      </c>
      <c r="G904">
        <v>21436</v>
      </c>
      <c r="H904">
        <v>2432</v>
      </c>
      <c r="I904">
        <v>62</v>
      </c>
      <c r="J904">
        <v>406</v>
      </c>
      <c r="K904">
        <v>231</v>
      </c>
      <c r="L904">
        <v>12273</v>
      </c>
      <c r="M904">
        <v>261</v>
      </c>
      <c r="N904" s="1">
        <v>0.9375</v>
      </c>
      <c r="O904" t="s">
        <v>42</v>
      </c>
    </row>
    <row r="905" spans="1:15" x14ac:dyDescent="0.3">
      <c r="A905" t="s">
        <v>944</v>
      </c>
      <c r="B905">
        <v>20251028</v>
      </c>
      <c r="C905" t="s">
        <v>40</v>
      </c>
      <c r="D905" t="s">
        <v>33</v>
      </c>
      <c r="E905" t="s">
        <v>51</v>
      </c>
      <c r="F905">
        <v>7768</v>
      </c>
      <c r="G905">
        <v>11499</v>
      </c>
      <c r="H905">
        <v>304</v>
      </c>
      <c r="I905">
        <v>18</v>
      </c>
      <c r="J905">
        <v>14</v>
      </c>
      <c r="K905">
        <v>40</v>
      </c>
      <c r="L905">
        <v>0</v>
      </c>
      <c r="M905">
        <v>29</v>
      </c>
      <c r="N905" s="1">
        <v>0.5625</v>
      </c>
      <c r="O905" t="s">
        <v>42</v>
      </c>
    </row>
    <row r="906" spans="1:15" x14ac:dyDescent="0.3">
      <c r="A906" t="s">
        <v>945</v>
      </c>
      <c r="B906">
        <v>20250503</v>
      </c>
      <c r="C906" t="s">
        <v>40</v>
      </c>
      <c r="D906" t="s">
        <v>61</v>
      </c>
      <c r="E906" t="s">
        <v>18</v>
      </c>
      <c r="F906">
        <v>9497</v>
      </c>
      <c r="G906">
        <v>13481</v>
      </c>
      <c r="H906">
        <v>1015</v>
      </c>
      <c r="I906">
        <v>88</v>
      </c>
      <c r="J906">
        <v>125</v>
      </c>
      <c r="K906">
        <v>121</v>
      </c>
      <c r="L906">
        <v>0</v>
      </c>
      <c r="M906">
        <v>38</v>
      </c>
      <c r="N906" s="1">
        <v>0.29166666666666669</v>
      </c>
      <c r="O906" t="s">
        <v>38</v>
      </c>
    </row>
    <row r="907" spans="1:15" x14ac:dyDescent="0.3">
      <c r="A907" t="s">
        <v>946</v>
      </c>
      <c r="B907">
        <v>20260517</v>
      </c>
      <c r="C907" t="s">
        <v>44</v>
      </c>
      <c r="D907" t="s">
        <v>68</v>
      </c>
      <c r="E907" t="s">
        <v>51</v>
      </c>
      <c r="F907">
        <v>42126</v>
      </c>
      <c r="G907">
        <v>64219</v>
      </c>
      <c r="H907">
        <v>3030</v>
      </c>
      <c r="I907">
        <v>155</v>
      </c>
      <c r="J907">
        <v>391</v>
      </c>
      <c r="K907">
        <v>107</v>
      </c>
      <c r="L907">
        <v>0</v>
      </c>
      <c r="M907">
        <v>661</v>
      </c>
      <c r="N907" s="1">
        <v>0.70833333333333337</v>
      </c>
      <c r="O907" t="s">
        <v>38</v>
      </c>
    </row>
    <row r="908" spans="1:15" x14ac:dyDescent="0.3">
      <c r="A908" t="s">
        <v>947</v>
      </c>
      <c r="B908">
        <v>20260610</v>
      </c>
      <c r="C908" t="s">
        <v>16</v>
      </c>
      <c r="D908" t="s">
        <v>36</v>
      </c>
      <c r="E908" t="s">
        <v>46</v>
      </c>
      <c r="F908">
        <v>41610</v>
      </c>
      <c r="G908">
        <v>65577</v>
      </c>
      <c r="H908">
        <v>3873</v>
      </c>
      <c r="I908">
        <v>452</v>
      </c>
      <c r="J908">
        <v>578</v>
      </c>
      <c r="K908">
        <v>388</v>
      </c>
      <c r="L908">
        <v>36685</v>
      </c>
      <c r="M908">
        <v>293</v>
      </c>
      <c r="N908" s="1">
        <v>0.83333333333333337</v>
      </c>
      <c r="O908" t="s">
        <v>19</v>
      </c>
    </row>
    <row r="909" spans="1:15" x14ac:dyDescent="0.3">
      <c r="A909" t="s">
        <v>948</v>
      </c>
      <c r="B909">
        <v>20251201</v>
      </c>
      <c r="C909" t="s">
        <v>32</v>
      </c>
      <c r="D909" t="s">
        <v>29</v>
      </c>
      <c r="E909" t="s">
        <v>46</v>
      </c>
      <c r="F909">
        <v>12764</v>
      </c>
      <c r="G909">
        <v>20949</v>
      </c>
      <c r="H909">
        <v>402</v>
      </c>
      <c r="I909">
        <v>51</v>
      </c>
      <c r="J909">
        <v>29</v>
      </c>
      <c r="K909">
        <v>40</v>
      </c>
      <c r="L909">
        <v>7026</v>
      </c>
      <c r="M909">
        <v>155</v>
      </c>
      <c r="N909" s="1">
        <v>0.92708333333333337</v>
      </c>
      <c r="O909" t="s">
        <v>27</v>
      </c>
    </row>
    <row r="910" spans="1:15" x14ac:dyDescent="0.3">
      <c r="A910" t="s">
        <v>949</v>
      </c>
      <c r="B910">
        <v>20260219</v>
      </c>
      <c r="C910" t="s">
        <v>16</v>
      </c>
      <c r="D910" t="s">
        <v>33</v>
      </c>
      <c r="E910" t="s">
        <v>51</v>
      </c>
      <c r="F910">
        <v>33852</v>
      </c>
      <c r="G910">
        <v>48863</v>
      </c>
      <c r="H910">
        <v>2047</v>
      </c>
      <c r="I910">
        <v>220</v>
      </c>
      <c r="J910">
        <v>172</v>
      </c>
      <c r="K910">
        <v>177</v>
      </c>
      <c r="L910">
        <v>0</v>
      </c>
      <c r="M910">
        <v>607</v>
      </c>
      <c r="N910" s="1">
        <v>0.91666666666666663</v>
      </c>
      <c r="O910" t="s">
        <v>53</v>
      </c>
    </row>
    <row r="911" spans="1:15" x14ac:dyDescent="0.3">
      <c r="A911" t="s">
        <v>950</v>
      </c>
      <c r="B911">
        <v>20260214</v>
      </c>
      <c r="C911" t="s">
        <v>44</v>
      </c>
      <c r="D911" t="s">
        <v>33</v>
      </c>
      <c r="E911" t="s">
        <v>46</v>
      </c>
      <c r="F911">
        <v>80316</v>
      </c>
      <c r="G911">
        <v>106212</v>
      </c>
      <c r="H911">
        <v>7068</v>
      </c>
      <c r="I911">
        <v>297</v>
      </c>
      <c r="J911">
        <v>336</v>
      </c>
      <c r="K911">
        <v>1047</v>
      </c>
      <c r="L911">
        <v>64548</v>
      </c>
      <c r="M911">
        <v>679</v>
      </c>
      <c r="N911" s="1">
        <v>0.33333333333333331</v>
      </c>
      <c r="O911" t="s">
        <v>27</v>
      </c>
    </row>
    <row r="912" spans="1:15" x14ac:dyDescent="0.3">
      <c r="A912" t="s">
        <v>951</v>
      </c>
      <c r="B912">
        <v>20251114</v>
      </c>
      <c r="C912" t="s">
        <v>40</v>
      </c>
      <c r="D912" t="s">
        <v>33</v>
      </c>
      <c r="E912" t="s">
        <v>46</v>
      </c>
      <c r="F912">
        <v>34197</v>
      </c>
      <c r="G912">
        <v>40688</v>
      </c>
      <c r="H912">
        <v>1255</v>
      </c>
      <c r="I912">
        <v>56</v>
      </c>
      <c r="J912">
        <v>151</v>
      </c>
      <c r="K912">
        <v>188</v>
      </c>
      <c r="L912">
        <v>30325</v>
      </c>
      <c r="M912">
        <v>444</v>
      </c>
      <c r="N912" s="1">
        <v>0.32291666666666669</v>
      </c>
      <c r="O912" t="s">
        <v>23</v>
      </c>
    </row>
    <row r="913" spans="1:15" x14ac:dyDescent="0.3">
      <c r="A913" t="s">
        <v>952</v>
      </c>
      <c r="B913">
        <v>20260127</v>
      </c>
      <c r="C913" t="s">
        <v>16</v>
      </c>
      <c r="D913" t="s">
        <v>21</v>
      </c>
      <c r="E913" t="s">
        <v>41</v>
      </c>
      <c r="F913">
        <v>16660</v>
      </c>
      <c r="G913">
        <v>23263</v>
      </c>
      <c r="H913">
        <v>817</v>
      </c>
      <c r="I913">
        <v>62</v>
      </c>
      <c r="J913">
        <v>74</v>
      </c>
      <c r="K913">
        <v>126</v>
      </c>
      <c r="L913">
        <v>6802</v>
      </c>
      <c r="M913">
        <v>150</v>
      </c>
      <c r="N913" s="1">
        <v>0.76041666666666663</v>
      </c>
      <c r="O913" t="s">
        <v>49</v>
      </c>
    </row>
    <row r="914" spans="1:15" x14ac:dyDescent="0.3">
      <c r="A914" t="s">
        <v>953</v>
      </c>
      <c r="B914">
        <v>20250502</v>
      </c>
      <c r="C914" t="s">
        <v>16</v>
      </c>
      <c r="D914" t="s">
        <v>61</v>
      </c>
      <c r="E914" t="s">
        <v>46</v>
      </c>
      <c r="F914">
        <v>30889</v>
      </c>
      <c r="G914">
        <v>45892</v>
      </c>
      <c r="H914">
        <v>1494</v>
      </c>
      <c r="I914">
        <v>139</v>
      </c>
      <c r="J914">
        <v>211</v>
      </c>
      <c r="K914">
        <v>186</v>
      </c>
      <c r="L914">
        <v>21873</v>
      </c>
      <c r="M914">
        <v>536</v>
      </c>
      <c r="N914" s="1">
        <v>0.92708333333333337</v>
      </c>
      <c r="O914" t="s">
        <v>49</v>
      </c>
    </row>
    <row r="915" spans="1:15" x14ac:dyDescent="0.3">
      <c r="A915" t="s">
        <v>954</v>
      </c>
      <c r="B915">
        <v>20260926</v>
      </c>
      <c r="C915" t="s">
        <v>25</v>
      </c>
      <c r="D915" t="s">
        <v>33</v>
      </c>
      <c r="E915" t="s">
        <v>18</v>
      </c>
      <c r="F915">
        <v>4872</v>
      </c>
      <c r="G915">
        <v>7100</v>
      </c>
      <c r="H915">
        <v>372</v>
      </c>
      <c r="I915">
        <v>40</v>
      </c>
      <c r="J915">
        <v>38</v>
      </c>
      <c r="K915">
        <v>48</v>
      </c>
      <c r="L915">
        <v>0</v>
      </c>
      <c r="M915">
        <v>79</v>
      </c>
      <c r="N915" s="1">
        <v>0.32291666666666669</v>
      </c>
      <c r="O915" t="s">
        <v>19</v>
      </c>
    </row>
    <row r="916" spans="1:15" x14ac:dyDescent="0.3">
      <c r="A916" t="s">
        <v>955</v>
      </c>
      <c r="B916">
        <v>20250111</v>
      </c>
      <c r="C916" t="s">
        <v>44</v>
      </c>
      <c r="D916" t="s">
        <v>17</v>
      </c>
      <c r="E916" t="s">
        <v>18</v>
      </c>
      <c r="F916">
        <v>18112</v>
      </c>
      <c r="G916">
        <v>23602</v>
      </c>
      <c r="H916">
        <v>758</v>
      </c>
      <c r="I916">
        <v>88</v>
      </c>
      <c r="J916">
        <v>41</v>
      </c>
      <c r="K916">
        <v>33</v>
      </c>
      <c r="L916">
        <v>0</v>
      </c>
      <c r="M916">
        <v>226</v>
      </c>
      <c r="N916" s="1">
        <v>0.40625</v>
      </c>
      <c r="O916" t="s">
        <v>34</v>
      </c>
    </row>
    <row r="917" spans="1:15" x14ac:dyDescent="0.3">
      <c r="A917" t="s">
        <v>956</v>
      </c>
      <c r="B917">
        <v>20250428</v>
      </c>
      <c r="C917" t="s">
        <v>16</v>
      </c>
      <c r="E917" t="s">
        <v>26</v>
      </c>
      <c r="F917">
        <v>15246</v>
      </c>
      <c r="G917">
        <v>19812</v>
      </c>
      <c r="H917">
        <v>1468</v>
      </c>
      <c r="I917">
        <v>132</v>
      </c>
      <c r="J917">
        <v>192</v>
      </c>
      <c r="K917">
        <v>125</v>
      </c>
      <c r="L917">
        <v>13116</v>
      </c>
      <c r="M917">
        <v>94</v>
      </c>
      <c r="N917" s="1">
        <v>0.67708333333333337</v>
      </c>
      <c r="O917" t="s">
        <v>38</v>
      </c>
    </row>
    <row r="918" spans="1:15" x14ac:dyDescent="0.3">
      <c r="A918" t="s">
        <v>957</v>
      </c>
      <c r="B918">
        <v>20260827</v>
      </c>
      <c r="C918" t="s">
        <v>25</v>
      </c>
      <c r="D918" t="s">
        <v>21</v>
      </c>
      <c r="E918" t="s">
        <v>51</v>
      </c>
      <c r="F918">
        <v>7079</v>
      </c>
      <c r="G918">
        <v>8287</v>
      </c>
      <c r="H918">
        <v>458</v>
      </c>
      <c r="I918">
        <v>21</v>
      </c>
      <c r="J918">
        <v>14</v>
      </c>
      <c r="K918">
        <v>50</v>
      </c>
      <c r="L918">
        <v>0</v>
      </c>
      <c r="M918">
        <v>28</v>
      </c>
      <c r="N918" s="1">
        <v>0.41666666666666669</v>
      </c>
      <c r="O918" t="s">
        <v>19</v>
      </c>
    </row>
    <row r="919" spans="1:15" x14ac:dyDescent="0.3">
      <c r="A919" t="s">
        <v>958</v>
      </c>
      <c r="B919">
        <v>20250517</v>
      </c>
      <c r="C919" t="s">
        <v>44</v>
      </c>
      <c r="D919" t="s">
        <v>61</v>
      </c>
      <c r="E919" t="s">
        <v>41</v>
      </c>
      <c r="F919">
        <v>89138</v>
      </c>
      <c r="G919">
        <v>98945</v>
      </c>
      <c r="H919">
        <v>2543</v>
      </c>
      <c r="I919">
        <v>331</v>
      </c>
      <c r="J919">
        <v>443</v>
      </c>
      <c r="K919">
        <v>325</v>
      </c>
      <c r="L919">
        <v>35332</v>
      </c>
      <c r="M919">
        <v>1039</v>
      </c>
      <c r="N919" s="1">
        <v>0.91666666666666663</v>
      </c>
      <c r="O919" t="s">
        <v>47</v>
      </c>
    </row>
    <row r="920" spans="1:15" x14ac:dyDescent="0.3">
      <c r="A920" t="s">
        <v>959</v>
      </c>
      <c r="B920">
        <v>20251108</v>
      </c>
      <c r="C920" t="s">
        <v>25</v>
      </c>
      <c r="D920" t="s">
        <v>29</v>
      </c>
      <c r="E920" t="s">
        <v>26</v>
      </c>
      <c r="F920">
        <v>5255</v>
      </c>
      <c r="G920">
        <v>6424</v>
      </c>
      <c r="H920">
        <v>380</v>
      </c>
      <c r="I920">
        <v>36</v>
      </c>
      <c r="J920">
        <v>75</v>
      </c>
      <c r="K920">
        <v>30</v>
      </c>
      <c r="L920">
        <v>4713</v>
      </c>
      <c r="M920">
        <v>26</v>
      </c>
      <c r="N920" s="1">
        <v>0.73958333333333337</v>
      </c>
      <c r="O920" t="s">
        <v>27</v>
      </c>
    </row>
    <row r="921" spans="1:15" x14ac:dyDescent="0.3">
      <c r="A921" t="s">
        <v>960</v>
      </c>
      <c r="B921">
        <v>20250830</v>
      </c>
      <c r="C921" t="s">
        <v>25</v>
      </c>
      <c r="D921" t="s">
        <v>61</v>
      </c>
      <c r="E921" t="s">
        <v>51</v>
      </c>
      <c r="F921">
        <v>5948</v>
      </c>
      <c r="G921">
        <v>6753</v>
      </c>
      <c r="H921">
        <v>507</v>
      </c>
      <c r="I921">
        <v>21</v>
      </c>
      <c r="J921">
        <v>45</v>
      </c>
      <c r="K921">
        <v>39</v>
      </c>
      <c r="L921">
        <v>0</v>
      </c>
      <c r="M921">
        <v>9</v>
      </c>
      <c r="N921" s="1">
        <v>0.71875</v>
      </c>
      <c r="O921" t="s">
        <v>34</v>
      </c>
    </row>
    <row r="922" spans="1:15" x14ac:dyDescent="0.3">
      <c r="A922" t="s">
        <v>961</v>
      </c>
      <c r="B922">
        <v>20260523</v>
      </c>
      <c r="C922" t="s">
        <v>16</v>
      </c>
      <c r="D922" t="s">
        <v>17</v>
      </c>
      <c r="E922" t="s">
        <v>46</v>
      </c>
      <c r="F922">
        <v>37719</v>
      </c>
      <c r="G922">
        <v>60591</v>
      </c>
      <c r="H922">
        <v>2469</v>
      </c>
      <c r="I922">
        <v>209</v>
      </c>
      <c r="J922">
        <v>331</v>
      </c>
      <c r="K922">
        <v>192</v>
      </c>
      <c r="L922">
        <v>30222</v>
      </c>
      <c r="M922">
        <v>130</v>
      </c>
      <c r="N922" s="1">
        <v>0.625</v>
      </c>
      <c r="O922" t="s">
        <v>42</v>
      </c>
    </row>
    <row r="923" spans="1:15" x14ac:dyDescent="0.3">
      <c r="A923" t="s">
        <v>962</v>
      </c>
      <c r="B923">
        <v>20250116</v>
      </c>
      <c r="C923" t="s">
        <v>40</v>
      </c>
      <c r="D923" t="s">
        <v>21</v>
      </c>
      <c r="E923" t="s">
        <v>26</v>
      </c>
      <c r="F923">
        <v>24143</v>
      </c>
      <c r="G923">
        <v>34147</v>
      </c>
      <c r="H923">
        <v>2027</v>
      </c>
      <c r="I923">
        <v>217</v>
      </c>
      <c r="J923">
        <v>84</v>
      </c>
      <c r="K923">
        <v>307</v>
      </c>
      <c r="L923">
        <v>18870</v>
      </c>
      <c r="M923">
        <v>130</v>
      </c>
      <c r="N923" s="1">
        <v>0.6875</v>
      </c>
      <c r="O923" t="s">
        <v>49</v>
      </c>
    </row>
    <row r="924" spans="1:15" x14ac:dyDescent="0.3">
      <c r="A924" t="s">
        <v>963</v>
      </c>
      <c r="B924">
        <v>20250125</v>
      </c>
      <c r="C924" t="s">
        <v>32</v>
      </c>
      <c r="D924" t="s">
        <v>33</v>
      </c>
      <c r="E924" t="s">
        <v>18</v>
      </c>
      <c r="F924">
        <v>13209</v>
      </c>
      <c r="G924">
        <v>20003</v>
      </c>
      <c r="H924">
        <v>1125</v>
      </c>
      <c r="I924">
        <v>138</v>
      </c>
      <c r="J924">
        <v>79</v>
      </c>
      <c r="K924">
        <v>172</v>
      </c>
      <c r="L924">
        <v>0</v>
      </c>
      <c r="M924">
        <v>183</v>
      </c>
      <c r="N924" s="1">
        <v>0.51041666666666663</v>
      </c>
      <c r="O924" t="s">
        <v>19</v>
      </c>
    </row>
    <row r="925" spans="1:15" x14ac:dyDescent="0.3">
      <c r="A925" t="s">
        <v>964</v>
      </c>
      <c r="B925">
        <v>20260108</v>
      </c>
      <c r="C925" t="s">
        <v>44</v>
      </c>
      <c r="D925" t="s">
        <v>29</v>
      </c>
      <c r="E925" t="s">
        <v>46</v>
      </c>
      <c r="F925">
        <v>94127</v>
      </c>
      <c r="G925">
        <v>133509</v>
      </c>
      <c r="H925">
        <v>9726</v>
      </c>
      <c r="I925">
        <v>354</v>
      </c>
      <c r="J925">
        <v>1893</v>
      </c>
      <c r="K925">
        <v>215</v>
      </c>
      <c r="L925">
        <v>33813</v>
      </c>
      <c r="M925">
        <v>829</v>
      </c>
      <c r="N925" s="1">
        <v>0.45833333333333331</v>
      </c>
      <c r="O925" t="s">
        <v>19</v>
      </c>
    </row>
    <row r="926" spans="1:15" x14ac:dyDescent="0.3">
      <c r="A926" t="s">
        <v>965</v>
      </c>
      <c r="B926">
        <v>20260716</v>
      </c>
      <c r="C926" t="s">
        <v>40</v>
      </c>
      <c r="D926" t="s">
        <v>17</v>
      </c>
      <c r="E926" t="s">
        <v>41</v>
      </c>
      <c r="F926">
        <v>25026</v>
      </c>
      <c r="G926">
        <v>38695</v>
      </c>
      <c r="H926">
        <v>2937</v>
      </c>
      <c r="I926">
        <v>334</v>
      </c>
      <c r="J926">
        <v>265</v>
      </c>
      <c r="K926">
        <v>248</v>
      </c>
      <c r="L926">
        <v>11519</v>
      </c>
      <c r="M926">
        <v>240</v>
      </c>
      <c r="N926" s="1">
        <v>0.875</v>
      </c>
      <c r="O926" t="s">
        <v>30</v>
      </c>
    </row>
    <row r="927" spans="1:15" x14ac:dyDescent="0.3">
      <c r="A927" t="s">
        <v>966</v>
      </c>
      <c r="B927">
        <v>20260925</v>
      </c>
      <c r="C927" t="s">
        <v>16</v>
      </c>
      <c r="D927" t="s">
        <v>33</v>
      </c>
      <c r="E927" t="s">
        <v>46</v>
      </c>
      <c r="F927">
        <v>16421</v>
      </c>
      <c r="G927">
        <v>25559</v>
      </c>
      <c r="H927">
        <v>776</v>
      </c>
      <c r="I927">
        <v>42</v>
      </c>
      <c r="J927">
        <v>153</v>
      </c>
      <c r="K927">
        <v>28</v>
      </c>
      <c r="L927">
        <v>11139</v>
      </c>
      <c r="M927">
        <v>160</v>
      </c>
      <c r="N927" s="1">
        <v>0.84375</v>
      </c>
      <c r="O927" t="s">
        <v>34</v>
      </c>
    </row>
    <row r="928" spans="1:15" x14ac:dyDescent="0.3">
      <c r="A928" t="s">
        <v>967</v>
      </c>
      <c r="B928">
        <v>20251117</v>
      </c>
      <c r="C928" t="s">
        <v>44</v>
      </c>
      <c r="D928" t="s">
        <v>21</v>
      </c>
      <c r="E928" t="s">
        <v>46</v>
      </c>
      <c r="F928">
        <v>38409</v>
      </c>
      <c r="G928">
        <v>51219</v>
      </c>
      <c r="H928">
        <v>1377</v>
      </c>
      <c r="I928">
        <v>177</v>
      </c>
      <c r="J928">
        <v>261</v>
      </c>
      <c r="K928">
        <v>63</v>
      </c>
      <c r="L928">
        <v>28342</v>
      </c>
      <c r="M928">
        <v>504</v>
      </c>
      <c r="N928" s="1">
        <v>0.76041666666666663</v>
      </c>
      <c r="O928" t="s">
        <v>27</v>
      </c>
    </row>
    <row r="929" spans="1:15" x14ac:dyDescent="0.3">
      <c r="A929" t="s">
        <v>968</v>
      </c>
      <c r="B929">
        <v>20250331</v>
      </c>
      <c r="C929" t="s">
        <v>40</v>
      </c>
      <c r="D929" t="s">
        <v>21</v>
      </c>
      <c r="E929" t="s">
        <v>26</v>
      </c>
      <c r="F929">
        <v>11380</v>
      </c>
      <c r="G929">
        <v>16638</v>
      </c>
      <c r="H929">
        <v>1143</v>
      </c>
      <c r="I929">
        <v>118</v>
      </c>
      <c r="J929">
        <v>81</v>
      </c>
      <c r="K929">
        <v>174</v>
      </c>
      <c r="L929">
        <v>6976</v>
      </c>
      <c r="M929">
        <v>44</v>
      </c>
      <c r="N929" s="1">
        <v>0.69791666666666663</v>
      </c>
      <c r="O929" t="s">
        <v>49</v>
      </c>
    </row>
    <row r="930" spans="1:15" x14ac:dyDescent="0.3">
      <c r="A930" t="s">
        <v>969</v>
      </c>
      <c r="B930">
        <v>20250105</v>
      </c>
      <c r="C930" t="s">
        <v>44</v>
      </c>
      <c r="D930" t="s">
        <v>21</v>
      </c>
      <c r="E930" t="s">
        <v>18</v>
      </c>
      <c r="F930">
        <v>72336</v>
      </c>
      <c r="G930">
        <v>103973</v>
      </c>
      <c r="H930">
        <v>5855</v>
      </c>
      <c r="I930">
        <v>681</v>
      </c>
      <c r="J930">
        <v>1071</v>
      </c>
      <c r="K930">
        <v>201</v>
      </c>
      <c r="L930">
        <v>0</v>
      </c>
      <c r="M930">
        <v>447</v>
      </c>
      <c r="N930" s="1">
        <v>0.84375</v>
      </c>
      <c r="O930" t="s">
        <v>30</v>
      </c>
    </row>
    <row r="931" spans="1:15" x14ac:dyDescent="0.3">
      <c r="A931" t="s">
        <v>970</v>
      </c>
      <c r="B931">
        <v>20250206</v>
      </c>
      <c r="C931" t="s">
        <v>32</v>
      </c>
      <c r="D931" t="s">
        <v>17</v>
      </c>
      <c r="E931" t="s">
        <v>46</v>
      </c>
      <c r="F931">
        <v>9143</v>
      </c>
      <c r="G931">
        <v>13121</v>
      </c>
      <c r="H931">
        <v>572</v>
      </c>
      <c r="I931">
        <v>52</v>
      </c>
      <c r="J931">
        <v>111</v>
      </c>
      <c r="K931">
        <v>67</v>
      </c>
      <c r="L931">
        <v>6228</v>
      </c>
      <c r="M931">
        <v>139</v>
      </c>
      <c r="N931" s="1">
        <v>0.80208333333333337</v>
      </c>
      <c r="O931" t="s">
        <v>42</v>
      </c>
    </row>
    <row r="932" spans="1:15" x14ac:dyDescent="0.3">
      <c r="A932" t="s">
        <v>971</v>
      </c>
      <c r="B932">
        <v>20250102</v>
      </c>
      <c r="C932" t="s">
        <v>25</v>
      </c>
      <c r="D932" t="s">
        <v>68</v>
      </c>
      <c r="E932" t="s">
        <v>51</v>
      </c>
      <c r="F932">
        <v>4635</v>
      </c>
      <c r="G932">
        <v>5348</v>
      </c>
      <c r="H932">
        <v>532</v>
      </c>
      <c r="I932">
        <v>15</v>
      </c>
      <c r="J932">
        <v>92</v>
      </c>
      <c r="K932">
        <v>63</v>
      </c>
      <c r="L932">
        <v>0</v>
      </c>
      <c r="M932">
        <v>35</v>
      </c>
      <c r="N932" s="1">
        <v>0.72916666666666663</v>
      </c>
      <c r="O932" t="s">
        <v>38</v>
      </c>
    </row>
    <row r="933" spans="1:15" x14ac:dyDescent="0.3">
      <c r="A933" t="s">
        <v>972</v>
      </c>
      <c r="B933">
        <v>20250217</v>
      </c>
      <c r="C933" t="s">
        <v>44</v>
      </c>
      <c r="D933" t="s">
        <v>21</v>
      </c>
      <c r="E933" t="s">
        <v>26</v>
      </c>
      <c r="F933">
        <v>46309</v>
      </c>
      <c r="G933">
        <v>50118</v>
      </c>
      <c r="H933">
        <v>3784</v>
      </c>
      <c r="I933">
        <v>151</v>
      </c>
      <c r="J933">
        <v>474</v>
      </c>
      <c r="K933">
        <v>387</v>
      </c>
      <c r="L933">
        <v>27350</v>
      </c>
      <c r="M933">
        <v>254</v>
      </c>
      <c r="N933" s="1">
        <v>0.35416666666666669</v>
      </c>
      <c r="O933" t="s">
        <v>19</v>
      </c>
    </row>
    <row r="934" spans="1:15" x14ac:dyDescent="0.3">
      <c r="A934" t="s">
        <v>973</v>
      </c>
      <c r="B934">
        <v>20260720</v>
      </c>
      <c r="C934" t="s">
        <v>44</v>
      </c>
      <c r="D934" t="s">
        <v>61</v>
      </c>
      <c r="E934" t="s">
        <v>41</v>
      </c>
      <c r="F934">
        <v>59928</v>
      </c>
      <c r="G934">
        <v>68202</v>
      </c>
      <c r="H934">
        <v>3823</v>
      </c>
      <c r="I934">
        <v>425</v>
      </c>
      <c r="J934">
        <v>627</v>
      </c>
      <c r="K934">
        <v>503</v>
      </c>
      <c r="L934">
        <v>30428</v>
      </c>
      <c r="M934">
        <v>506</v>
      </c>
      <c r="N934" s="1">
        <v>0.51041666666666663</v>
      </c>
      <c r="O934" t="s">
        <v>23</v>
      </c>
    </row>
    <row r="935" spans="1:15" x14ac:dyDescent="0.3">
      <c r="A935" t="s">
        <v>974</v>
      </c>
      <c r="B935">
        <v>20251120</v>
      </c>
      <c r="C935" t="s">
        <v>40</v>
      </c>
      <c r="D935" t="s">
        <v>33</v>
      </c>
      <c r="E935" t="s">
        <v>22</v>
      </c>
      <c r="F935">
        <v>10146</v>
      </c>
      <c r="G935">
        <v>15066</v>
      </c>
      <c r="H935">
        <v>893</v>
      </c>
      <c r="I935">
        <v>105</v>
      </c>
      <c r="J935">
        <v>129</v>
      </c>
      <c r="K935">
        <v>57</v>
      </c>
      <c r="L935">
        <v>0</v>
      </c>
      <c r="M935">
        <v>108</v>
      </c>
      <c r="N935" s="1">
        <v>0.51041666666666663</v>
      </c>
      <c r="O935" t="s">
        <v>27</v>
      </c>
    </row>
    <row r="936" spans="1:15" x14ac:dyDescent="0.3">
      <c r="A936" t="s">
        <v>975</v>
      </c>
      <c r="B936">
        <v>20251205</v>
      </c>
      <c r="C936" t="s">
        <v>25</v>
      </c>
      <c r="D936" t="s">
        <v>29</v>
      </c>
      <c r="E936" t="s">
        <v>26</v>
      </c>
      <c r="F936">
        <v>4458</v>
      </c>
      <c r="G936">
        <v>4784</v>
      </c>
      <c r="H936">
        <v>498</v>
      </c>
      <c r="I936">
        <v>53</v>
      </c>
      <c r="J936">
        <v>77</v>
      </c>
      <c r="K936">
        <v>27</v>
      </c>
      <c r="L936">
        <v>1804</v>
      </c>
      <c r="M936">
        <v>53</v>
      </c>
      <c r="N936" s="1">
        <v>0.6875</v>
      </c>
      <c r="O936" t="s">
        <v>38</v>
      </c>
    </row>
    <row r="937" spans="1:15" x14ac:dyDescent="0.3">
      <c r="A937" t="s">
        <v>976</v>
      </c>
      <c r="B937">
        <v>20260524</v>
      </c>
      <c r="C937" t="s">
        <v>16</v>
      </c>
      <c r="D937" t="s">
        <v>17</v>
      </c>
      <c r="E937" t="s">
        <v>26</v>
      </c>
      <c r="F937">
        <v>7830</v>
      </c>
      <c r="G937">
        <v>11891</v>
      </c>
      <c r="H937">
        <v>308</v>
      </c>
      <c r="I937">
        <v>42</v>
      </c>
      <c r="J937">
        <v>59</v>
      </c>
      <c r="K937">
        <v>34</v>
      </c>
      <c r="L937">
        <v>4099</v>
      </c>
      <c r="M937">
        <v>25</v>
      </c>
      <c r="N937" s="1">
        <v>0.80208333333333337</v>
      </c>
      <c r="O937" t="s">
        <v>19</v>
      </c>
    </row>
    <row r="938" spans="1:15" x14ac:dyDescent="0.3">
      <c r="A938" t="s">
        <v>977</v>
      </c>
      <c r="B938">
        <v>20250609</v>
      </c>
      <c r="C938" t="s">
        <v>40</v>
      </c>
      <c r="D938" t="s">
        <v>21</v>
      </c>
      <c r="E938" t="s">
        <v>22</v>
      </c>
      <c r="F938">
        <v>9742</v>
      </c>
      <c r="G938">
        <v>14352</v>
      </c>
      <c r="H938">
        <v>449</v>
      </c>
      <c r="I938">
        <v>61</v>
      </c>
      <c r="J938">
        <v>22</v>
      </c>
      <c r="K938">
        <v>44</v>
      </c>
      <c r="L938">
        <v>0</v>
      </c>
      <c r="M938">
        <v>117</v>
      </c>
      <c r="N938" s="1">
        <v>0.52083333333333337</v>
      </c>
      <c r="O938" t="s">
        <v>49</v>
      </c>
    </row>
    <row r="939" spans="1:15" x14ac:dyDescent="0.3">
      <c r="A939" t="s">
        <v>978</v>
      </c>
      <c r="B939">
        <v>20250726</v>
      </c>
      <c r="C939" t="s">
        <v>16</v>
      </c>
      <c r="D939" t="s">
        <v>17</v>
      </c>
      <c r="E939" t="s">
        <v>46</v>
      </c>
      <c r="F939">
        <v>43066</v>
      </c>
      <c r="G939">
        <v>55264</v>
      </c>
      <c r="H939">
        <v>3747</v>
      </c>
      <c r="I939">
        <v>475</v>
      </c>
      <c r="J939">
        <v>132</v>
      </c>
      <c r="K939">
        <v>589</v>
      </c>
      <c r="L939">
        <v>37446</v>
      </c>
      <c r="M939">
        <v>185</v>
      </c>
      <c r="N939" s="1">
        <v>0.36458333333333331</v>
      </c>
      <c r="O939" t="s">
        <v>34</v>
      </c>
    </row>
    <row r="940" spans="1:15" x14ac:dyDescent="0.3">
      <c r="A940" t="s">
        <v>979</v>
      </c>
      <c r="B940">
        <v>20250808</v>
      </c>
      <c r="C940" t="s">
        <v>16</v>
      </c>
      <c r="D940" t="s">
        <v>29</v>
      </c>
      <c r="E940" t="s">
        <v>22</v>
      </c>
      <c r="F940">
        <v>28328</v>
      </c>
      <c r="G940">
        <v>46356</v>
      </c>
      <c r="H940">
        <v>3013</v>
      </c>
      <c r="I940">
        <v>248</v>
      </c>
      <c r="J940">
        <v>579</v>
      </c>
      <c r="K940">
        <v>148</v>
      </c>
      <c r="L940">
        <v>0</v>
      </c>
      <c r="M940">
        <v>91</v>
      </c>
      <c r="N940" s="1">
        <v>0.57291666666666663</v>
      </c>
      <c r="O940" t="s">
        <v>23</v>
      </c>
    </row>
    <row r="941" spans="1:15" x14ac:dyDescent="0.3">
      <c r="A941" t="s">
        <v>980</v>
      </c>
      <c r="B941">
        <v>20260726</v>
      </c>
      <c r="C941" t="s">
        <v>25</v>
      </c>
      <c r="D941" t="s">
        <v>61</v>
      </c>
      <c r="E941" t="s">
        <v>22</v>
      </c>
      <c r="F941">
        <v>8326</v>
      </c>
      <c r="G941">
        <v>9003</v>
      </c>
      <c r="H941">
        <v>675</v>
      </c>
      <c r="I941">
        <v>36</v>
      </c>
      <c r="J941">
        <v>116</v>
      </c>
      <c r="K941">
        <v>72</v>
      </c>
      <c r="L941">
        <v>0</v>
      </c>
      <c r="M941">
        <v>73</v>
      </c>
      <c r="N941" s="1">
        <v>0.57291666666666663</v>
      </c>
      <c r="O941" t="s">
        <v>23</v>
      </c>
    </row>
    <row r="942" spans="1:15" x14ac:dyDescent="0.3">
      <c r="A942" t="s">
        <v>981</v>
      </c>
      <c r="B942">
        <v>20251023</v>
      </c>
      <c r="C942" t="s">
        <v>16</v>
      </c>
      <c r="D942" t="s">
        <v>36</v>
      </c>
      <c r="E942" t="s">
        <v>46</v>
      </c>
      <c r="F942">
        <v>32224</v>
      </c>
      <c r="G942">
        <v>47090</v>
      </c>
      <c r="H942">
        <v>1757</v>
      </c>
      <c r="I942">
        <v>236</v>
      </c>
      <c r="J942">
        <v>92</v>
      </c>
      <c r="K942">
        <v>189</v>
      </c>
      <c r="L942">
        <v>20428</v>
      </c>
      <c r="M942">
        <v>39</v>
      </c>
      <c r="N942" s="1">
        <v>0.55208333333333337</v>
      </c>
      <c r="O942" t="s">
        <v>49</v>
      </c>
    </row>
    <row r="943" spans="1:15" x14ac:dyDescent="0.3">
      <c r="A943" t="s">
        <v>982</v>
      </c>
      <c r="B943">
        <v>20260828</v>
      </c>
      <c r="C943" t="s">
        <v>25</v>
      </c>
      <c r="D943" t="s">
        <v>17</v>
      </c>
      <c r="E943" t="s">
        <v>41</v>
      </c>
      <c r="F943">
        <v>11954</v>
      </c>
      <c r="G943">
        <v>14837</v>
      </c>
      <c r="H943">
        <v>1381</v>
      </c>
      <c r="I943">
        <v>118</v>
      </c>
      <c r="J943">
        <v>225</v>
      </c>
      <c r="K943">
        <v>199</v>
      </c>
      <c r="L943">
        <v>4685</v>
      </c>
      <c r="M943">
        <v>132</v>
      </c>
      <c r="N943" s="1">
        <v>0.70833333333333337</v>
      </c>
      <c r="O943" t="s">
        <v>38</v>
      </c>
    </row>
    <row r="944" spans="1:15" x14ac:dyDescent="0.3">
      <c r="A944" t="s">
        <v>983</v>
      </c>
      <c r="B944">
        <v>20250814</v>
      </c>
      <c r="C944" t="s">
        <v>32</v>
      </c>
      <c r="D944" t="s">
        <v>33</v>
      </c>
      <c r="E944" t="s">
        <v>51</v>
      </c>
      <c r="F944">
        <v>23928</v>
      </c>
      <c r="G944">
        <v>31624</v>
      </c>
      <c r="H944">
        <v>630</v>
      </c>
      <c r="I944">
        <v>62</v>
      </c>
      <c r="J944">
        <v>116</v>
      </c>
      <c r="K944">
        <v>53</v>
      </c>
      <c r="L944">
        <v>0</v>
      </c>
      <c r="M944">
        <v>136</v>
      </c>
      <c r="N944" s="1">
        <v>0.875</v>
      </c>
      <c r="O944" t="s">
        <v>30</v>
      </c>
    </row>
    <row r="945" spans="1:15" x14ac:dyDescent="0.3">
      <c r="A945" t="s">
        <v>984</v>
      </c>
      <c r="B945">
        <v>20250924</v>
      </c>
      <c r="C945" t="s">
        <v>40</v>
      </c>
      <c r="D945" t="s">
        <v>17</v>
      </c>
      <c r="E945" t="s">
        <v>18</v>
      </c>
      <c r="F945">
        <v>12871</v>
      </c>
      <c r="G945">
        <v>18671</v>
      </c>
      <c r="H945">
        <v>850</v>
      </c>
      <c r="I945">
        <v>107</v>
      </c>
      <c r="J945">
        <v>125</v>
      </c>
      <c r="K945">
        <v>51</v>
      </c>
      <c r="L945">
        <v>0</v>
      </c>
      <c r="M945">
        <v>182</v>
      </c>
      <c r="N945" s="1">
        <v>0.61458333333333337</v>
      </c>
      <c r="O945" t="s">
        <v>47</v>
      </c>
    </row>
    <row r="946" spans="1:15" x14ac:dyDescent="0.3">
      <c r="A946" t="s">
        <v>985</v>
      </c>
      <c r="B946">
        <v>20250914</v>
      </c>
      <c r="C946" t="s">
        <v>25</v>
      </c>
      <c r="D946" t="s">
        <v>36</v>
      </c>
      <c r="E946" t="s">
        <v>46</v>
      </c>
      <c r="F946">
        <v>8467</v>
      </c>
      <c r="G946">
        <v>12534</v>
      </c>
      <c r="H946">
        <v>971</v>
      </c>
      <c r="I946">
        <v>93</v>
      </c>
      <c r="J946">
        <v>37</v>
      </c>
      <c r="K946">
        <v>140</v>
      </c>
      <c r="L946">
        <v>5060</v>
      </c>
      <c r="M946">
        <v>48</v>
      </c>
      <c r="N946" s="1">
        <v>0.32291666666666669</v>
      </c>
      <c r="O946" t="s">
        <v>49</v>
      </c>
    </row>
    <row r="947" spans="1:15" x14ac:dyDescent="0.3">
      <c r="A947" t="s">
        <v>986</v>
      </c>
      <c r="B947">
        <v>20251112</v>
      </c>
      <c r="C947" t="s">
        <v>44</v>
      </c>
      <c r="D947" t="s">
        <v>17</v>
      </c>
      <c r="E947" t="s">
        <v>41</v>
      </c>
      <c r="F947">
        <v>64383</v>
      </c>
      <c r="G947">
        <v>90866</v>
      </c>
      <c r="H947">
        <v>4435</v>
      </c>
      <c r="I947">
        <v>579</v>
      </c>
      <c r="J947">
        <v>462</v>
      </c>
      <c r="K947">
        <v>642</v>
      </c>
      <c r="L947">
        <v>51952</v>
      </c>
      <c r="M947">
        <v>1066</v>
      </c>
      <c r="N947" s="1">
        <v>0.73958333333333337</v>
      </c>
      <c r="O947" t="s">
        <v>49</v>
      </c>
    </row>
    <row r="948" spans="1:15" x14ac:dyDescent="0.3">
      <c r="A948" t="s">
        <v>987</v>
      </c>
      <c r="B948">
        <v>20250629</v>
      </c>
      <c r="C948" t="s">
        <v>25</v>
      </c>
      <c r="D948" t="s">
        <v>21</v>
      </c>
      <c r="E948" t="s">
        <v>22</v>
      </c>
      <c r="F948">
        <v>16937</v>
      </c>
      <c r="G948">
        <v>26419</v>
      </c>
      <c r="H948">
        <v>1870</v>
      </c>
      <c r="I948">
        <v>134</v>
      </c>
      <c r="J948">
        <v>135</v>
      </c>
      <c r="K948">
        <v>206</v>
      </c>
      <c r="L948">
        <v>0</v>
      </c>
      <c r="M948">
        <v>104</v>
      </c>
      <c r="N948" s="1">
        <v>0.45833333333333331</v>
      </c>
      <c r="O948" t="s">
        <v>53</v>
      </c>
    </row>
    <row r="949" spans="1:15" x14ac:dyDescent="0.3">
      <c r="A949" t="s">
        <v>988</v>
      </c>
      <c r="B949">
        <v>20260621</v>
      </c>
      <c r="C949" t="s">
        <v>40</v>
      </c>
      <c r="D949" t="s">
        <v>17</v>
      </c>
      <c r="E949" t="s">
        <v>18</v>
      </c>
      <c r="F949">
        <v>15080</v>
      </c>
      <c r="G949">
        <v>16546</v>
      </c>
      <c r="H949">
        <v>758</v>
      </c>
      <c r="I949">
        <v>51</v>
      </c>
      <c r="J949">
        <v>69</v>
      </c>
      <c r="K949">
        <v>87</v>
      </c>
      <c r="L949">
        <v>0</v>
      </c>
      <c r="M949">
        <v>26</v>
      </c>
      <c r="N949" s="1">
        <v>0.89583333333333337</v>
      </c>
      <c r="O949" t="s">
        <v>34</v>
      </c>
    </row>
    <row r="950" spans="1:15" x14ac:dyDescent="0.3">
      <c r="A950" t="s">
        <v>989</v>
      </c>
      <c r="B950">
        <v>20250610</v>
      </c>
      <c r="C950" t="s">
        <v>25</v>
      </c>
      <c r="D950" t="s">
        <v>17</v>
      </c>
      <c r="E950" t="s">
        <v>46</v>
      </c>
      <c r="F950">
        <v>14258</v>
      </c>
      <c r="G950">
        <v>19952</v>
      </c>
      <c r="H950">
        <v>1105</v>
      </c>
      <c r="I950">
        <v>131</v>
      </c>
      <c r="J950">
        <v>204</v>
      </c>
      <c r="K950">
        <v>51</v>
      </c>
      <c r="L950">
        <v>10541</v>
      </c>
      <c r="M950">
        <v>185</v>
      </c>
      <c r="N950" s="1">
        <v>0.80208333333333337</v>
      </c>
      <c r="O950" t="s">
        <v>27</v>
      </c>
    </row>
    <row r="951" spans="1:15" x14ac:dyDescent="0.3">
      <c r="A951" t="s">
        <v>990</v>
      </c>
      <c r="B951">
        <v>20251205</v>
      </c>
      <c r="C951" t="s">
        <v>40</v>
      </c>
      <c r="D951" t="s">
        <v>29</v>
      </c>
      <c r="E951" t="s">
        <v>41</v>
      </c>
      <c r="F951">
        <v>29803</v>
      </c>
      <c r="G951">
        <v>41880</v>
      </c>
      <c r="H951">
        <v>2362</v>
      </c>
      <c r="I951">
        <v>133</v>
      </c>
      <c r="J951">
        <v>417</v>
      </c>
      <c r="K951">
        <v>237</v>
      </c>
      <c r="L951">
        <v>22240</v>
      </c>
      <c r="M951">
        <v>343</v>
      </c>
      <c r="N951" s="1">
        <v>0.90625</v>
      </c>
      <c r="O951" t="s">
        <v>49</v>
      </c>
    </row>
    <row r="952" spans="1:15" x14ac:dyDescent="0.3">
      <c r="A952" t="s">
        <v>991</v>
      </c>
      <c r="B952">
        <v>20251230</v>
      </c>
      <c r="C952" t="s">
        <v>25</v>
      </c>
      <c r="D952" t="s">
        <v>21</v>
      </c>
      <c r="E952" t="s">
        <v>46</v>
      </c>
      <c r="F952">
        <v>15208</v>
      </c>
      <c r="G952">
        <v>21703</v>
      </c>
      <c r="H952">
        <v>1233</v>
      </c>
      <c r="I952">
        <v>102</v>
      </c>
      <c r="J952">
        <v>118</v>
      </c>
      <c r="K952">
        <v>80</v>
      </c>
      <c r="L952">
        <v>12336</v>
      </c>
      <c r="M952">
        <v>256</v>
      </c>
      <c r="N952" s="1">
        <v>0.69791666666666663</v>
      </c>
      <c r="O952" t="s">
        <v>42</v>
      </c>
    </row>
    <row r="953" spans="1:15" x14ac:dyDescent="0.3">
      <c r="A953" t="s">
        <v>992</v>
      </c>
      <c r="B953">
        <v>20250513</v>
      </c>
      <c r="C953" t="s">
        <v>32</v>
      </c>
      <c r="D953" t="s">
        <v>21</v>
      </c>
      <c r="E953" t="s">
        <v>22</v>
      </c>
      <c r="F953">
        <v>4180</v>
      </c>
      <c r="G953">
        <v>5990</v>
      </c>
      <c r="H953">
        <v>175</v>
      </c>
      <c r="I953">
        <v>17</v>
      </c>
      <c r="J953">
        <v>18</v>
      </c>
      <c r="K953">
        <v>13</v>
      </c>
      <c r="L953">
        <v>0</v>
      </c>
      <c r="M953">
        <v>18</v>
      </c>
      <c r="N953" s="1">
        <v>0.89583333333333337</v>
      </c>
      <c r="O953" t="s">
        <v>53</v>
      </c>
    </row>
    <row r="954" spans="1:15" x14ac:dyDescent="0.3">
      <c r="A954" t="s">
        <v>993</v>
      </c>
      <c r="B954">
        <v>20260128</v>
      </c>
      <c r="C954" t="s">
        <v>16</v>
      </c>
      <c r="D954" t="s">
        <v>36</v>
      </c>
      <c r="E954" t="s">
        <v>18</v>
      </c>
      <c r="F954">
        <v>34350</v>
      </c>
      <c r="G954">
        <v>53539</v>
      </c>
      <c r="H954">
        <v>3281</v>
      </c>
      <c r="I954">
        <v>403</v>
      </c>
      <c r="J954">
        <v>264</v>
      </c>
      <c r="K954">
        <v>243</v>
      </c>
      <c r="L954">
        <v>0</v>
      </c>
      <c r="M954">
        <v>423</v>
      </c>
      <c r="N954" s="1">
        <v>0.39583333333333331</v>
      </c>
      <c r="O954" t="s">
        <v>23</v>
      </c>
    </row>
    <row r="955" spans="1:15" x14ac:dyDescent="0.3">
      <c r="A955" t="s">
        <v>994</v>
      </c>
      <c r="B955">
        <v>20250412</v>
      </c>
      <c r="C955" t="s">
        <v>40</v>
      </c>
      <c r="D955" t="s">
        <v>21</v>
      </c>
      <c r="E955" t="s">
        <v>26</v>
      </c>
      <c r="F955">
        <v>13091</v>
      </c>
      <c r="G955">
        <v>21418</v>
      </c>
      <c r="H955">
        <v>1038</v>
      </c>
      <c r="I955">
        <v>37</v>
      </c>
      <c r="J955">
        <v>87</v>
      </c>
      <c r="K955">
        <v>87</v>
      </c>
      <c r="L955">
        <v>10750</v>
      </c>
      <c r="M955">
        <v>230</v>
      </c>
      <c r="N955" s="1">
        <v>0.33333333333333331</v>
      </c>
      <c r="O955" t="s">
        <v>27</v>
      </c>
    </row>
    <row r="956" spans="1:15" x14ac:dyDescent="0.3">
      <c r="A956" t="s">
        <v>995</v>
      </c>
      <c r="B956">
        <v>20250614</v>
      </c>
      <c r="C956" t="s">
        <v>44</v>
      </c>
      <c r="D956" t="s">
        <v>33</v>
      </c>
      <c r="E956" t="s">
        <v>46</v>
      </c>
      <c r="F956">
        <v>74709</v>
      </c>
      <c r="G956">
        <v>98887</v>
      </c>
      <c r="H956">
        <v>4824</v>
      </c>
      <c r="I956">
        <v>628</v>
      </c>
      <c r="J956">
        <v>400</v>
      </c>
      <c r="K956">
        <v>741</v>
      </c>
      <c r="L956">
        <v>38779</v>
      </c>
      <c r="M956">
        <v>798</v>
      </c>
      <c r="N956" s="1">
        <v>0.6875</v>
      </c>
      <c r="O956" t="s">
        <v>49</v>
      </c>
    </row>
    <row r="957" spans="1:15" x14ac:dyDescent="0.3">
      <c r="A957" t="s">
        <v>996</v>
      </c>
      <c r="B957">
        <v>20250405</v>
      </c>
      <c r="C957" t="s">
        <v>40</v>
      </c>
      <c r="D957" t="s">
        <v>61</v>
      </c>
      <c r="E957" t="s">
        <v>51</v>
      </c>
      <c r="F957">
        <v>13711</v>
      </c>
      <c r="G957">
        <v>17076</v>
      </c>
      <c r="H957">
        <v>455</v>
      </c>
      <c r="I957">
        <v>39</v>
      </c>
      <c r="J957">
        <v>89</v>
      </c>
      <c r="K957">
        <v>39</v>
      </c>
      <c r="L957">
        <v>0</v>
      </c>
      <c r="M957">
        <v>65</v>
      </c>
      <c r="N957" s="1">
        <v>0.57291666666666663</v>
      </c>
      <c r="O957" t="s">
        <v>30</v>
      </c>
    </row>
    <row r="958" spans="1:15" x14ac:dyDescent="0.3">
      <c r="A958" t="s">
        <v>997</v>
      </c>
      <c r="B958">
        <v>20250123</v>
      </c>
      <c r="C958" t="s">
        <v>16</v>
      </c>
      <c r="D958" t="s">
        <v>33</v>
      </c>
      <c r="E958" t="s">
        <v>41</v>
      </c>
      <c r="F958">
        <v>26990</v>
      </c>
      <c r="G958">
        <v>34445</v>
      </c>
      <c r="H958">
        <v>2452</v>
      </c>
      <c r="I958">
        <v>196</v>
      </c>
      <c r="J958">
        <v>343</v>
      </c>
      <c r="K958">
        <v>356</v>
      </c>
      <c r="L958">
        <v>15298</v>
      </c>
      <c r="M958">
        <v>432</v>
      </c>
      <c r="N958" s="1">
        <v>0.51041666666666663</v>
      </c>
      <c r="O958" t="s">
        <v>42</v>
      </c>
    </row>
    <row r="959" spans="1:15" x14ac:dyDescent="0.3">
      <c r="A959" t="s">
        <v>998</v>
      </c>
      <c r="B959">
        <v>20260830</v>
      </c>
      <c r="C959" t="s">
        <v>44</v>
      </c>
      <c r="D959" t="s">
        <v>61</v>
      </c>
      <c r="E959" t="s">
        <v>51</v>
      </c>
      <c r="F959">
        <v>52662</v>
      </c>
      <c r="G959">
        <v>86584</v>
      </c>
      <c r="H959">
        <v>3593</v>
      </c>
      <c r="I959">
        <v>187</v>
      </c>
      <c r="J959">
        <v>668</v>
      </c>
      <c r="K959">
        <v>522</v>
      </c>
      <c r="L959">
        <v>0</v>
      </c>
      <c r="M959">
        <v>302</v>
      </c>
      <c r="N959" s="1">
        <v>0.59375</v>
      </c>
      <c r="O959" t="s">
        <v>23</v>
      </c>
    </row>
    <row r="960" spans="1:15" x14ac:dyDescent="0.3">
      <c r="A960" t="s">
        <v>999</v>
      </c>
      <c r="B960">
        <v>20250109</v>
      </c>
      <c r="C960" t="s">
        <v>25</v>
      </c>
      <c r="D960" t="s">
        <v>21</v>
      </c>
      <c r="E960" t="s">
        <v>41</v>
      </c>
      <c r="F960">
        <v>12873</v>
      </c>
      <c r="G960">
        <v>14490</v>
      </c>
      <c r="H960">
        <v>358</v>
      </c>
      <c r="I960">
        <v>33</v>
      </c>
      <c r="J960">
        <v>60</v>
      </c>
      <c r="K960">
        <v>45</v>
      </c>
      <c r="L960">
        <v>8451</v>
      </c>
      <c r="M960">
        <v>51</v>
      </c>
      <c r="N960" s="1">
        <v>0.84375</v>
      </c>
      <c r="O960" t="s">
        <v>27</v>
      </c>
    </row>
    <row r="961" spans="1:15" x14ac:dyDescent="0.3">
      <c r="A961" t="s">
        <v>1000</v>
      </c>
      <c r="B961">
        <v>20260206</v>
      </c>
      <c r="C961" t="s">
        <v>44</v>
      </c>
      <c r="D961" t="s">
        <v>68</v>
      </c>
      <c r="E961" t="s">
        <v>41</v>
      </c>
      <c r="F961">
        <v>82258</v>
      </c>
      <c r="G961">
        <v>90293</v>
      </c>
      <c r="H961">
        <v>7629</v>
      </c>
      <c r="I961">
        <v>712</v>
      </c>
      <c r="J961">
        <v>235</v>
      </c>
      <c r="K961">
        <v>773</v>
      </c>
      <c r="L961">
        <v>73681</v>
      </c>
      <c r="M961">
        <v>1314</v>
      </c>
      <c r="N961" s="1">
        <v>0.40625</v>
      </c>
      <c r="O961" t="s">
        <v>53</v>
      </c>
    </row>
    <row r="962" spans="1:15" x14ac:dyDescent="0.3">
      <c r="A962" t="s">
        <v>1001</v>
      </c>
      <c r="B962">
        <v>20251228</v>
      </c>
      <c r="C962" t="s">
        <v>16</v>
      </c>
      <c r="D962" t="s">
        <v>61</v>
      </c>
      <c r="E962" t="s">
        <v>46</v>
      </c>
      <c r="F962">
        <v>34939</v>
      </c>
      <c r="G962">
        <v>43131</v>
      </c>
      <c r="H962">
        <v>3259</v>
      </c>
      <c r="I962">
        <v>187</v>
      </c>
      <c r="J962">
        <v>467</v>
      </c>
      <c r="K962">
        <v>455</v>
      </c>
      <c r="L962">
        <v>31070</v>
      </c>
      <c r="M962">
        <v>245</v>
      </c>
      <c r="N962" s="1">
        <v>0.5625</v>
      </c>
      <c r="O962" t="s">
        <v>23</v>
      </c>
    </row>
    <row r="963" spans="1:15" x14ac:dyDescent="0.3">
      <c r="A963" t="s">
        <v>1002</v>
      </c>
      <c r="B963">
        <v>20260430</v>
      </c>
      <c r="C963" t="s">
        <v>25</v>
      </c>
      <c r="D963" t="s">
        <v>17</v>
      </c>
      <c r="E963" t="s">
        <v>46</v>
      </c>
      <c r="F963">
        <v>7503</v>
      </c>
      <c r="G963">
        <v>8570</v>
      </c>
      <c r="H963">
        <v>412</v>
      </c>
      <c r="I963">
        <v>16</v>
      </c>
      <c r="J963">
        <v>51</v>
      </c>
      <c r="K963">
        <v>16</v>
      </c>
      <c r="L963">
        <v>4571</v>
      </c>
      <c r="M963">
        <v>54</v>
      </c>
      <c r="N963" s="1">
        <v>0.55208333333333337</v>
      </c>
      <c r="O963" t="s">
        <v>53</v>
      </c>
    </row>
    <row r="964" spans="1:15" x14ac:dyDescent="0.3">
      <c r="A964" t="s">
        <v>650</v>
      </c>
      <c r="B964">
        <v>20250706</v>
      </c>
      <c r="C964" t="s">
        <v>32</v>
      </c>
      <c r="D964" t="s">
        <v>29</v>
      </c>
      <c r="E964" t="s">
        <v>41</v>
      </c>
      <c r="F964">
        <v>11929</v>
      </c>
      <c r="G964">
        <v>18585</v>
      </c>
      <c r="H964">
        <v>1420</v>
      </c>
      <c r="I964">
        <v>51</v>
      </c>
      <c r="J964">
        <v>194</v>
      </c>
      <c r="K964">
        <v>180</v>
      </c>
      <c r="L964">
        <v>6074</v>
      </c>
      <c r="M964">
        <v>72</v>
      </c>
      <c r="N964" s="1">
        <v>0.375</v>
      </c>
      <c r="O964" t="s">
        <v>19</v>
      </c>
    </row>
    <row r="965" spans="1:15" x14ac:dyDescent="0.3">
      <c r="A965" t="s">
        <v>1003</v>
      </c>
      <c r="B965">
        <v>20260205</v>
      </c>
      <c r="C965" t="s">
        <v>32</v>
      </c>
      <c r="D965" t="s">
        <v>33</v>
      </c>
      <c r="E965" t="s">
        <v>46</v>
      </c>
      <c r="F965">
        <v>8387</v>
      </c>
      <c r="G965">
        <v>12780</v>
      </c>
      <c r="H965">
        <v>367</v>
      </c>
      <c r="I965">
        <v>34</v>
      </c>
      <c r="J965">
        <v>59</v>
      </c>
      <c r="K965">
        <v>49</v>
      </c>
      <c r="L965">
        <v>4870</v>
      </c>
      <c r="M965">
        <v>87</v>
      </c>
      <c r="N965" s="1">
        <v>0.57291666666666663</v>
      </c>
      <c r="O965" t="s">
        <v>47</v>
      </c>
    </row>
    <row r="966" spans="1:15" x14ac:dyDescent="0.3">
      <c r="A966" t="s">
        <v>1004</v>
      </c>
      <c r="B966">
        <v>20250907</v>
      </c>
      <c r="C966" t="s">
        <v>16</v>
      </c>
      <c r="D966" t="s">
        <v>21</v>
      </c>
      <c r="E966" t="s">
        <v>22</v>
      </c>
      <c r="F966">
        <v>20509</v>
      </c>
      <c r="G966">
        <v>27062</v>
      </c>
      <c r="H966">
        <v>572</v>
      </c>
      <c r="I966">
        <v>27</v>
      </c>
      <c r="J966">
        <v>23</v>
      </c>
      <c r="K966">
        <v>17</v>
      </c>
      <c r="L966">
        <v>0</v>
      </c>
      <c r="M966">
        <v>108</v>
      </c>
      <c r="N966" s="1">
        <v>0.39583333333333331</v>
      </c>
      <c r="O966" t="s">
        <v>19</v>
      </c>
    </row>
    <row r="967" spans="1:15" x14ac:dyDescent="0.3">
      <c r="A967" t="s">
        <v>1005</v>
      </c>
      <c r="B967">
        <v>20250215</v>
      </c>
      <c r="C967" t="s">
        <v>40</v>
      </c>
      <c r="D967" t="s">
        <v>21</v>
      </c>
      <c r="E967" t="s">
        <v>22</v>
      </c>
      <c r="F967">
        <v>8951</v>
      </c>
      <c r="G967">
        <v>13183</v>
      </c>
      <c r="H967">
        <v>1021</v>
      </c>
      <c r="I967">
        <v>66</v>
      </c>
      <c r="J967">
        <v>61</v>
      </c>
      <c r="K967">
        <v>53</v>
      </c>
      <c r="L967">
        <v>0</v>
      </c>
      <c r="M967">
        <v>96</v>
      </c>
      <c r="N967" s="1">
        <v>0.33333333333333331</v>
      </c>
      <c r="O967" t="s">
        <v>30</v>
      </c>
    </row>
    <row r="968" spans="1:15" x14ac:dyDescent="0.3">
      <c r="A968" t="s">
        <v>1006</v>
      </c>
      <c r="B968">
        <v>20250523</v>
      </c>
      <c r="C968" t="s">
        <v>16</v>
      </c>
      <c r="D968" t="s">
        <v>17</v>
      </c>
      <c r="E968" t="s">
        <v>51</v>
      </c>
      <c r="F968">
        <v>12902</v>
      </c>
      <c r="G968">
        <v>19896</v>
      </c>
      <c r="H968">
        <v>575</v>
      </c>
      <c r="I968">
        <v>45</v>
      </c>
      <c r="J968">
        <v>50</v>
      </c>
      <c r="K968">
        <v>23</v>
      </c>
      <c r="L968">
        <v>0</v>
      </c>
      <c r="M968">
        <v>49</v>
      </c>
      <c r="N968" s="1">
        <v>0.875</v>
      </c>
      <c r="O968" t="s">
        <v>38</v>
      </c>
    </row>
    <row r="969" spans="1:15" x14ac:dyDescent="0.3">
      <c r="A969" t="s">
        <v>1007</v>
      </c>
      <c r="B969">
        <v>20250212</v>
      </c>
      <c r="C969" t="s">
        <v>16</v>
      </c>
      <c r="D969" t="s">
        <v>36</v>
      </c>
      <c r="E969" t="s">
        <v>46</v>
      </c>
      <c r="F969">
        <v>44820</v>
      </c>
      <c r="G969">
        <v>66803</v>
      </c>
      <c r="H969">
        <v>5329</v>
      </c>
      <c r="I969">
        <v>474</v>
      </c>
      <c r="J969">
        <v>827</v>
      </c>
      <c r="K969">
        <v>235</v>
      </c>
      <c r="L969">
        <v>26047</v>
      </c>
      <c r="M969">
        <v>74</v>
      </c>
      <c r="N969" s="1">
        <v>0.70833333333333337</v>
      </c>
      <c r="O969" t="s">
        <v>49</v>
      </c>
    </row>
    <row r="970" spans="1:15" x14ac:dyDescent="0.3">
      <c r="A970" t="s">
        <v>1008</v>
      </c>
      <c r="B970">
        <v>20260209</v>
      </c>
      <c r="C970" t="s">
        <v>25</v>
      </c>
      <c r="D970" t="s">
        <v>61</v>
      </c>
      <c r="E970" t="s">
        <v>51</v>
      </c>
      <c r="F970">
        <v>11686</v>
      </c>
      <c r="G970">
        <v>15268</v>
      </c>
      <c r="H970">
        <v>1093</v>
      </c>
      <c r="I970">
        <v>130</v>
      </c>
      <c r="J970">
        <v>67</v>
      </c>
      <c r="K970">
        <v>60</v>
      </c>
      <c r="L970">
        <v>0</v>
      </c>
      <c r="M970">
        <v>31</v>
      </c>
      <c r="N970" s="1">
        <v>0.42708333333333331</v>
      </c>
      <c r="O970" t="s">
        <v>47</v>
      </c>
    </row>
    <row r="971" spans="1:15" x14ac:dyDescent="0.3">
      <c r="A971" t="s">
        <v>1009</v>
      </c>
      <c r="B971">
        <v>20250218</v>
      </c>
      <c r="C971" t="s">
        <v>40</v>
      </c>
      <c r="D971" t="s">
        <v>61</v>
      </c>
      <c r="E971" t="s">
        <v>22</v>
      </c>
      <c r="F971">
        <v>13602</v>
      </c>
      <c r="G971">
        <v>19492</v>
      </c>
      <c r="H971">
        <v>1180</v>
      </c>
      <c r="I971">
        <v>119</v>
      </c>
      <c r="J971">
        <v>130</v>
      </c>
      <c r="K971">
        <v>163</v>
      </c>
      <c r="L971">
        <v>0</v>
      </c>
      <c r="M971">
        <v>136</v>
      </c>
      <c r="N971" s="1">
        <v>0.3125</v>
      </c>
      <c r="O971" t="s">
        <v>30</v>
      </c>
    </row>
    <row r="972" spans="1:15" x14ac:dyDescent="0.3">
      <c r="A972" t="s">
        <v>1010</v>
      </c>
      <c r="B972">
        <v>20260121</v>
      </c>
      <c r="C972" t="s">
        <v>40</v>
      </c>
      <c r="D972" t="s">
        <v>17</v>
      </c>
      <c r="E972" t="s">
        <v>18</v>
      </c>
      <c r="F972">
        <v>1934</v>
      </c>
      <c r="G972">
        <v>2482</v>
      </c>
      <c r="H972">
        <v>53</v>
      </c>
      <c r="I972">
        <v>5</v>
      </c>
      <c r="J972">
        <v>6</v>
      </c>
      <c r="K972">
        <v>5</v>
      </c>
      <c r="L972">
        <v>0</v>
      </c>
      <c r="M972">
        <v>14</v>
      </c>
      <c r="N972" s="1">
        <v>0.875</v>
      </c>
      <c r="O972" t="s">
        <v>38</v>
      </c>
    </row>
    <row r="973" spans="1:15" x14ac:dyDescent="0.3">
      <c r="A973" t="s">
        <v>1011</v>
      </c>
      <c r="B973">
        <v>20250125</v>
      </c>
      <c r="C973" t="s">
        <v>25</v>
      </c>
      <c r="D973" t="s">
        <v>36</v>
      </c>
      <c r="E973" t="s">
        <v>18</v>
      </c>
      <c r="F973">
        <v>26793</v>
      </c>
      <c r="G973">
        <v>41606</v>
      </c>
      <c r="H973">
        <v>3121</v>
      </c>
      <c r="I973">
        <v>370</v>
      </c>
      <c r="J973">
        <v>548</v>
      </c>
      <c r="K973">
        <v>374</v>
      </c>
      <c r="L973">
        <v>0</v>
      </c>
      <c r="M973">
        <v>336</v>
      </c>
      <c r="N973" s="1">
        <v>0.80208333333333337</v>
      </c>
      <c r="O973" t="s">
        <v>42</v>
      </c>
    </row>
    <row r="974" spans="1:15" x14ac:dyDescent="0.3">
      <c r="A974" t="s">
        <v>1012</v>
      </c>
      <c r="B974">
        <v>20251016</v>
      </c>
      <c r="C974" t="s">
        <v>40</v>
      </c>
      <c r="D974" t="s">
        <v>17</v>
      </c>
      <c r="E974" t="s">
        <v>46</v>
      </c>
      <c r="F974">
        <v>24275</v>
      </c>
      <c r="G974">
        <v>34687</v>
      </c>
      <c r="H974">
        <v>2632</v>
      </c>
      <c r="I974">
        <v>70</v>
      </c>
      <c r="J974">
        <v>280</v>
      </c>
      <c r="K974">
        <v>190</v>
      </c>
      <c r="L974">
        <v>18298</v>
      </c>
      <c r="M974">
        <v>177</v>
      </c>
      <c r="N974" s="1">
        <v>0.46875</v>
      </c>
      <c r="O974" t="s">
        <v>42</v>
      </c>
    </row>
    <row r="975" spans="1:15" x14ac:dyDescent="0.3">
      <c r="A975" t="s">
        <v>1013</v>
      </c>
      <c r="B975">
        <v>20251015</v>
      </c>
      <c r="C975" t="s">
        <v>44</v>
      </c>
      <c r="D975" t="s">
        <v>61</v>
      </c>
      <c r="E975" t="s">
        <v>46</v>
      </c>
      <c r="F975">
        <v>47730</v>
      </c>
      <c r="G975">
        <v>60477</v>
      </c>
      <c r="H975">
        <v>2205</v>
      </c>
      <c r="I975">
        <v>255</v>
      </c>
      <c r="J975">
        <v>335</v>
      </c>
      <c r="K975">
        <v>194</v>
      </c>
      <c r="L975">
        <v>29440</v>
      </c>
      <c r="M975">
        <v>756</v>
      </c>
      <c r="N975" s="1">
        <v>0.32291666666666669</v>
      </c>
      <c r="O975" t="s">
        <v>53</v>
      </c>
    </row>
    <row r="976" spans="1:15" x14ac:dyDescent="0.3">
      <c r="A976" t="s">
        <v>1014</v>
      </c>
      <c r="B976">
        <v>20250521</v>
      </c>
      <c r="C976" t="s">
        <v>16</v>
      </c>
      <c r="D976" t="s">
        <v>68</v>
      </c>
      <c r="E976" t="s">
        <v>46</v>
      </c>
      <c r="F976">
        <v>13443</v>
      </c>
      <c r="G976">
        <v>16390</v>
      </c>
      <c r="H976">
        <v>1480</v>
      </c>
      <c r="I976">
        <v>169</v>
      </c>
      <c r="J976">
        <v>153</v>
      </c>
      <c r="K976">
        <v>134</v>
      </c>
      <c r="L976">
        <v>10212</v>
      </c>
      <c r="M976">
        <v>103</v>
      </c>
      <c r="N976" s="1">
        <v>0.59375</v>
      </c>
      <c r="O976" t="s">
        <v>27</v>
      </c>
    </row>
    <row r="977" spans="1:15" x14ac:dyDescent="0.3">
      <c r="A977" t="s">
        <v>1015</v>
      </c>
      <c r="B977">
        <v>20260422</v>
      </c>
      <c r="C977" t="s">
        <v>40</v>
      </c>
      <c r="D977" t="s">
        <v>61</v>
      </c>
      <c r="E977" t="s">
        <v>26</v>
      </c>
      <c r="F977">
        <v>16173</v>
      </c>
      <c r="G977">
        <v>23576</v>
      </c>
      <c r="H977">
        <v>1895</v>
      </c>
      <c r="I977">
        <v>247</v>
      </c>
      <c r="J977">
        <v>373</v>
      </c>
      <c r="K977">
        <v>170</v>
      </c>
      <c r="L977">
        <v>11624</v>
      </c>
      <c r="M977">
        <v>228</v>
      </c>
      <c r="N977" s="1">
        <v>0.66666666666666663</v>
      </c>
      <c r="O977" t="s">
        <v>53</v>
      </c>
    </row>
    <row r="978" spans="1:15" x14ac:dyDescent="0.3">
      <c r="A978" t="s">
        <v>1016</v>
      </c>
      <c r="B978">
        <v>20260621</v>
      </c>
      <c r="C978" t="s">
        <v>32</v>
      </c>
      <c r="D978" t="s">
        <v>36</v>
      </c>
      <c r="E978" t="s">
        <v>18</v>
      </c>
      <c r="F978">
        <v>7055</v>
      </c>
      <c r="G978">
        <v>9369</v>
      </c>
      <c r="H978">
        <v>285</v>
      </c>
      <c r="I978">
        <v>26</v>
      </c>
      <c r="J978">
        <v>15</v>
      </c>
      <c r="K978">
        <v>20</v>
      </c>
      <c r="L978">
        <v>0</v>
      </c>
      <c r="M978">
        <v>97</v>
      </c>
      <c r="N978" s="1">
        <v>0.875</v>
      </c>
      <c r="O978" t="s">
        <v>30</v>
      </c>
    </row>
    <row r="979" spans="1:15" x14ac:dyDescent="0.3">
      <c r="A979" t="s">
        <v>1017</v>
      </c>
      <c r="B979">
        <v>20250709</v>
      </c>
      <c r="C979" t="s">
        <v>16</v>
      </c>
      <c r="D979" t="s">
        <v>61</v>
      </c>
      <c r="E979" t="s">
        <v>46</v>
      </c>
      <c r="F979">
        <v>69239</v>
      </c>
      <c r="G979">
        <v>90663</v>
      </c>
      <c r="H979">
        <v>4423</v>
      </c>
      <c r="I979">
        <v>210</v>
      </c>
      <c r="J979">
        <v>276</v>
      </c>
      <c r="K979">
        <v>522</v>
      </c>
      <c r="L979">
        <v>60565</v>
      </c>
      <c r="M979">
        <v>1204</v>
      </c>
      <c r="N979" s="1">
        <v>0.70833333333333337</v>
      </c>
      <c r="O979" t="s">
        <v>49</v>
      </c>
    </row>
    <row r="980" spans="1:15" x14ac:dyDescent="0.3">
      <c r="A980" t="s">
        <v>1018</v>
      </c>
      <c r="B980">
        <v>20251210</v>
      </c>
      <c r="C980" t="s">
        <v>16</v>
      </c>
      <c r="D980" t="s">
        <v>68</v>
      </c>
      <c r="E980" t="s">
        <v>22</v>
      </c>
      <c r="F980">
        <v>17670</v>
      </c>
      <c r="G980">
        <v>23062</v>
      </c>
      <c r="H980">
        <v>757</v>
      </c>
      <c r="I980">
        <v>72</v>
      </c>
      <c r="J980">
        <v>70</v>
      </c>
      <c r="K980">
        <v>50</v>
      </c>
      <c r="L980">
        <v>0</v>
      </c>
      <c r="M980">
        <v>198</v>
      </c>
      <c r="N980" s="1">
        <v>0.64583333333333337</v>
      </c>
      <c r="O980" t="s">
        <v>19</v>
      </c>
    </row>
    <row r="981" spans="1:15" x14ac:dyDescent="0.3">
      <c r="A981" t="s">
        <v>1019</v>
      </c>
      <c r="B981">
        <v>20250118</v>
      </c>
      <c r="C981" t="s">
        <v>44</v>
      </c>
      <c r="D981" t="s">
        <v>21</v>
      </c>
      <c r="E981" t="s">
        <v>51</v>
      </c>
      <c r="F981">
        <v>22362</v>
      </c>
      <c r="G981">
        <v>34629</v>
      </c>
      <c r="H981">
        <v>646</v>
      </c>
      <c r="I981">
        <v>19</v>
      </c>
      <c r="J981">
        <v>84</v>
      </c>
      <c r="K981">
        <v>22</v>
      </c>
      <c r="L981">
        <v>0</v>
      </c>
      <c r="M981">
        <v>300</v>
      </c>
      <c r="N981" s="1">
        <v>0.46875</v>
      </c>
      <c r="O981" t="s">
        <v>42</v>
      </c>
    </row>
    <row r="982" spans="1:15" x14ac:dyDescent="0.3">
      <c r="A982" t="s">
        <v>1020</v>
      </c>
      <c r="B982">
        <v>20260917</v>
      </c>
      <c r="C982" t="s">
        <v>16</v>
      </c>
      <c r="D982" t="s">
        <v>68</v>
      </c>
      <c r="E982" t="s">
        <v>51</v>
      </c>
      <c r="F982">
        <v>14447</v>
      </c>
      <c r="G982">
        <v>22542</v>
      </c>
      <c r="H982">
        <v>1110</v>
      </c>
      <c r="I982">
        <v>107</v>
      </c>
      <c r="J982">
        <v>79</v>
      </c>
      <c r="K982">
        <v>23</v>
      </c>
      <c r="L982">
        <v>0</v>
      </c>
      <c r="M982">
        <v>130</v>
      </c>
      <c r="N982" s="1">
        <v>0.57291666666666663</v>
      </c>
      <c r="O982" t="s">
        <v>38</v>
      </c>
    </row>
    <row r="983" spans="1:15" x14ac:dyDescent="0.3">
      <c r="A983" t="s">
        <v>1021</v>
      </c>
      <c r="B983">
        <v>20260718</v>
      </c>
      <c r="C983" t="s">
        <v>40</v>
      </c>
      <c r="D983" t="s">
        <v>21</v>
      </c>
      <c r="E983" t="s">
        <v>51</v>
      </c>
      <c r="F983">
        <v>38626</v>
      </c>
      <c r="G983">
        <v>43231</v>
      </c>
      <c r="H983">
        <v>3055</v>
      </c>
      <c r="I983">
        <v>326</v>
      </c>
      <c r="J983">
        <v>513</v>
      </c>
      <c r="K983">
        <v>438</v>
      </c>
      <c r="L983">
        <v>0</v>
      </c>
      <c r="M983">
        <v>519</v>
      </c>
      <c r="N983" s="1">
        <v>0.6875</v>
      </c>
      <c r="O983" t="s">
        <v>23</v>
      </c>
    </row>
    <row r="984" spans="1:15" x14ac:dyDescent="0.3">
      <c r="A984" t="s">
        <v>1022</v>
      </c>
      <c r="B984">
        <v>20251020</v>
      </c>
      <c r="C984" t="s">
        <v>32</v>
      </c>
      <c r="D984" t="s">
        <v>61</v>
      </c>
      <c r="E984" t="s">
        <v>26</v>
      </c>
      <c r="F984">
        <v>8168</v>
      </c>
      <c r="G984">
        <v>9994</v>
      </c>
      <c r="H984">
        <v>862</v>
      </c>
      <c r="I984">
        <v>71</v>
      </c>
      <c r="J984">
        <v>138</v>
      </c>
      <c r="K984">
        <v>125</v>
      </c>
      <c r="L984">
        <v>4113</v>
      </c>
      <c r="M984">
        <v>104</v>
      </c>
      <c r="N984" s="1">
        <v>0.70833333333333337</v>
      </c>
      <c r="O984" t="s">
        <v>30</v>
      </c>
    </row>
    <row r="985" spans="1:15" x14ac:dyDescent="0.3">
      <c r="A985" t="s">
        <v>1023</v>
      </c>
      <c r="B985">
        <v>20250301</v>
      </c>
      <c r="C985" t="s">
        <v>44</v>
      </c>
      <c r="E985" t="s">
        <v>22</v>
      </c>
      <c r="F985">
        <v>13198</v>
      </c>
      <c r="G985">
        <v>20342</v>
      </c>
      <c r="H985">
        <v>1410</v>
      </c>
      <c r="I985">
        <v>107</v>
      </c>
      <c r="J985">
        <v>121</v>
      </c>
      <c r="K985">
        <v>178</v>
      </c>
      <c r="L985">
        <v>0</v>
      </c>
      <c r="M985">
        <v>68</v>
      </c>
      <c r="N985" s="1">
        <v>0.53125</v>
      </c>
      <c r="O985" t="s">
        <v>19</v>
      </c>
    </row>
    <row r="986" spans="1:15" x14ac:dyDescent="0.3">
      <c r="A986" t="s">
        <v>1024</v>
      </c>
      <c r="B986">
        <v>20250819</v>
      </c>
      <c r="C986" t="s">
        <v>16</v>
      </c>
      <c r="D986" t="s">
        <v>17</v>
      </c>
      <c r="E986" t="s">
        <v>46</v>
      </c>
      <c r="F986">
        <v>18793</v>
      </c>
      <c r="G986">
        <v>21092</v>
      </c>
      <c r="H986">
        <v>2027</v>
      </c>
      <c r="I986">
        <v>114</v>
      </c>
      <c r="K986">
        <v>114</v>
      </c>
      <c r="L986">
        <v>15889</v>
      </c>
      <c r="M986">
        <v>20</v>
      </c>
      <c r="N986" s="1">
        <v>0.82291666666666663</v>
      </c>
      <c r="O986" t="s">
        <v>23</v>
      </c>
    </row>
    <row r="987" spans="1:15" x14ac:dyDescent="0.3">
      <c r="A987" t="s">
        <v>1025</v>
      </c>
      <c r="B987">
        <v>20250709</v>
      </c>
      <c r="C987" t="s">
        <v>16</v>
      </c>
      <c r="D987" t="s">
        <v>33</v>
      </c>
      <c r="E987" t="s">
        <v>46</v>
      </c>
      <c r="F987">
        <v>22239</v>
      </c>
      <c r="G987">
        <v>24951</v>
      </c>
      <c r="H987">
        <v>1258</v>
      </c>
      <c r="I987">
        <v>155</v>
      </c>
      <c r="J987">
        <v>66</v>
      </c>
      <c r="K987">
        <v>140</v>
      </c>
      <c r="L987">
        <v>10828</v>
      </c>
      <c r="M987">
        <v>279</v>
      </c>
      <c r="N987" s="1">
        <v>0.65625</v>
      </c>
      <c r="O987" t="s">
        <v>49</v>
      </c>
    </row>
    <row r="988" spans="1:15" x14ac:dyDescent="0.3">
      <c r="A988" t="s">
        <v>1026</v>
      </c>
      <c r="B988">
        <v>20260822</v>
      </c>
      <c r="C988" t="s">
        <v>25</v>
      </c>
      <c r="D988" t="s">
        <v>29</v>
      </c>
      <c r="E988" t="s">
        <v>46</v>
      </c>
      <c r="F988">
        <v>8095</v>
      </c>
      <c r="G988">
        <v>10172</v>
      </c>
      <c r="H988">
        <v>921</v>
      </c>
      <c r="I988">
        <v>127</v>
      </c>
      <c r="J988">
        <v>63</v>
      </c>
      <c r="K988">
        <v>66</v>
      </c>
      <c r="L988">
        <v>3527</v>
      </c>
      <c r="M988">
        <v>72</v>
      </c>
      <c r="N988" s="1">
        <v>0.39583333333333331</v>
      </c>
      <c r="O988" t="s">
        <v>42</v>
      </c>
    </row>
    <row r="989" spans="1:15" x14ac:dyDescent="0.3">
      <c r="A989" t="s">
        <v>1027</v>
      </c>
      <c r="B989">
        <v>20260419</v>
      </c>
      <c r="C989" t="s">
        <v>40</v>
      </c>
      <c r="D989" t="s">
        <v>17</v>
      </c>
      <c r="E989" t="s">
        <v>46</v>
      </c>
      <c r="F989">
        <v>30094</v>
      </c>
      <c r="G989">
        <v>42916</v>
      </c>
      <c r="H989">
        <v>1527</v>
      </c>
      <c r="I989">
        <v>148</v>
      </c>
      <c r="J989">
        <v>224</v>
      </c>
      <c r="K989">
        <v>216</v>
      </c>
      <c r="L989">
        <v>25797</v>
      </c>
      <c r="M989">
        <v>97</v>
      </c>
      <c r="N989" s="1">
        <v>0.80208333333333337</v>
      </c>
      <c r="O989" t="s">
        <v>30</v>
      </c>
    </row>
    <row r="990" spans="1:15" x14ac:dyDescent="0.3">
      <c r="A990" t="s">
        <v>1028</v>
      </c>
      <c r="B990">
        <v>20251216</v>
      </c>
      <c r="C990" t="s">
        <v>44</v>
      </c>
      <c r="D990" t="s">
        <v>29</v>
      </c>
      <c r="E990" t="s">
        <v>18</v>
      </c>
      <c r="F990">
        <v>51102</v>
      </c>
      <c r="G990">
        <v>79000</v>
      </c>
      <c r="H990">
        <v>3889</v>
      </c>
      <c r="I990">
        <v>468</v>
      </c>
      <c r="J990">
        <v>434</v>
      </c>
      <c r="K990">
        <v>84</v>
      </c>
      <c r="L990">
        <v>0</v>
      </c>
      <c r="M990">
        <v>570</v>
      </c>
      <c r="N990" s="1">
        <v>0.80208333333333337</v>
      </c>
      <c r="O990" t="s">
        <v>49</v>
      </c>
    </row>
    <row r="991" spans="1:15" x14ac:dyDescent="0.3">
      <c r="A991" t="s">
        <v>1029</v>
      </c>
      <c r="B991">
        <v>20260419</v>
      </c>
      <c r="C991" t="s">
        <v>25</v>
      </c>
      <c r="D991" t="s">
        <v>17</v>
      </c>
      <c r="E991" t="s">
        <v>41</v>
      </c>
      <c r="F991">
        <v>16807</v>
      </c>
      <c r="G991">
        <v>26036</v>
      </c>
      <c r="H991">
        <v>1615</v>
      </c>
      <c r="I991">
        <v>173</v>
      </c>
      <c r="J991">
        <v>153</v>
      </c>
      <c r="K991">
        <v>133</v>
      </c>
      <c r="L991">
        <v>11913</v>
      </c>
      <c r="M991">
        <v>128</v>
      </c>
      <c r="N991" s="1">
        <v>0.875</v>
      </c>
      <c r="O991" t="s">
        <v>23</v>
      </c>
    </row>
    <row r="992" spans="1:15" x14ac:dyDescent="0.3">
      <c r="A992" t="s">
        <v>1030</v>
      </c>
      <c r="B992">
        <v>20260404</v>
      </c>
      <c r="C992" t="s">
        <v>44</v>
      </c>
      <c r="D992" t="s">
        <v>68</v>
      </c>
      <c r="E992" t="s">
        <v>18</v>
      </c>
      <c r="F992">
        <v>39296</v>
      </c>
      <c r="G992">
        <v>50807</v>
      </c>
      <c r="H992">
        <v>2933</v>
      </c>
      <c r="I992">
        <v>277</v>
      </c>
      <c r="J992">
        <v>351</v>
      </c>
      <c r="K992">
        <v>395</v>
      </c>
      <c r="L992">
        <v>0</v>
      </c>
      <c r="M992">
        <v>534</v>
      </c>
      <c r="N992" s="1">
        <v>0.63541666666666663</v>
      </c>
      <c r="O992" t="s">
        <v>27</v>
      </c>
    </row>
    <row r="993" spans="1:15" x14ac:dyDescent="0.3">
      <c r="A993" t="s">
        <v>1031</v>
      </c>
      <c r="B993">
        <v>20260626</v>
      </c>
      <c r="C993" t="s">
        <v>40</v>
      </c>
      <c r="D993" t="s">
        <v>36</v>
      </c>
      <c r="E993" t="s">
        <v>51</v>
      </c>
      <c r="F993">
        <v>33355</v>
      </c>
      <c r="G993">
        <v>53926</v>
      </c>
      <c r="H993">
        <v>2546</v>
      </c>
      <c r="I993">
        <v>176</v>
      </c>
      <c r="J993">
        <v>424</v>
      </c>
      <c r="K993">
        <v>313</v>
      </c>
      <c r="L993">
        <v>0</v>
      </c>
      <c r="M993">
        <v>281</v>
      </c>
      <c r="N993" s="1">
        <v>0.85416666666666663</v>
      </c>
      <c r="O993" t="s">
        <v>49</v>
      </c>
    </row>
    <row r="994" spans="1:15" x14ac:dyDescent="0.3">
      <c r="A994" t="s">
        <v>1032</v>
      </c>
      <c r="B994">
        <v>20250929</v>
      </c>
      <c r="C994" t="s">
        <v>25</v>
      </c>
      <c r="D994" t="s">
        <v>68</v>
      </c>
      <c r="E994" t="s">
        <v>51</v>
      </c>
      <c r="F994">
        <v>5917</v>
      </c>
      <c r="G994">
        <v>8171</v>
      </c>
      <c r="H994">
        <v>636</v>
      </c>
      <c r="I994">
        <v>44</v>
      </c>
      <c r="J994">
        <v>121</v>
      </c>
      <c r="K994">
        <v>35</v>
      </c>
      <c r="L994">
        <v>0</v>
      </c>
      <c r="M994">
        <v>22</v>
      </c>
      <c r="N994" s="1">
        <v>0.58333333333333337</v>
      </c>
      <c r="O994" t="s">
        <v>34</v>
      </c>
    </row>
    <row r="995" spans="1:15" x14ac:dyDescent="0.3">
      <c r="A995" t="s">
        <v>1033</v>
      </c>
      <c r="B995">
        <v>20260202</v>
      </c>
      <c r="C995" t="s">
        <v>25</v>
      </c>
      <c r="D995" t="s">
        <v>36</v>
      </c>
      <c r="E995" t="s">
        <v>41</v>
      </c>
      <c r="F995">
        <v>10499</v>
      </c>
      <c r="G995">
        <v>12589</v>
      </c>
      <c r="H995">
        <v>510</v>
      </c>
      <c r="I995">
        <v>65</v>
      </c>
      <c r="J995">
        <v>65</v>
      </c>
      <c r="K995">
        <v>11</v>
      </c>
      <c r="L995">
        <v>4341</v>
      </c>
      <c r="M995">
        <v>164</v>
      </c>
      <c r="N995" s="1">
        <v>0.45833333333333331</v>
      </c>
      <c r="O995" t="s">
        <v>49</v>
      </c>
    </row>
    <row r="996" spans="1:15" x14ac:dyDescent="0.3">
      <c r="A996" t="s">
        <v>1034</v>
      </c>
      <c r="B996">
        <v>20260724</v>
      </c>
      <c r="C996" t="s">
        <v>32</v>
      </c>
      <c r="D996" t="s">
        <v>29</v>
      </c>
      <c r="E996" t="s">
        <v>18</v>
      </c>
      <c r="F996">
        <v>4561</v>
      </c>
      <c r="G996">
        <v>5015</v>
      </c>
      <c r="H996">
        <v>435</v>
      </c>
      <c r="I996">
        <v>46</v>
      </c>
      <c r="J996">
        <v>62</v>
      </c>
      <c r="K996">
        <v>34</v>
      </c>
      <c r="L996">
        <v>0</v>
      </c>
      <c r="M996">
        <v>38</v>
      </c>
      <c r="N996" s="1">
        <v>0.61458333333333337</v>
      </c>
      <c r="O996" t="s">
        <v>30</v>
      </c>
    </row>
    <row r="997" spans="1:15" x14ac:dyDescent="0.3">
      <c r="A997" t="s">
        <v>1035</v>
      </c>
      <c r="B997">
        <v>20250211</v>
      </c>
      <c r="C997" t="s">
        <v>32</v>
      </c>
      <c r="D997" t="s">
        <v>61</v>
      </c>
      <c r="E997" t="s">
        <v>18</v>
      </c>
      <c r="F997">
        <v>12646</v>
      </c>
      <c r="G997">
        <v>20186</v>
      </c>
      <c r="H997">
        <v>1475</v>
      </c>
      <c r="I997">
        <v>137</v>
      </c>
      <c r="J997">
        <v>294</v>
      </c>
      <c r="K997">
        <v>123</v>
      </c>
      <c r="L997">
        <v>0</v>
      </c>
      <c r="M997">
        <v>107</v>
      </c>
      <c r="N997" s="1">
        <v>0.53125</v>
      </c>
      <c r="O997" t="s">
        <v>34</v>
      </c>
    </row>
    <row r="998" spans="1:15" x14ac:dyDescent="0.3">
      <c r="A998" t="s">
        <v>1036</v>
      </c>
      <c r="B998">
        <v>20260405</v>
      </c>
      <c r="C998" t="s">
        <v>40</v>
      </c>
      <c r="D998" t="s">
        <v>21</v>
      </c>
      <c r="E998" t="s">
        <v>26</v>
      </c>
      <c r="F998">
        <v>11667</v>
      </c>
      <c r="G998">
        <v>18095</v>
      </c>
      <c r="H998">
        <v>917</v>
      </c>
      <c r="I998">
        <v>36</v>
      </c>
      <c r="J998">
        <v>78</v>
      </c>
      <c r="K998">
        <v>114</v>
      </c>
      <c r="L998">
        <v>9163</v>
      </c>
      <c r="M998">
        <v>151</v>
      </c>
      <c r="N998" s="1">
        <v>0.8125</v>
      </c>
      <c r="O998" t="s">
        <v>19</v>
      </c>
    </row>
    <row r="999" spans="1:15" x14ac:dyDescent="0.3">
      <c r="A999" t="s">
        <v>1037</v>
      </c>
      <c r="B999">
        <v>20251201</v>
      </c>
      <c r="C999" t="s">
        <v>25</v>
      </c>
      <c r="D999" t="s">
        <v>68</v>
      </c>
      <c r="E999" t="s">
        <v>22</v>
      </c>
      <c r="F999">
        <v>6337</v>
      </c>
      <c r="G999">
        <v>10389</v>
      </c>
      <c r="H999">
        <v>391</v>
      </c>
      <c r="J999">
        <v>56</v>
      </c>
      <c r="K999">
        <v>15</v>
      </c>
      <c r="L999">
        <v>0</v>
      </c>
      <c r="M999">
        <v>79</v>
      </c>
      <c r="N999" s="1">
        <v>0.3125</v>
      </c>
    </row>
    <row r="1000" spans="1:15" x14ac:dyDescent="0.3">
      <c r="A1000" t="s">
        <v>1038</v>
      </c>
      <c r="B1000">
        <v>20250203</v>
      </c>
      <c r="C1000" t="s">
        <v>16</v>
      </c>
      <c r="D1000" t="s">
        <v>21</v>
      </c>
      <c r="E1000" t="s">
        <v>18</v>
      </c>
      <c r="F1000">
        <v>16244</v>
      </c>
      <c r="G1000">
        <v>20537</v>
      </c>
      <c r="H1000">
        <v>578</v>
      </c>
      <c r="I1000">
        <v>20</v>
      </c>
      <c r="J1000">
        <v>50</v>
      </c>
      <c r="K1000">
        <v>33</v>
      </c>
      <c r="L1000">
        <v>0</v>
      </c>
      <c r="M1000">
        <v>127</v>
      </c>
      <c r="N1000" s="1">
        <v>0.55208333333333337</v>
      </c>
      <c r="O1000" t="s">
        <v>27</v>
      </c>
    </row>
    <row r="1001" spans="1:15" x14ac:dyDescent="0.3">
      <c r="A1001" t="s">
        <v>1039</v>
      </c>
      <c r="B1001">
        <v>20260831</v>
      </c>
      <c r="C1001" t="s">
        <v>25</v>
      </c>
      <c r="D1001" t="s">
        <v>61</v>
      </c>
      <c r="E1001" t="s">
        <v>22</v>
      </c>
      <c r="F1001">
        <v>3090</v>
      </c>
      <c r="G1001">
        <v>4587</v>
      </c>
      <c r="H1001">
        <v>119</v>
      </c>
      <c r="I1001">
        <v>15</v>
      </c>
      <c r="J1001">
        <v>7</v>
      </c>
      <c r="K1001">
        <v>7</v>
      </c>
      <c r="L1001">
        <v>0</v>
      </c>
      <c r="M1001">
        <v>8</v>
      </c>
      <c r="N1001" s="1">
        <v>0.36458333333333331</v>
      </c>
      <c r="O1001" t="s">
        <v>47</v>
      </c>
    </row>
    <row r="1002" spans="1:15" x14ac:dyDescent="0.3">
      <c r="A1002" t="s">
        <v>1040</v>
      </c>
      <c r="B1002">
        <v>20250104</v>
      </c>
      <c r="C1002" t="s">
        <v>40</v>
      </c>
      <c r="D1002" t="s">
        <v>68</v>
      </c>
      <c r="E1002" t="s">
        <v>18</v>
      </c>
      <c r="F1002">
        <v>21649</v>
      </c>
      <c r="G1002">
        <v>25465</v>
      </c>
      <c r="H1002">
        <v>1556</v>
      </c>
      <c r="I1002">
        <v>107</v>
      </c>
      <c r="J1002">
        <v>282</v>
      </c>
      <c r="K1002">
        <v>110</v>
      </c>
      <c r="L1002">
        <v>0</v>
      </c>
      <c r="M1002">
        <v>170</v>
      </c>
      <c r="N1002" s="1">
        <v>0.36458333333333331</v>
      </c>
      <c r="O1002" t="s">
        <v>42</v>
      </c>
    </row>
    <row r="1003" spans="1:15" x14ac:dyDescent="0.3">
      <c r="A1003" t="s">
        <v>1041</v>
      </c>
      <c r="B1003">
        <v>20250525</v>
      </c>
      <c r="C1003" t="s">
        <v>16</v>
      </c>
      <c r="D1003" t="s">
        <v>21</v>
      </c>
      <c r="E1003" t="s">
        <v>18</v>
      </c>
      <c r="F1003">
        <v>11461</v>
      </c>
      <c r="G1003">
        <v>14969</v>
      </c>
      <c r="H1003">
        <v>717</v>
      </c>
      <c r="I1003">
        <v>91</v>
      </c>
      <c r="J1003">
        <v>38</v>
      </c>
      <c r="K1003">
        <v>43</v>
      </c>
      <c r="L1003">
        <v>0</v>
      </c>
      <c r="M1003">
        <v>71</v>
      </c>
      <c r="N1003" s="1">
        <v>0.5625</v>
      </c>
      <c r="O1003" t="s">
        <v>38</v>
      </c>
    </row>
    <row r="1004" spans="1:15" x14ac:dyDescent="0.3">
      <c r="A1004" t="s">
        <v>1042</v>
      </c>
      <c r="B1004">
        <v>20250714</v>
      </c>
      <c r="C1004" t="s">
        <v>44</v>
      </c>
      <c r="D1004" t="s">
        <v>33</v>
      </c>
      <c r="E1004" t="s">
        <v>26</v>
      </c>
      <c r="F1004">
        <v>31439</v>
      </c>
      <c r="G1004">
        <v>43000</v>
      </c>
      <c r="H1004">
        <v>2288</v>
      </c>
      <c r="I1004">
        <v>74</v>
      </c>
      <c r="J1004">
        <v>341</v>
      </c>
      <c r="K1004">
        <v>49</v>
      </c>
      <c r="L1004">
        <v>17119</v>
      </c>
      <c r="M1004">
        <v>214</v>
      </c>
      <c r="N1004" s="1">
        <v>0.54166666666666663</v>
      </c>
      <c r="O1004" t="s">
        <v>34</v>
      </c>
    </row>
    <row r="1005" spans="1:15" x14ac:dyDescent="0.3">
      <c r="A1005" t="s">
        <v>1043</v>
      </c>
      <c r="B1005">
        <v>20260624</v>
      </c>
      <c r="C1005" t="s">
        <v>40</v>
      </c>
      <c r="D1005" t="s">
        <v>17</v>
      </c>
      <c r="E1005" t="s">
        <v>41</v>
      </c>
      <c r="F1005">
        <v>48606</v>
      </c>
      <c r="G1005">
        <v>71277</v>
      </c>
      <c r="H1005">
        <v>3231</v>
      </c>
      <c r="I1005">
        <v>104</v>
      </c>
      <c r="J1005">
        <v>194</v>
      </c>
      <c r="K1005">
        <v>319</v>
      </c>
      <c r="L1005">
        <v>36760</v>
      </c>
      <c r="M1005">
        <v>346</v>
      </c>
      <c r="N1005" s="1">
        <v>0.58333333333333337</v>
      </c>
      <c r="O1005" t="s">
        <v>49</v>
      </c>
    </row>
    <row r="1006" spans="1:15" x14ac:dyDescent="0.3">
      <c r="A1006" t="s">
        <v>1044</v>
      </c>
      <c r="B1006">
        <v>20250715</v>
      </c>
      <c r="C1006" t="s">
        <v>16</v>
      </c>
      <c r="D1006" t="s">
        <v>17</v>
      </c>
      <c r="E1006" t="s">
        <v>41</v>
      </c>
      <c r="F1006">
        <v>31543</v>
      </c>
      <c r="G1006">
        <v>43283</v>
      </c>
      <c r="H1006">
        <v>3039</v>
      </c>
      <c r="I1006">
        <v>136</v>
      </c>
      <c r="J1006">
        <v>219</v>
      </c>
      <c r="K1006">
        <v>121</v>
      </c>
      <c r="L1006">
        <v>20130</v>
      </c>
      <c r="M1006">
        <v>556</v>
      </c>
      <c r="N1006" s="1">
        <v>0.75</v>
      </c>
      <c r="O1006" t="s">
        <v>42</v>
      </c>
    </row>
    <row r="1007" spans="1:15" x14ac:dyDescent="0.3">
      <c r="A1007" t="s">
        <v>1045</v>
      </c>
      <c r="B1007">
        <v>20260102</v>
      </c>
      <c r="C1007" t="s">
        <v>32</v>
      </c>
      <c r="D1007" t="s">
        <v>61</v>
      </c>
      <c r="E1007" t="s">
        <v>46</v>
      </c>
      <c r="F1007">
        <v>10445</v>
      </c>
      <c r="G1007">
        <v>14966</v>
      </c>
      <c r="H1007">
        <v>1148</v>
      </c>
      <c r="I1007">
        <v>90</v>
      </c>
      <c r="J1007">
        <v>67</v>
      </c>
      <c r="K1007">
        <v>76</v>
      </c>
      <c r="L1007">
        <v>4112</v>
      </c>
      <c r="M1007">
        <v>157</v>
      </c>
      <c r="N1007" s="1">
        <v>0.52083333333333337</v>
      </c>
      <c r="O1007" t="s">
        <v>30</v>
      </c>
    </row>
    <row r="1008" spans="1:15" x14ac:dyDescent="0.3">
      <c r="A1008" t="s">
        <v>1046</v>
      </c>
      <c r="B1008">
        <v>20251202</v>
      </c>
      <c r="C1008" t="s">
        <v>44</v>
      </c>
      <c r="D1008" t="s">
        <v>61</v>
      </c>
      <c r="E1008" t="s">
        <v>41</v>
      </c>
      <c r="F1008">
        <v>68364</v>
      </c>
      <c r="G1008">
        <v>109199</v>
      </c>
      <c r="H1008">
        <v>2450</v>
      </c>
      <c r="I1008">
        <v>130</v>
      </c>
      <c r="J1008">
        <v>242</v>
      </c>
      <c r="K1008">
        <v>389</v>
      </c>
      <c r="L1008">
        <v>33988</v>
      </c>
      <c r="M1008">
        <v>116</v>
      </c>
      <c r="N1008" s="1">
        <v>0.71875</v>
      </c>
      <c r="O1008" t="s">
        <v>53</v>
      </c>
    </row>
    <row r="1009" spans="1:15" x14ac:dyDescent="0.3">
      <c r="A1009" t="s">
        <v>1047</v>
      </c>
      <c r="B1009">
        <v>20250610</v>
      </c>
      <c r="C1009" t="s">
        <v>16</v>
      </c>
      <c r="D1009" t="s">
        <v>61</v>
      </c>
      <c r="E1009" t="s">
        <v>46</v>
      </c>
      <c r="F1009">
        <v>19986</v>
      </c>
      <c r="G1009">
        <v>30788</v>
      </c>
      <c r="H1009">
        <v>1849</v>
      </c>
      <c r="I1009">
        <v>52</v>
      </c>
      <c r="J1009">
        <v>95</v>
      </c>
      <c r="K1009">
        <v>169</v>
      </c>
      <c r="L1009">
        <v>15371</v>
      </c>
      <c r="M1009">
        <v>355</v>
      </c>
      <c r="N1009" s="1">
        <v>0.30208333333333331</v>
      </c>
      <c r="O1009" t="s">
        <v>38</v>
      </c>
    </row>
    <row r="1010" spans="1:15" x14ac:dyDescent="0.3">
      <c r="A1010" t="s">
        <v>1048</v>
      </c>
      <c r="B1010">
        <v>20250326</v>
      </c>
      <c r="C1010" t="s">
        <v>40</v>
      </c>
      <c r="D1010" t="s">
        <v>21</v>
      </c>
      <c r="E1010" t="s">
        <v>51</v>
      </c>
      <c r="F1010">
        <v>10864</v>
      </c>
      <c r="G1010">
        <v>14377</v>
      </c>
      <c r="H1010">
        <v>1251</v>
      </c>
      <c r="I1010">
        <v>96</v>
      </c>
      <c r="J1010">
        <v>227</v>
      </c>
      <c r="K1010">
        <v>113</v>
      </c>
      <c r="L1010">
        <v>0</v>
      </c>
      <c r="M1010">
        <v>115</v>
      </c>
      <c r="N1010" s="1">
        <v>0.83333333333333337</v>
      </c>
      <c r="O1010" t="s">
        <v>27</v>
      </c>
    </row>
    <row r="1011" spans="1:15" x14ac:dyDescent="0.3">
      <c r="A1011" t="s">
        <v>1049</v>
      </c>
      <c r="B1011">
        <v>20250911</v>
      </c>
      <c r="C1011" t="s">
        <v>40</v>
      </c>
      <c r="D1011" t="s">
        <v>21</v>
      </c>
      <c r="E1011" t="s">
        <v>41</v>
      </c>
      <c r="F1011">
        <v>18682</v>
      </c>
      <c r="G1011">
        <v>22691</v>
      </c>
      <c r="H1011">
        <v>792</v>
      </c>
      <c r="I1011">
        <v>95</v>
      </c>
      <c r="J1011">
        <v>105</v>
      </c>
      <c r="K1011">
        <v>17</v>
      </c>
      <c r="L1011">
        <v>10568</v>
      </c>
      <c r="M1011">
        <v>212</v>
      </c>
      <c r="N1011" s="1">
        <v>0.76041666666666663</v>
      </c>
      <c r="O1011" t="s">
        <v>19</v>
      </c>
    </row>
    <row r="1012" spans="1:15" x14ac:dyDescent="0.3">
      <c r="A1012" t="s">
        <v>1050</v>
      </c>
      <c r="B1012">
        <v>20251020</v>
      </c>
      <c r="C1012" t="s">
        <v>25</v>
      </c>
      <c r="D1012" t="s">
        <v>17</v>
      </c>
      <c r="E1012" t="s">
        <v>41</v>
      </c>
      <c r="F1012">
        <v>28228</v>
      </c>
      <c r="G1012">
        <v>45252</v>
      </c>
      <c r="H1012">
        <v>1480</v>
      </c>
      <c r="I1012">
        <v>77</v>
      </c>
      <c r="J1012">
        <v>116</v>
      </c>
      <c r="K1012">
        <v>95</v>
      </c>
      <c r="L1012">
        <v>14943</v>
      </c>
      <c r="M1012">
        <v>386</v>
      </c>
      <c r="N1012" s="1">
        <v>0.54166666666666663</v>
      </c>
      <c r="O1012" t="s">
        <v>30</v>
      </c>
    </row>
    <row r="1013" spans="1:15" x14ac:dyDescent="0.3">
      <c r="A1013" t="s">
        <v>1051</v>
      </c>
      <c r="B1013">
        <v>20251004</v>
      </c>
      <c r="C1013" t="s">
        <v>44</v>
      </c>
      <c r="D1013" t="s">
        <v>21</v>
      </c>
      <c r="E1013" t="s">
        <v>18</v>
      </c>
      <c r="F1013">
        <v>24239</v>
      </c>
      <c r="G1013">
        <v>26158</v>
      </c>
      <c r="H1013">
        <v>2537</v>
      </c>
      <c r="I1013">
        <v>79</v>
      </c>
      <c r="J1013">
        <v>441</v>
      </c>
      <c r="K1013">
        <v>296</v>
      </c>
      <c r="L1013">
        <v>0</v>
      </c>
      <c r="M1013">
        <v>433</v>
      </c>
      <c r="N1013" s="1">
        <v>0.35416666666666669</v>
      </c>
      <c r="O1013" t="s">
        <v>27</v>
      </c>
    </row>
    <row r="1014" spans="1:15" x14ac:dyDescent="0.3">
      <c r="A1014" t="s">
        <v>1052</v>
      </c>
      <c r="B1014">
        <v>20250314</v>
      </c>
      <c r="C1014" t="s">
        <v>16</v>
      </c>
      <c r="D1014" t="s">
        <v>33</v>
      </c>
      <c r="E1014" t="s">
        <v>18</v>
      </c>
      <c r="F1014">
        <v>28583</v>
      </c>
      <c r="G1014">
        <v>41346</v>
      </c>
      <c r="H1014">
        <v>1046</v>
      </c>
      <c r="I1014">
        <v>88</v>
      </c>
      <c r="J1014">
        <v>199</v>
      </c>
      <c r="K1014">
        <v>163</v>
      </c>
      <c r="L1014">
        <v>0</v>
      </c>
      <c r="M1014">
        <v>386</v>
      </c>
      <c r="N1014" s="1">
        <v>0.83333333333333337</v>
      </c>
      <c r="O1014" t="s">
        <v>30</v>
      </c>
    </row>
    <row r="1015" spans="1:15" x14ac:dyDescent="0.3">
      <c r="A1015" t="s">
        <v>1053</v>
      </c>
      <c r="B1015">
        <v>20260528</v>
      </c>
      <c r="C1015" t="s">
        <v>32</v>
      </c>
      <c r="D1015" t="s">
        <v>29</v>
      </c>
      <c r="E1015" t="s">
        <v>18</v>
      </c>
      <c r="F1015">
        <v>14411</v>
      </c>
      <c r="G1015">
        <v>21475</v>
      </c>
      <c r="H1015">
        <v>1225</v>
      </c>
      <c r="I1015">
        <v>77</v>
      </c>
      <c r="J1015">
        <v>216</v>
      </c>
      <c r="K1015">
        <v>39</v>
      </c>
      <c r="L1015">
        <v>0</v>
      </c>
      <c r="M1015">
        <v>77</v>
      </c>
      <c r="N1015" s="1">
        <v>0.9375</v>
      </c>
      <c r="O1015" t="s">
        <v>38</v>
      </c>
    </row>
    <row r="1016" spans="1:15" x14ac:dyDescent="0.3">
      <c r="A1016" t="s">
        <v>1054</v>
      </c>
      <c r="B1016">
        <v>20260412</v>
      </c>
      <c r="C1016" t="s">
        <v>25</v>
      </c>
      <c r="D1016" t="s">
        <v>33</v>
      </c>
      <c r="E1016" t="s">
        <v>41</v>
      </c>
      <c r="F1016">
        <v>11206</v>
      </c>
      <c r="G1016">
        <v>15466</v>
      </c>
      <c r="H1016">
        <v>1073</v>
      </c>
      <c r="I1016">
        <v>87</v>
      </c>
      <c r="J1016">
        <v>170</v>
      </c>
      <c r="K1016">
        <v>60</v>
      </c>
      <c r="L1016">
        <v>4004</v>
      </c>
      <c r="M1016">
        <v>159</v>
      </c>
      <c r="N1016" s="1">
        <v>0.35416666666666669</v>
      </c>
    </row>
    <row r="1017" spans="1:15" x14ac:dyDescent="0.3">
      <c r="A1017" t="s">
        <v>1055</v>
      </c>
      <c r="B1017">
        <v>20250426</v>
      </c>
      <c r="C1017" t="s">
        <v>16</v>
      </c>
      <c r="D1017" t="s">
        <v>29</v>
      </c>
      <c r="E1017" t="s">
        <v>26</v>
      </c>
      <c r="F1017">
        <v>14614</v>
      </c>
      <c r="G1017">
        <v>22142</v>
      </c>
      <c r="H1017">
        <v>911</v>
      </c>
      <c r="I1017">
        <v>97</v>
      </c>
      <c r="J1017">
        <v>78</v>
      </c>
      <c r="K1017">
        <v>79</v>
      </c>
      <c r="L1017">
        <v>6691</v>
      </c>
      <c r="M1017">
        <v>234</v>
      </c>
      <c r="N1017" s="1">
        <v>0.52083333333333337</v>
      </c>
      <c r="O1017" t="s">
        <v>49</v>
      </c>
    </row>
    <row r="1018" spans="1:15" x14ac:dyDescent="0.3">
      <c r="A1018" t="s">
        <v>1056</v>
      </c>
      <c r="B1018">
        <v>20251202</v>
      </c>
      <c r="C1018" t="s">
        <v>16</v>
      </c>
      <c r="D1018" t="s">
        <v>68</v>
      </c>
      <c r="E1018" t="s">
        <v>41</v>
      </c>
      <c r="F1018">
        <v>11730</v>
      </c>
      <c r="G1018">
        <v>14270</v>
      </c>
      <c r="H1018">
        <v>512</v>
      </c>
      <c r="I1018">
        <v>17</v>
      </c>
      <c r="J1018">
        <v>51</v>
      </c>
      <c r="K1018">
        <v>52</v>
      </c>
      <c r="L1018">
        <v>4431</v>
      </c>
      <c r="M1018">
        <v>90</v>
      </c>
      <c r="N1018" s="1">
        <v>0.75</v>
      </c>
      <c r="O1018" t="s">
        <v>53</v>
      </c>
    </row>
    <row r="1019" spans="1:15" x14ac:dyDescent="0.3">
      <c r="A1019" t="s">
        <v>1057</v>
      </c>
      <c r="B1019">
        <v>20250804</v>
      </c>
      <c r="C1019" t="s">
        <v>25</v>
      </c>
      <c r="D1019" t="s">
        <v>68</v>
      </c>
      <c r="E1019" t="s">
        <v>41</v>
      </c>
      <c r="F1019">
        <v>9773</v>
      </c>
      <c r="G1019">
        <v>12990</v>
      </c>
      <c r="H1019">
        <v>741</v>
      </c>
      <c r="I1019">
        <v>30</v>
      </c>
      <c r="J1019">
        <v>134</v>
      </c>
      <c r="K1019">
        <v>43</v>
      </c>
      <c r="L1019">
        <v>5183</v>
      </c>
      <c r="M1019">
        <v>108</v>
      </c>
      <c r="N1019" s="1">
        <v>0.51041666666666663</v>
      </c>
      <c r="O1019" t="s">
        <v>27</v>
      </c>
    </row>
    <row r="1020" spans="1:15" x14ac:dyDescent="0.3">
      <c r="A1020" t="s">
        <v>1058</v>
      </c>
      <c r="B1020">
        <v>20251102</v>
      </c>
      <c r="C1020" t="s">
        <v>40</v>
      </c>
      <c r="D1020" t="s">
        <v>29</v>
      </c>
      <c r="E1020" t="s">
        <v>41</v>
      </c>
      <c r="F1020">
        <v>21490</v>
      </c>
      <c r="G1020">
        <v>27038</v>
      </c>
      <c r="H1020">
        <v>2069</v>
      </c>
      <c r="I1020">
        <v>221</v>
      </c>
      <c r="J1020">
        <v>362</v>
      </c>
      <c r="K1020">
        <v>112</v>
      </c>
      <c r="L1020">
        <v>9087</v>
      </c>
      <c r="M1020">
        <v>62</v>
      </c>
      <c r="N1020" s="1">
        <v>0.625</v>
      </c>
      <c r="O1020" t="s">
        <v>53</v>
      </c>
    </row>
    <row r="1021" spans="1:15" x14ac:dyDescent="0.3">
      <c r="A1021" t="s">
        <v>1059</v>
      </c>
      <c r="B1021">
        <v>20250319</v>
      </c>
      <c r="C1021" t="s">
        <v>16</v>
      </c>
      <c r="D1021" t="s">
        <v>29</v>
      </c>
      <c r="E1021" t="s">
        <v>18</v>
      </c>
      <c r="F1021">
        <v>16268</v>
      </c>
      <c r="G1021">
        <v>25506</v>
      </c>
      <c r="H1021">
        <v>1256</v>
      </c>
      <c r="I1021">
        <v>49</v>
      </c>
      <c r="J1021">
        <v>247</v>
      </c>
      <c r="K1021">
        <v>56</v>
      </c>
      <c r="L1021">
        <v>0</v>
      </c>
      <c r="M1021">
        <v>59</v>
      </c>
      <c r="N1021" s="1">
        <v>0.9375</v>
      </c>
      <c r="O1021" t="s">
        <v>42</v>
      </c>
    </row>
    <row r="1022" spans="1:15" x14ac:dyDescent="0.3">
      <c r="A1022" t="s">
        <v>1060</v>
      </c>
      <c r="B1022">
        <v>20251019</v>
      </c>
      <c r="C1022" t="s">
        <v>25</v>
      </c>
      <c r="D1022" t="s">
        <v>68</v>
      </c>
      <c r="E1022" t="s">
        <v>46</v>
      </c>
      <c r="F1022">
        <v>21278</v>
      </c>
      <c r="G1022">
        <v>29804</v>
      </c>
      <c r="H1022">
        <v>979</v>
      </c>
      <c r="I1022">
        <v>79</v>
      </c>
      <c r="J1022">
        <v>76</v>
      </c>
      <c r="K1022">
        <v>124</v>
      </c>
      <c r="L1022">
        <v>12440</v>
      </c>
      <c r="M1022">
        <v>263</v>
      </c>
      <c r="N1022" s="1">
        <v>0.79166666666666663</v>
      </c>
      <c r="O1022" t="s">
        <v>47</v>
      </c>
    </row>
    <row r="1023" spans="1:15" x14ac:dyDescent="0.3">
      <c r="A1023" t="s">
        <v>1061</v>
      </c>
      <c r="B1023">
        <v>20251007</v>
      </c>
      <c r="C1023" t="s">
        <v>44</v>
      </c>
      <c r="D1023" t="s">
        <v>61</v>
      </c>
      <c r="E1023" t="s">
        <v>46</v>
      </c>
      <c r="F1023">
        <v>91540</v>
      </c>
      <c r="G1023">
        <v>142011</v>
      </c>
      <c r="H1023">
        <v>6864</v>
      </c>
      <c r="I1023">
        <v>531</v>
      </c>
      <c r="K1023">
        <v>571</v>
      </c>
      <c r="L1023">
        <v>75767</v>
      </c>
      <c r="M1023">
        <v>1485</v>
      </c>
      <c r="N1023" s="1">
        <v>0.625</v>
      </c>
      <c r="O1023" t="s">
        <v>47</v>
      </c>
    </row>
    <row r="1024" spans="1:15" x14ac:dyDescent="0.3">
      <c r="A1024" t="s">
        <v>1062</v>
      </c>
      <c r="B1024">
        <v>20250325</v>
      </c>
      <c r="C1024" t="s">
        <v>44</v>
      </c>
      <c r="D1024" t="s">
        <v>68</v>
      </c>
      <c r="E1024" t="s">
        <v>18</v>
      </c>
      <c r="F1024">
        <v>28388</v>
      </c>
      <c r="G1024">
        <v>33649</v>
      </c>
      <c r="H1024">
        <v>2076</v>
      </c>
      <c r="I1024">
        <v>117</v>
      </c>
      <c r="J1024">
        <v>254</v>
      </c>
      <c r="K1024">
        <v>68</v>
      </c>
      <c r="L1024">
        <v>0</v>
      </c>
      <c r="M1024">
        <v>397</v>
      </c>
      <c r="N1024" s="1">
        <v>0.39583333333333331</v>
      </c>
      <c r="O1024" t="s">
        <v>30</v>
      </c>
    </row>
    <row r="1025" spans="1:15" x14ac:dyDescent="0.3">
      <c r="A1025" t="s">
        <v>1063</v>
      </c>
      <c r="B1025">
        <v>20250813</v>
      </c>
      <c r="C1025" t="s">
        <v>44</v>
      </c>
      <c r="D1025" t="s">
        <v>33</v>
      </c>
      <c r="E1025" t="s">
        <v>26</v>
      </c>
      <c r="F1025">
        <v>30827</v>
      </c>
      <c r="G1025">
        <v>37139</v>
      </c>
      <c r="H1025">
        <v>1877</v>
      </c>
      <c r="I1025">
        <v>71</v>
      </c>
      <c r="J1025">
        <v>355</v>
      </c>
      <c r="K1025">
        <v>57</v>
      </c>
      <c r="L1025">
        <v>20787</v>
      </c>
      <c r="M1025">
        <v>338</v>
      </c>
      <c r="N1025" s="1">
        <v>0.45833333333333331</v>
      </c>
      <c r="O1025" t="s">
        <v>27</v>
      </c>
    </row>
    <row r="1026" spans="1:15" x14ac:dyDescent="0.3">
      <c r="A1026" t="s">
        <v>1064</v>
      </c>
      <c r="B1026">
        <v>20260116</v>
      </c>
      <c r="C1026" t="s">
        <v>16</v>
      </c>
      <c r="D1026" t="s">
        <v>17</v>
      </c>
      <c r="E1026" t="s">
        <v>26</v>
      </c>
      <c r="F1026">
        <v>8867</v>
      </c>
      <c r="G1026">
        <v>12878</v>
      </c>
      <c r="H1026">
        <v>558</v>
      </c>
      <c r="I1026">
        <v>73</v>
      </c>
      <c r="J1026">
        <v>96</v>
      </c>
      <c r="K1026">
        <v>28</v>
      </c>
      <c r="L1026">
        <v>5282</v>
      </c>
      <c r="M1026">
        <v>61</v>
      </c>
      <c r="N1026" s="1">
        <v>0.40625</v>
      </c>
      <c r="O1026" t="s">
        <v>23</v>
      </c>
    </row>
    <row r="1027" spans="1:15" x14ac:dyDescent="0.3">
      <c r="A1027" t="s">
        <v>1065</v>
      </c>
      <c r="B1027">
        <v>20260909</v>
      </c>
      <c r="C1027" t="s">
        <v>40</v>
      </c>
      <c r="D1027" t="s">
        <v>36</v>
      </c>
      <c r="E1027" t="s">
        <v>46</v>
      </c>
      <c r="F1027">
        <v>13850</v>
      </c>
      <c r="G1027">
        <v>21770</v>
      </c>
      <c r="H1027">
        <v>1149</v>
      </c>
      <c r="I1027">
        <v>95</v>
      </c>
      <c r="J1027">
        <v>174</v>
      </c>
      <c r="K1027">
        <v>105</v>
      </c>
      <c r="L1027">
        <v>8669</v>
      </c>
      <c r="M1027">
        <v>160</v>
      </c>
      <c r="N1027" s="1">
        <v>0.40625</v>
      </c>
      <c r="O1027" t="s">
        <v>49</v>
      </c>
    </row>
    <row r="1028" spans="1:15" x14ac:dyDescent="0.3">
      <c r="A1028" t="s">
        <v>1066</v>
      </c>
      <c r="B1028">
        <v>20260504</v>
      </c>
      <c r="C1028" t="s">
        <v>44</v>
      </c>
      <c r="D1028" t="s">
        <v>36</v>
      </c>
      <c r="E1028" t="s">
        <v>41</v>
      </c>
      <c r="F1028">
        <v>45619</v>
      </c>
      <c r="G1028">
        <v>53121</v>
      </c>
      <c r="H1028">
        <v>2998</v>
      </c>
      <c r="I1028">
        <v>215</v>
      </c>
      <c r="J1028">
        <v>377</v>
      </c>
      <c r="K1028">
        <v>258</v>
      </c>
      <c r="L1028">
        <v>34717</v>
      </c>
      <c r="M1028">
        <v>632</v>
      </c>
      <c r="N1028" s="1">
        <v>0.48958333333333331</v>
      </c>
      <c r="O1028" t="s">
        <v>47</v>
      </c>
    </row>
    <row r="1029" spans="1:15" x14ac:dyDescent="0.3">
      <c r="A1029" t="s">
        <v>1067</v>
      </c>
      <c r="B1029">
        <v>20250519</v>
      </c>
      <c r="C1029" t="s">
        <v>44</v>
      </c>
      <c r="D1029" t="s">
        <v>21</v>
      </c>
      <c r="E1029" t="s">
        <v>41</v>
      </c>
      <c r="F1029">
        <v>75208</v>
      </c>
      <c r="G1029">
        <v>91791</v>
      </c>
      <c r="H1029">
        <v>7861</v>
      </c>
      <c r="I1029">
        <v>328</v>
      </c>
      <c r="J1029">
        <v>1559</v>
      </c>
      <c r="K1029">
        <v>799</v>
      </c>
      <c r="L1029">
        <v>64633</v>
      </c>
      <c r="M1029">
        <v>725</v>
      </c>
      <c r="N1029" s="1">
        <v>0.32291666666666669</v>
      </c>
      <c r="O1029" t="s">
        <v>53</v>
      </c>
    </row>
    <row r="1030" spans="1:15" x14ac:dyDescent="0.3">
      <c r="A1030" t="s">
        <v>1068</v>
      </c>
      <c r="B1030">
        <v>20250121</v>
      </c>
      <c r="C1030" t="s">
        <v>40</v>
      </c>
      <c r="D1030" t="s">
        <v>36</v>
      </c>
      <c r="E1030" t="s">
        <v>18</v>
      </c>
      <c r="F1030">
        <v>21358</v>
      </c>
      <c r="G1030">
        <v>25567</v>
      </c>
      <c r="H1030">
        <v>2279</v>
      </c>
      <c r="I1030">
        <v>229</v>
      </c>
      <c r="J1030">
        <v>407</v>
      </c>
      <c r="K1030">
        <v>354</v>
      </c>
      <c r="L1030">
        <v>0</v>
      </c>
      <c r="M1030">
        <v>282</v>
      </c>
      <c r="N1030" s="1">
        <v>0.80208333333333337</v>
      </c>
      <c r="O1030" t="s">
        <v>34</v>
      </c>
    </row>
    <row r="1031" spans="1:15" x14ac:dyDescent="0.3">
      <c r="A1031" t="s">
        <v>1069</v>
      </c>
      <c r="B1031">
        <v>20260515</v>
      </c>
      <c r="C1031" t="s">
        <v>44</v>
      </c>
      <c r="D1031" t="s">
        <v>29</v>
      </c>
      <c r="E1031" t="s">
        <v>51</v>
      </c>
      <c r="F1031">
        <v>44398</v>
      </c>
      <c r="G1031">
        <v>62127</v>
      </c>
      <c r="H1031">
        <v>3057</v>
      </c>
      <c r="I1031">
        <v>405</v>
      </c>
      <c r="J1031">
        <v>601</v>
      </c>
      <c r="K1031">
        <v>306</v>
      </c>
      <c r="L1031">
        <v>0</v>
      </c>
      <c r="M1031">
        <v>649</v>
      </c>
      <c r="N1031" s="1">
        <v>0.64583333333333337</v>
      </c>
      <c r="O1031" t="s">
        <v>49</v>
      </c>
    </row>
    <row r="1032" spans="1:15" x14ac:dyDescent="0.3">
      <c r="A1032" t="s">
        <v>1070</v>
      </c>
      <c r="B1032">
        <v>20250529</v>
      </c>
      <c r="C1032" t="s">
        <v>25</v>
      </c>
      <c r="D1032" t="s">
        <v>17</v>
      </c>
      <c r="E1032" t="s">
        <v>26</v>
      </c>
      <c r="F1032">
        <v>11406</v>
      </c>
      <c r="G1032">
        <v>16448</v>
      </c>
      <c r="H1032">
        <v>572</v>
      </c>
      <c r="I1032">
        <v>31</v>
      </c>
      <c r="J1032">
        <v>43</v>
      </c>
      <c r="K1032">
        <v>62</v>
      </c>
      <c r="L1032">
        <v>6755</v>
      </c>
      <c r="M1032">
        <v>189</v>
      </c>
      <c r="N1032" s="1">
        <v>0.46875</v>
      </c>
      <c r="O1032" t="s">
        <v>49</v>
      </c>
    </row>
    <row r="1033" spans="1:15" x14ac:dyDescent="0.3">
      <c r="A1033" t="s">
        <v>1071</v>
      </c>
      <c r="B1033">
        <v>20260516</v>
      </c>
      <c r="C1033" t="s">
        <v>25</v>
      </c>
      <c r="D1033" t="s">
        <v>36</v>
      </c>
      <c r="E1033" t="s">
        <v>18</v>
      </c>
      <c r="F1033">
        <v>17328</v>
      </c>
      <c r="G1033">
        <v>26886</v>
      </c>
      <c r="H1033">
        <v>1537</v>
      </c>
      <c r="I1033">
        <v>73</v>
      </c>
      <c r="J1033">
        <v>278</v>
      </c>
      <c r="K1033">
        <v>243</v>
      </c>
      <c r="L1033">
        <v>0</v>
      </c>
      <c r="M1033">
        <v>121</v>
      </c>
      <c r="N1033" s="1">
        <v>0.65625</v>
      </c>
      <c r="O1033" t="s">
        <v>19</v>
      </c>
    </row>
    <row r="1034" spans="1:15" x14ac:dyDescent="0.3">
      <c r="A1034" t="s">
        <v>1072</v>
      </c>
      <c r="B1034">
        <v>20251224</v>
      </c>
      <c r="C1034" t="s">
        <v>16</v>
      </c>
      <c r="D1034" t="s">
        <v>61</v>
      </c>
      <c r="E1034" t="s">
        <v>18</v>
      </c>
      <c r="F1034">
        <v>22330</v>
      </c>
      <c r="G1034">
        <v>33768</v>
      </c>
      <c r="H1034">
        <v>1404</v>
      </c>
      <c r="I1034">
        <v>105</v>
      </c>
      <c r="J1034">
        <v>62</v>
      </c>
      <c r="K1034">
        <v>153</v>
      </c>
      <c r="L1034">
        <v>0</v>
      </c>
      <c r="M1034">
        <v>152</v>
      </c>
      <c r="N1034" s="1">
        <v>0.55208333333333337</v>
      </c>
      <c r="O1034" t="s">
        <v>42</v>
      </c>
    </row>
    <row r="1035" spans="1:15" x14ac:dyDescent="0.3">
      <c r="A1035" t="s">
        <v>1073</v>
      </c>
      <c r="B1035">
        <v>20260404</v>
      </c>
      <c r="C1035" t="s">
        <v>25</v>
      </c>
      <c r="D1035" t="s">
        <v>21</v>
      </c>
      <c r="E1035" t="s">
        <v>51</v>
      </c>
      <c r="F1035">
        <v>5720</v>
      </c>
      <c r="G1035">
        <v>8421</v>
      </c>
      <c r="H1035">
        <v>527</v>
      </c>
      <c r="I1035">
        <v>26</v>
      </c>
      <c r="J1035">
        <v>92</v>
      </c>
      <c r="K1035">
        <v>74</v>
      </c>
      <c r="L1035">
        <v>0</v>
      </c>
      <c r="M1035">
        <v>38</v>
      </c>
      <c r="N1035" s="1">
        <v>0.53125</v>
      </c>
      <c r="O1035" t="s">
        <v>27</v>
      </c>
    </row>
    <row r="1036" spans="1:15" x14ac:dyDescent="0.3">
      <c r="A1036" t="s">
        <v>1074</v>
      </c>
      <c r="B1036">
        <v>20260616</v>
      </c>
      <c r="C1036" t="s">
        <v>16</v>
      </c>
      <c r="D1036" t="s">
        <v>17</v>
      </c>
      <c r="E1036" t="s">
        <v>22</v>
      </c>
      <c r="F1036">
        <v>10052</v>
      </c>
      <c r="G1036">
        <v>13750</v>
      </c>
      <c r="H1036">
        <v>926</v>
      </c>
      <c r="I1036">
        <v>51</v>
      </c>
      <c r="J1036">
        <v>116</v>
      </c>
      <c r="K1036">
        <v>32</v>
      </c>
      <c r="L1036">
        <v>0</v>
      </c>
      <c r="M1036">
        <v>17</v>
      </c>
      <c r="N1036" s="1">
        <v>0.82291666666666663</v>
      </c>
      <c r="O1036" t="s">
        <v>34</v>
      </c>
    </row>
    <row r="1037" spans="1:15" x14ac:dyDescent="0.3">
      <c r="A1037" t="s">
        <v>1075</v>
      </c>
      <c r="B1037">
        <v>20250514</v>
      </c>
      <c r="C1037" t="s">
        <v>40</v>
      </c>
      <c r="D1037" t="s">
        <v>61</v>
      </c>
      <c r="E1037" t="s">
        <v>46</v>
      </c>
      <c r="F1037">
        <v>12087</v>
      </c>
      <c r="G1037">
        <v>13386</v>
      </c>
      <c r="H1037">
        <v>823</v>
      </c>
      <c r="I1037">
        <v>79</v>
      </c>
      <c r="J1037">
        <v>76</v>
      </c>
      <c r="K1037">
        <v>44</v>
      </c>
      <c r="L1037">
        <v>7370</v>
      </c>
      <c r="M1037">
        <v>208</v>
      </c>
      <c r="N1037" s="1">
        <v>0.92708333333333337</v>
      </c>
      <c r="O1037" t="s">
        <v>27</v>
      </c>
    </row>
    <row r="1038" spans="1:15" x14ac:dyDescent="0.3">
      <c r="A1038" t="s">
        <v>1076</v>
      </c>
      <c r="B1038">
        <v>20260324</v>
      </c>
      <c r="C1038" t="s">
        <v>25</v>
      </c>
      <c r="D1038" t="s">
        <v>33</v>
      </c>
      <c r="E1038" t="s">
        <v>41</v>
      </c>
      <c r="F1038">
        <v>29493</v>
      </c>
      <c r="G1038">
        <v>46997</v>
      </c>
      <c r="H1038">
        <v>1218</v>
      </c>
      <c r="I1038">
        <v>153</v>
      </c>
      <c r="J1038">
        <v>139</v>
      </c>
      <c r="K1038">
        <v>147</v>
      </c>
      <c r="L1038">
        <v>13499</v>
      </c>
      <c r="M1038">
        <v>425</v>
      </c>
      <c r="N1038" s="1">
        <v>0.9375</v>
      </c>
      <c r="O1038" t="s">
        <v>38</v>
      </c>
    </row>
    <row r="1039" spans="1:15" x14ac:dyDescent="0.3">
      <c r="A1039" t="s">
        <v>1077</v>
      </c>
      <c r="B1039">
        <v>20251005</v>
      </c>
      <c r="C1039" t="s">
        <v>16</v>
      </c>
      <c r="D1039" t="s">
        <v>36</v>
      </c>
      <c r="E1039" t="s">
        <v>18</v>
      </c>
      <c r="F1039">
        <v>7641</v>
      </c>
      <c r="G1039">
        <v>11436</v>
      </c>
      <c r="H1039">
        <v>908</v>
      </c>
      <c r="I1039">
        <v>73</v>
      </c>
      <c r="J1039">
        <v>153</v>
      </c>
      <c r="K1039">
        <v>142</v>
      </c>
      <c r="L1039">
        <v>0</v>
      </c>
      <c r="M1039">
        <v>53</v>
      </c>
      <c r="N1039" s="1">
        <v>0.625</v>
      </c>
      <c r="O1039" t="s">
        <v>27</v>
      </c>
    </row>
    <row r="1040" spans="1:15" x14ac:dyDescent="0.3">
      <c r="A1040" t="s">
        <v>1078</v>
      </c>
      <c r="B1040">
        <v>20250427</v>
      </c>
      <c r="C1040" t="s">
        <v>16</v>
      </c>
      <c r="D1040" t="s">
        <v>61</v>
      </c>
      <c r="E1040" t="s">
        <v>41</v>
      </c>
      <c r="F1040">
        <v>28352</v>
      </c>
      <c r="G1040">
        <v>43997</v>
      </c>
      <c r="H1040">
        <v>3062</v>
      </c>
      <c r="I1040">
        <v>313</v>
      </c>
      <c r="J1040">
        <v>495</v>
      </c>
      <c r="K1040">
        <v>194</v>
      </c>
      <c r="L1040">
        <v>24012</v>
      </c>
      <c r="M1040">
        <v>330</v>
      </c>
      <c r="N1040" s="1">
        <v>0.47916666666666669</v>
      </c>
      <c r="O1040" t="s">
        <v>47</v>
      </c>
    </row>
    <row r="1041" spans="1:15" x14ac:dyDescent="0.3">
      <c r="A1041" t="s">
        <v>1079</v>
      </c>
      <c r="B1041">
        <v>20250103</v>
      </c>
      <c r="C1041" t="s">
        <v>40</v>
      </c>
      <c r="D1041" t="s">
        <v>29</v>
      </c>
      <c r="E1041" t="s">
        <v>46</v>
      </c>
      <c r="F1041">
        <v>15798</v>
      </c>
      <c r="G1041">
        <v>19554</v>
      </c>
      <c r="H1041">
        <v>777</v>
      </c>
      <c r="I1041">
        <v>46</v>
      </c>
      <c r="J1041">
        <v>131</v>
      </c>
      <c r="K1041">
        <v>90</v>
      </c>
      <c r="L1041">
        <v>7742</v>
      </c>
      <c r="M1041">
        <v>243</v>
      </c>
      <c r="N1041" s="1">
        <v>0.53125</v>
      </c>
      <c r="O1041" t="s">
        <v>30</v>
      </c>
    </row>
    <row r="1042" spans="1:15" x14ac:dyDescent="0.3">
      <c r="A1042" t="s">
        <v>1080</v>
      </c>
      <c r="B1042">
        <v>20250921</v>
      </c>
      <c r="C1042" t="s">
        <v>44</v>
      </c>
      <c r="D1042" t="s">
        <v>61</v>
      </c>
      <c r="E1042" t="s">
        <v>22</v>
      </c>
      <c r="F1042">
        <v>10870</v>
      </c>
      <c r="G1042">
        <v>12878</v>
      </c>
      <c r="H1042">
        <v>652</v>
      </c>
      <c r="I1042">
        <v>41</v>
      </c>
      <c r="J1042">
        <v>91</v>
      </c>
      <c r="K1042">
        <v>100</v>
      </c>
      <c r="L1042">
        <v>0</v>
      </c>
      <c r="M1042">
        <v>83</v>
      </c>
      <c r="N1042" s="1">
        <v>0.78125</v>
      </c>
      <c r="O1042" t="s">
        <v>27</v>
      </c>
    </row>
    <row r="1043" spans="1:15" x14ac:dyDescent="0.3">
      <c r="A1043" t="s">
        <v>1081</v>
      </c>
      <c r="B1043">
        <v>20250423</v>
      </c>
      <c r="C1043" t="s">
        <v>16</v>
      </c>
      <c r="D1043" t="s">
        <v>36</v>
      </c>
      <c r="E1043" t="s">
        <v>18</v>
      </c>
      <c r="F1043">
        <v>33416</v>
      </c>
      <c r="G1043">
        <v>47776</v>
      </c>
      <c r="H1043">
        <v>1935</v>
      </c>
      <c r="I1043">
        <v>165</v>
      </c>
      <c r="J1043">
        <v>147</v>
      </c>
      <c r="K1043">
        <v>220</v>
      </c>
      <c r="L1043">
        <v>0</v>
      </c>
      <c r="M1043">
        <v>251</v>
      </c>
      <c r="N1043" s="1">
        <v>0.64583333333333337</v>
      </c>
      <c r="O1043" t="s">
        <v>27</v>
      </c>
    </row>
    <row r="1044" spans="1:15" x14ac:dyDescent="0.3">
      <c r="A1044" t="s">
        <v>1082</v>
      </c>
      <c r="B1044">
        <v>20250819</v>
      </c>
      <c r="C1044" t="s">
        <v>16</v>
      </c>
      <c r="D1044" t="s">
        <v>21</v>
      </c>
      <c r="E1044" t="s">
        <v>46</v>
      </c>
      <c r="F1044">
        <v>33464</v>
      </c>
      <c r="G1044">
        <v>48299</v>
      </c>
      <c r="H1044">
        <v>3887</v>
      </c>
      <c r="I1044">
        <v>132</v>
      </c>
      <c r="J1044">
        <v>556</v>
      </c>
      <c r="K1044">
        <v>293</v>
      </c>
      <c r="L1044">
        <v>27259</v>
      </c>
      <c r="M1044">
        <v>198</v>
      </c>
      <c r="N1044" s="1">
        <v>0.6875</v>
      </c>
      <c r="O1044" t="s">
        <v>23</v>
      </c>
    </row>
    <row r="1045" spans="1:15" x14ac:dyDescent="0.3">
      <c r="A1045" t="s">
        <v>1083</v>
      </c>
      <c r="B1045">
        <v>20260404</v>
      </c>
      <c r="C1045" t="s">
        <v>32</v>
      </c>
      <c r="D1045" t="s">
        <v>17</v>
      </c>
      <c r="E1045" t="s">
        <v>41</v>
      </c>
      <c r="F1045">
        <v>12438</v>
      </c>
      <c r="G1045">
        <v>13855</v>
      </c>
      <c r="H1045">
        <v>456</v>
      </c>
      <c r="I1045">
        <v>13</v>
      </c>
      <c r="J1045">
        <v>82</v>
      </c>
      <c r="K1045">
        <v>21</v>
      </c>
      <c r="L1045">
        <v>5842</v>
      </c>
      <c r="M1045">
        <v>81</v>
      </c>
      <c r="N1045" s="1">
        <v>0.60416666666666663</v>
      </c>
      <c r="O1045" t="s">
        <v>42</v>
      </c>
    </row>
    <row r="1046" spans="1:15" x14ac:dyDescent="0.3">
      <c r="A1046" t="s">
        <v>1084</v>
      </c>
      <c r="B1046">
        <v>20250123</v>
      </c>
      <c r="C1046" t="s">
        <v>16</v>
      </c>
      <c r="D1046" t="s">
        <v>36</v>
      </c>
      <c r="E1046" t="s">
        <v>22</v>
      </c>
      <c r="F1046">
        <v>10974</v>
      </c>
      <c r="G1046">
        <v>14781</v>
      </c>
      <c r="H1046">
        <v>1200</v>
      </c>
      <c r="I1046">
        <v>31</v>
      </c>
      <c r="J1046">
        <v>101</v>
      </c>
      <c r="K1046">
        <v>76</v>
      </c>
      <c r="L1046">
        <v>0</v>
      </c>
      <c r="M1046">
        <v>174</v>
      </c>
      <c r="N1046" s="1">
        <v>0.63541666666666663</v>
      </c>
      <c r="O1046" t="s">
        <v>19</v>
      </c>
    </row>
    <row r="1047" spans="1:15" x14ac:dyDescent="0.3">
      <c r="A1047" t="s">
        <v>1085</v>
      </c>
      <c r="B1047">
        <v>20250524</v>
      </c>
      <c r="C1047" t="s">
        <v>25</v>
      </c>
      <c r="D1047" t="s">
        <v>21</v>
      </c>
      <c r="E1047" t="s">
        <v>41</v>
      </c>
      <c r="F1047">
        <v>36470</v>
      </c>
      <c r="G1047">
        <v>38798</v>
      </c>
      <c r="H1047">
        <v>3289</v>
      </c>
      <c r="I1047">
        <v>92</v>
      </c>
      <c r="J1047">
        <v>194</v>
      </c>
      <c r="K1047">
        <v>136</v>
      </c>
      <c r="L1047">
        <v>18193</v>
      </c>
      <c r="M1047">
        <v>292</v>
      </c>
      <c r="N1047" s="1">
        <v>0.52083333333333337</v>
      </c>
      <c r="O1047" t="s">
        <v>53</v>
      </c>
    </row>
    <row r="1048" spans="1:15" x14ac:dyDescent="0.3">
      <c r="A1048" t="s">
        <v>1086</v>
      </c>
      <c r="B1048">
        <v>20260221</v>
      </c>
      <c r="C1048" t="s">
        <v>25</v>
      </c>
      <c r="D1048" t="s">
        <v>36</v>
      </c>
      <c r="E1048" t="s">
        <v>46</v>
      </c>
      <c r="F1048">
        <v>10025</v>
      </c>
      <c r="G1048">
        <v>12161</v>
      </c>
      <c r="H1048">
        <v>1183</v>
      </c>
      <c r="I1048">
        <v>45</v>
      </c>
      <c r="J1048">
        <v>112</v>
      </c>
      <c r="K1048">
        <v>112</v>
      </c>
      <c r="L1048">
        <v>8295</v>
      </c>
      <c r="M1048">
        <v>57</v>
      </c>
      <c r="N1048" s="1">
        <v>0.47916666666666669</v>
      </c>
      <c r="O1048" t="s">
        <v>34</v>
      </c>
    </row>
    <row r="1049" spans="1:15" x14ac:dyDescent="0.3">
      <c r="A1049" t="s">
        <v>1087</v>
      </c>
      <c r="B1049">
        <v>20250810</v>
      </c>
      <c r="C1049" t="s">
        <v>40</v>
      </c>
      <c r="D1049" t="s">
        <v>61</v>
      </c>
      <c r="E1049" t="s">
        <v>51</v>
      </c>
      <c r="F1049">
        <v>12001</v>
      </c>
      <c r="G1049">
        <v>16927</v>
      </c>
      <c r="H1049">
        <v>756</v>
      </c>
      <c r="I1049">
        <v>99</v>
      </c>
      <c r="J1049">
        <v>48</v>
      </c>
      <c r="K1049">
        <v>104</v>
      </c>
      <c r="L1049">
        <v>0</v>
      </c>
      <c r="M1049">
        <v>179</v>
      </c>
      <c r="N1049" s="1">
        <v>0.86458333333333337</v>
      </c>
      <c r="O1049" t="s">
        <v>30</v>
      </c>
    </row>
    <row r="1050" spans="1:15" x14ac:dyDescent="0.3">
      <c r="A1050" t="s">
        <v>1088</v>
      </c>
      <c r="B1050">
        <v>20260908</v>
      </c>
      <c r="C1050" t="s">
        <v>16</v>
      </c>
      <c r="D1050" t="s">
        <v>21</v>
      </c>
      <c r="E1050" t="s">
        <v>46</v>
      </c>
      <c r="F1050">
        <v>52374</v>
      </c>
      <c r="G1050">
        <v>77240</v>
      </c>
      <c r="H1050">
        <v>3567</v>
      </c>
      <c r="I1050">
        <v>464</v>
      </c>
      <c r="J1050">
        <v>141</v>
      </c>
      <c r="K1050">
        <v>561</v>
      </c>
      <c r="L1050">
        <v>25022</v>
      </c>
      <c r="M1050">
        <v>668</v>
      </c>
      <c r="N1050" s="1">
        <v>0.32291666666666669</v>
      </c>
      <c r="O1050" t="s">
        <v>27</v>
      </c>
    </row>
    <row r="1051" spans="1:15" x14ac:dyDescent="0.3">
      <c r="A1051" t="s">
        <v>1089</v>
      </c>
      <c r="B1051">
        <v>20260909</v>
      </c>
      <c r="C1051" t="s">
        <v>25</v>
      </c>
      <c r="D1051" t="s">
        <v>68</v>
      </c>
      <c r="E1051" t="s">
        <v>51</v>
      </c>
      <c r="F1051">
        <v>20929</v>
      </c>
      <c r="G1051">
        <v>30335</v>
      </c>
      <c r="H1051">
        <v>2069</v>
      </c>
      <c r="I1051">
        <v>218</v>
      </c>
      <c r="J1051">
        <v>312</v>
      </c>
      <c r="K1051">
        <v>59</v>
      </c>
      <c r="L1051">
        <v>0</v>
      </c>
      <c r="M1051">
        <v>101</v>
      </c>
      <c r="N1051" s="1">
        <v>0.91666666666666663</v>
      </c>
      <c r="O1051" t="s">
        <v>47</v>
      </c>
    </row>
    <row r="1052" spans="1:15" x14ac:dyDescent="0.3">
      <c r="A1052" t="s">
        <v>1090</v>
      </c>
      <c r="B1052">
        <v>20260803</v>
      </c>
      <c r="C1052" t="s">
        <v>44</v>
      </c>
      <c r="D1052" t="s">
        <v>33</v>
      </c>
      <c r="E1052" t="s">
        <v>51</v>
      </c>
      <c r="F1052">
        <v>81048</v>
      </c>
      <c r="G1052">
        <v>110544</v>
      </c>
      <c r="H1052">
        <v>8015</v>
      </c>
      <c r="I1052">
        <v>263</v>
      </c>
      <c r="J1052">
        <v>952</v>
      </c>
      <c r="K1052">
        <v>740</v>
      </c>
      <c r="L1052">
        <v>0</v>
      </c>
      <c r="M1052">
        <v>589</v>
      </c>
      <c r="N1052" s="1">
        <v>0.85416666666666663</v>
      </c>
      <c r="O1052" t="s">
        <v>42</v>
      </c>
    </row>
    <row r="1053" spans="1:15" x14ac:dyDescent="0.3">
      <c r="A1053" t="s">
        <v>1091</v>
      </c>
      <c r="B1053">
        <v>20260630</v>
      </c>
      <c r="C1053" t="s">
        <v>44</v>
      </c>
      <c r="D1053" t="s">
        <v>33</v>
      </c>
      <c r="E1053" t="s">
        <v>18</v>
      </c>
      <c r="F1053">
        <v>26370</v>
      </c>
      <c r="G1053">
        <v>34370</v>
      </c>
      <c r="H1053">
        <v>2989</v>
      </c>
      <c r="I1053">
        <v>319</v>
      </c>
      <c r="J1053">
        <v>118</v>
      </c>
      <c r="K1053">
        <v>426</v>
      </c>
      <c r="L1053">
        <v>0</v>
      </c>
      <c r="M1053">
        <v>354</v>
      </c>
      <c r="N1053" s="1">
        <v>0.52083333333333337</v>
      </c>
      <c r="O1053" t="s">
        <v>19</v>
      </c>
    </row>
    <row r="1054" spans="1:15" x14ac:dyDescent="0.3">
      <c r="A1054" t="s">
        <v>1092</v>
      </c>
      <c r="B1054">
        <v>20251227</v>
      </c>
      <c r="C1054" t="s">
        <v>40</v>
      </c>
      <c r="D1054" t="s">
        <v>68</v>
      </c>
      <c r="E1054" t="s">
        <v>26</v>
      </c>
      <c r="F1054">
        <v>6314</v>
      </c>
      <c r="G1054">
        <v>9195</v>
      </c>
      <c r="H1054">
        <v>548</v>
      </c>
      <c r="I1054">
        <v>17</v>
      </c>
      <c r="J1054">
        <v>28</v>
      </c>
      <c r="K1054">
        <v>28</v>
      </c>
      <c r="L1054">
        <v>4415</v>
      </c>
      <c r="M1054">
        <v>100</v>
      </c>
      <c r="N1054" s="1">
        <v>0.70833333333333337</v>
      </c>
      <c r="O1054" t="s">
        <v>30</v>
      </c>
    </row>
    <row r="1055" spans="1:15" x14ac:dyDescent="0.3">
      <c r="A1055" t="s">
        <v>1093</v>
      </c>
      <c r="B1055">
        <v>20250501</v>
      </c>
      <c r="C1055" t="s">
        <v>44</v>
      </c>
      <c r="D1055" t="s">
        <v>36</v>
      </c>
      <c r="E1055" t="s">
        <v>46</v>
      </c>
      <c r="F1055">
        <v>24248</v>
      </c>
      <c r="G1055">
        <v>38042</v>
      </c>
      <c r="H1055">
        <v>955</v>
      </c>
      <c r="I1055">
        <v>78</v>
      </c>
      <c r="J1055">
        <v>44</v>
      </c>
      <c r="K1055">
        <v>66</v>
      </c>
      <c r="L1055">
        <v>17021</v>
      </c>
      <c r="M1055">
        <v>288</v>
      </c>
      <c r="N1055" s="1">
        <v>0.53125</v>
      </c>
      <c r="O1055" t="s">
        <v>30</v>
      </c>
    </row>
    <row r="1056" spans="1:15" x14ac:dyDescent="0.3">
      <c r="A1056" t="s">
        <v>1094</v>
      </c>
      <c r="B1056">
        <v>20250223</v>
      </c>
      <c r="C1056" t="s">
        <v>16</v>
      </c>
      <c r="D1056" t="s">
        <v>21</v>
      </c>
      <c r="E1056" t="s">
        <v>46</v>
      </c>
      <c r="F1056">
        <v>23952</v>
      </c>
      <c r="G1056">
        <v>32769</v>
      </c>
      <c r="H1056">
        <v>1524</v>
      </c>
      <c r="I1056">
        <v>55</v>
      </c>
      <c r="J1056">
        <v>204</v>
      </c>
      <c r="K1056">
        <v>34</v>
      </c>
      <c r="L1056">
        <v>8931</v>
      </c>
      <c r="M1056">
        <v>319</v>
      </c>
      <c r="N1056" s="1">
        <v>0.84375</v>
      </c>
      <c r="O1056" t="s">
        <v>49</v>
      </c>
    </row>
    <row r="1057" spans="1:15" x14ac:dyDescent="0.3">
      <c r="A1057" t="s">
        <v>1095</v>
      </c>
      <c r="B1057">
        <v>20250811</v>
      </c>
      <c r="C1057" t="s">
        <v>16</v>
      </c>
      <c r="D1057" t="s">
        <v>36</v>
      </c>
      <c r="E1057" t="s">
        <v>18</v>
      </c>
      <c r="F1057">
        <v>16043</v>
      </c>
      <c r="G1057">
        <v>25696</v>
      </c>
      <c r="H1057">
        <v>1003</v>
      </c>
      <c r="I1057">
        <v>61</v>
      </c>
      <c r="J1057">
        <v>181</v>
      </c>
      <c r="K1057">
        <v>109</v>
      </c>
      <c r="L1057">
        <v>0</v>
      </c>
      <c r="M1057">
        <v>230</v>
      </c>
      <c r="N1057" s="1">
        <v>0.35416666666666669</v>
      </c>
      <c r="O1057" t="s">
        <v>47</v>
      </c>
    </row>
    <row r="1058" spans="1:15" x14ac:dyDescent="0.3">
      <c r="A1058" t="s">
        <v>1096</v>
      </c>
      <c r="B1058">
        <v>20251016</v>
      </c>
      <c r="C1058" t="s">
        <v>44</v>
      </c>
      <c r="D1058" t="s">
        <v>68</v>
      </c>
      <c r="E1058" t="s">
        <v>22</v>
      </c>
      <c r="F1058">
        <v>31017</v>
      </c>
      <c r="G1058">
        <v>49789</v>
      </c>
      <c r="H1058">
        <v>1317</v>
      </c>
      <c r="I1058">
        <v>95</v>
      </c>
      <c r="J1058">
        <v>203</v>
      </c>
      <c r="K1058">
        <v>167</v>
      </c>
      <c r="L1058">
        <v>0</v>
      </c>
      <c r="M1058">
        <v>278</v>
      </c>
      <c r="N1058" s="1">
        <v>0.33333333333333331</v>
      </c>
      <c r="O1058" t="s">
        <v>34</v>
      </c>
    </row>
    <row r="1059" spans="1:15" x14ac:dyDescent="0.3">
      <c r="A1059" t="s">
        <v>1097</v>
      </c>
      <c r="B1059">
        <v>20260705</v>
      </c>
      <c r="C1059" t="s">
        <v>40</v>
      </c>
      <c r="D1059" t="s">
        <v>68</v>
      </c>
      <c r="E1059" t="s">
        <v>22</v>
      </c>
      <c r="F1059">
        <v>6623</v>
      </c>
      <c r="G1059">
        <v>9317</v>
      </c>
      <c r="H1059">
        <v>607</v>
      </c>
      <c r="I1059">
        <v>60</v>
      </c>
      <c r="J1059">
        <v>93</v>
      </c>
      <c r="K1059">
        <v>90</v>
      </c>
      <c r="L1059">
        <v>0</v>
      </c>
      <c r="M1059">
        <v>118</v>
      </c>
      <c r="N1059" s="1">
        <v>0.79166666666666663</v>
      </c>
      <c r="O1059" t="s">
        <v>27</v>
      </c>
    </row>
    <row r="1060" spans="1:15" x14ac:dyDescent="0.3">
      <c r="A1060" t="s">
        <v>1098</v>
      </c>
      <c r="B1060">
        <v>20260731</v>
      </c>
      <c r="C1060" t="s">
        <v>32</v>
      </c>
      <c r="D1060" t="s">
        <v>33</v>
      </c>
      <c r="E1060" t="s">
        <v>22</v>
      </c>
      <c r="F1060">
        <v>13119</v>
      </c>
      <c r="G1060">
        <v>18864</v>
      </c>
      <c r="H1060">
        <v>1526</v>
      </c>
      <c r="I1060">
        <v>67</v>
      </c>
      <c r="J1060">
        <v>271</v>
      </c>
      <c r="K1060">
        <v>130</v>
      </c>
      <c r="M1060">
        <v>151</v>
      </c>
      <c r="N1060" s="1">
        <v>0.71875</v>
      </c>
      <c r="O1060" t="s">
        <v>38</v>
      </c>
    </row>
    <row r="1061" spans="1:15" x14ac:dyDescent="0.3">
      <c r="A1061" t="s">
        <v>1099</v>
      </c>
      <c r="B1061">
        <v>20260512</v>
      </c>
      <c r="C1061" t="s">
        <v>32</v>
      </c>
      <c r="D1061" t="s">
        <v>36</v>
      </c>
      <c r="E1061" t="s">
        <v>41</v>
      </c>
      <c r="F1061">
        <v>22527</v>
      </c>
      <c r="G1061">
        <v>36523</v>
      </c>
      <c r="H1061">
        <v>1894</v>
      </c>
      <c r="I1061">
        <v>111</v>
      </c>
      <c r="J1061">
        <v>118</v>
      </c>
      <c r="K1061">
        <v>168</v>
      </c>
      <c r="L1061">
        <v>8989</v>
      </c>
      <c r="M1061">
        <v>338</v>
      </c>
      <c r="N1061" s="1">
        <v>0.94791666666666663</v>
      </c>
      <c r="O1061" t="s">
        <v>38</v>
      </c>
    </row>
    <row r="1062" spans="1:15" x14ac:dyDescent="0.3">
      <c r="A1062" t="s">
        <v>1100</v>
      </c>
      <c r="B1062">
        <v>20260121</v>
      </c>
      <c r="C1062" t="s">
        <v>16</v>
      </c>
      <c r="D1062" t="s">
        <v>33</v>
      </c>
      <c r="E1062" t="s">
        <v>26</v>
      </c>
      <c r="F1062">
        <v>19752</v>
      </c>
      <c r="G1062">
        <v>25411</v>
      </c>
      <c r="H1062">
        <v>882</v>
      </c>
      <c r="I1062">
        <v>55</v>
      </c>
      <c r="J1062">
        <v>84</v>
      </c>
      <c r="K1062">
        <v>51</v>
      </c>
      <c r="L1062">
        <v>16951</v>
      </c>
      <c r="M1062">
        <v>309</v>
      </c>
      <c r="N1062" s="1">
        <v>0.92708333333333337</v>
      </c>
      <c r="O1062" t="s">
        <v>19</v>
      </c>
    </row>
    <row r="1063" spans="1:15" x14ac:dyDescent="0.3">
      <c r="A1063" t="s">
        <v>1101</v>
      </c>
      <c r="B1063">
        <v>20260824</v>
      </c>
      <c r="C1063" t="s">
        <v>16</v>
      </c>
      <c r="D1063" t="s">
        <v>21</v>
      </c>
      <c r="E1063" t="s">
        <v>41</v>
      </c>
      <c r="F1063">
        <v>43067</v>
      </c>
      <c r="G1063">
        <v>55410</v>
      </c>
      <c r="H1063">
        <v>4222</v>
      </c>
      <c r="I1063">
        <v>235</v>
      </c>
      <c r="J1063">
        <v>620</v>
      </c>
      <c r="K1063">
        <v>664</v>
      </c>
      <c r="L1063">
        <v>26434</v>
      </c>
      <c r="M1063">
        <v>133</v>
      </c>
      <c r="N1063" s="1">
        <v>0.9375</v>
      </c>
      <c r="O1063" t="s">
        <v>38</v>
      </c>
    </row>
    <row r="1064" spans="1:15" x14ac:dyDescent="0.3">
      <c r="A1064" t="s">
        <v>1102</v>
      </c>
      <c r="B1064">
        <v>20250224</v>
      </c>
      <c r="C1064" t="s">
        <v>25</v>
      </c>
      <c r="D1064" t="s">
        <v>68</v>
      </c>
      <c r="E1064" t="s">
        <v>46</v>
      </c>
      <c r="F1064">
        <v>6152</v>
      </c>
      <c r="G1064">
        <v>7236</v>
      </c>
      <c r="H1064">
        <v>221</v>
      </c>
      <c r="I1064">
        <v>19</v>
      </c>
      <c r="J1064">
        <v>19</v>
      </c>
      <c r="K1064">
        <v>16</v>
      </c>
      <c r="L1064">
        <v>4430</v>
      </c>
      <c r="M1064">
        <v>20</v>
      </c>
      <c r="N1064" s="1">
        <v>0.5</v>
      </c>
      <c r="O1064" t="s">
        <v>47</v>
      </c>
    </row>
    <row r="1065" spans="1:15" x14ac:dyDescent="0.3">
      <c r="A1065" t="s">
        <v>1103</v>
      </c>
      <c r="B1065">
        <v>20260723</v>
      </c>
      <c r="C1065" t="s">
        <v>16</v>
      </c>
      <c r="D1065" t="s">
        <v>61</v>
      </c>
      <c r="E1065" t="s">
        <v>26</v>
      </c>
      <c r="F1065">
        <v>19013</v>
      </c>
      <c r="G1065">
        <v>26537</v>
      </c>
      <c r="H1065">
        <v>1979</v>
      </c>
      <c r="I1065">
        <v>274</v>
      </c>
      <c r="J1065">
        <v>154</v>
      </c>
      <c r="K1065">
        <v>261</v>
      </c>
      <c r="L1065">
        <v>15033</v>
      </c>
      <c r="M1065">
        <v>293</v>
      </c>
      <c r="N1065" s="1">
        <v>0.59375</v>
      </c>
      <c r="O1065" t="s">
        <v>27</v>
      </c>
    </row>
    <row r="1066" spans="1:15" x14ac:dyDescent="0.3">
      <c r="A1066" t="s">
        <v>1104</v>
      </c>
      <c r="B1066">
        <v>20260827</v>
      </c>
      <c r="C1066" t="s">
        <v>44</v>
      </c>
      <c r="D1066" t="s">
        <v>21</v>
      </c>
      <c r="E1066" t="s">
        <v>26</v>
      </c>
      <c r="F1066">
        <v>22858</v>
      </c>
      <c r="G1066">
        <v>34839</v>
      </c>
      <c r="H1066">
        <v>2319</v>
      </c>
      <c r="I1066">
        <v>164</v>
      </c>
      <c r="J1066">
        <v>357</v>
      </c>
      <c r="K1066">
        <v>180</v>
      </c>
      <c r="L1066">
        <v>11830</v>
      </c>
      <c r="M1066">
        <v>246</v>
      </c>
      <c r="N1066" s="1">
        <v>0.88541666666666663</v>
      </c>
      <c r="O1066" t="s">
        <v>19</v>
      </c>
    </row>
    <row r="1067" spans="1:15" x14ac:dyDescent="0.3">
      <c r="A1067" t="s">
        <v>1105</v>
      </c>
      <c r="B1067">
        <v>20250521</v>
      </c>
      <c r="C1067" t="s">
        <v>25</v>
      </c>
      <c r="D1067" t="s">
        <v>21</v>
      </c>
      <c r="E1067" t="s">
        <v>46</v>
      </c>
      <c r="F1067">
        <v>16509</v>
      </c>
      <c r="G1067">
        <v>26573</v>
      </c>
      <c r="H1067">
        <v>1032</v>
      </c>
      <c r="I1067">
        <v>116</v>
      </c>
      <c r="J1067">
        <v>146</v>
      </c>
      <c r="K1067">
        <v>70</v>
      </c>
      <c r="L1067">
        <v>14467</v>
      </c>
      <c r="M1067">
        <v>254</v>
      </c>
      <c r="N1067" s="1">
        <v>0.80208333333333337</v>
      </c>
      <c r="O1067" t="s">
        <v>53</v>
      </c>
    </row>
    <row r="1068" spans="1:15" x14ac:dyDescent="0.3">
      <c r="A1068" t="s">
        <v>1106</v>
      </c>
      <c r="B1068">
        <v>20260814</v>
      </c>
      <c r="C1068" t="s">
        <v>25</v>
      </c>
      <c r="D1068" t="s">
        <v>29</v>
      </c>
      <c r="E1068" t="s">
        <v>51</v>
      </c>
      <c r="F1068">
        <v>48639</v>
      </c>
      <c r="G1068">
        <v>71218</v>
      </c>
      <c r="H1068">
        <v>2703</v>
      </c>
      <c r="I1068">
        <v>190</v>
      </c>
      <c r="J1068">
        <v>489</v>
      </c>
      <c r="K1068">
        <v>211</v>
      </c>
      <c r="L1068">
        <v>0</v>
      </c>
      <c r="M1068">
        <v>206</v>
      </c>
      <c r="N1068" s="1">
        <v>0.55208333333333337</v>
      </c>
      <c r="O1068" t="s">
        <v>23</v>
      </c>
    </row>
    <row r="1069" spans="1:15" x14ac:dyDescent="0.3">
      <c r="A1069" t="s">
        <v>1107</v>
      </c>
      <c r="B1069">
        <v>20250814</v>
      </c>
      <c r="C1069" t="s">
        <v>40</v>
      </c>
      <c r="D1069" t="s">
        <v>21</v>
      </c>
      <c r="E1069" t="s">
        <v>46</v>
      </c>
      <c r="F1069">
        <v>20667</v>
      </c>
      <c r="G1069">
        <v>33088</v>
      </c>
      <c r="H1069">
        <v>1041</v>
      </c>
      <c r="I1069">
        <v>77</v>
      </c>
      <c r="J1069">
        <v>107</v>
      </c>
      <c r="K1069">
        <v>21</v>
      </c>
      <c r="L1069">
        <v>16739</v>
      </c>
      <c r="M1069">
        <v>366</v>
      </c>
      <c r="N1069" s="1">
        <v>0.48958333333333331</v>
      </c>
      <c r="O1069" t="s">
        <v>49</v>
      </c>
    </row>
    <row r="1070" spans="1:15" x14ac:dyDescent="0.3">
      <c r="A1070" t="s">
        <v>1108</v>
      </c>
      <c r="B1070">
        <v>20251023</v>
      </c>
      <c r="C1070" t="s">
        <v>16</v>
      </c>
      <c r="D1070" t="s">
        <v>36</v>
      </c>
      <c r="E1070" t="s">
        <v>26</v>
      </c>
      <c r="F1070">
        <v>16978</v>
      </c>
      <c r="G1070">
        <v>22735</v>
      </c>
      <c r="H1070">
        <v>429</v>
      </c>
      <c r="I1070">
        <v>58</v>
      </c>
      <c r="J1070">
        <v>21</v>
      </c>
      <c r="K1070">
        <v>58</v>
      </c>
      <c r="L1070">
        <v>11290</v>
      </c>
      <c r="M1070">
        <v>302</v>
      </c>
      <c r="N1070" s="1">
        <v>0.51041666666666663</v>
      </c>
      <c r="O1070" t="s">
        <v>30</v>
      </c>
    </row>
    <row r="1071" spans="1:15" x14ac:dyDescent="0.3">
      <c r="A1071" t="s">
        <v>1109</v>
      </c>
      <c r="B1071">
        <v>20250909</v>
      </c>
      <c r="C1071" t="s">
        <v>32</v>
      </c>
      <c r="D1071" t="s">
        <v>21</v>
      </c>
      <c r="E1071" t="s">
        <v>46</v>
      </c>
      <c r="F1071">
        <v>2945</v>
      </c>
      <c r="G1071">
        <v>4831</v>
      </c>
      <c r="H1071">
        <v>113</v>
      </c>
      <c r="I1071">
        <v>11</v>
      </c>
      <c r="J1071">
        <v>21</v>
      </c>
      <c r="K1071">
        <v>9</v>
      </c>
      <c r="L1071">
        <v>2285</v>
      </c>
      <c r="M1071">
        <v>37</v>
      </c>
      <c r="N1071" s="1">
        <v>0.57291666666666663</v>
      </c>
      <c r="O1071" t="s">
        <v>19</v>
      </c>
    </row>
    <row r="1072" spans="1:15" x14ac:dyDescent="0.3">
      <c r="A1072" t="s">
        <v>1110</v>
      </c>
      <c r="B1072">
        <v>20251018</v>
      </c>
      <c r="C1072" t="s">
        <v>25</v>
      </c>
      <c r="D1072" t="s">
        <v>36</v>
      </c>
      <c r="E1072" t="s">
        <v>26</v>
      </c>
      <c r="F1072">
        <v>3044</v>
      </c>
      <c r="G1072">
        <v>3233</v>
      </c>
      <c r="H1072">
        <v>137</v>
      </c>
      <c r="I1072">
        <v>14</v>
      </c>
      <c r="J1072">
        <v>17</v>
      </c>
      <c r="K1072">
        <v>19</v>
      </c>
      <c r="L1072">
        <v>1983</v>
      </c>
      <c r="M1072">
        <v>23</v>
      </c>
      <c r="N1072" s="1">
        <v>0.625</v>
      </c>
      <c r="O1072" t="s">
        <v>19</v>
      </c>
    </row>
    <row r="1073" spans="1:15" x14ac:dyDescent="0.3">
      <c r="A1073" t="s">
        <v>1111</v>
      </c>
      <c r="B1073">
        <v>20251120</v>
      </c>
      <c r="C1073" t="s">
        <v>44</v>
      </c>
      <c r="D1073" t="s">
        <v>17</v>
      </c>
      <c r="E1073" t="s">
        <v>46</v>
      </c>
      <c r="F1073">
        <v>122857</v>
      </c>
      <c r="G1073">
        <v>172690</v>
      </c>
      <c r="H1073">
        <v>14180</v>
      </c>
      <c r="I1073">
        <v>1976</v>
      </c>
      <c r="J1073">
        <v>889</v>
      </c>
      <c r="K1073">
        <v>1831</v>
      </c>
      <c r="L1073">
        <v>98694</v>
      </c>
      <c r="M1073">
        <v>1054</v>
      </c>
      <c r="N1073" s="1">
        <v>0.65625</v>
      </c>
      <c r="O1073" t="s">
        <v>49</v>
      </c>
    </row>
    <row r="1074" spans="1:15" x14ac:dyDescent="0.3">
      <c r="A1074" t="s">
        <v>1112</v>
      </c>
      <c r="B1074">
        <v>20250128</v>
      </c>
      <c r="C1074" t="s">
        <v>40</v>
      </c>
      <c r="D1074" t="s">
        <v>68</v>
      </c>
      <c r="E1074" t="s">
        <v>26</v>
      </c>
      <c r="F1074">
        <v>25960</v>
      </c>
      <c r="G1074">
        <v>38091</v>
      </c>
      <c r="H1074">
        <v>1910</v>
      </c>
      <c r="I1074">
        <v>227</v>
      </c>
      <c r="J1074">
        <v>265</v>
      </c>
      <c r="K1074">
        <v>176</v>
      </c>
      <c r="L1074">
        <v>21225</v>
      </c>
      <c r="M1074">
        <v>428</v>
      </c>
      <c r="N1074" s="1">
        <v>0.46875</v>
      </c>
      <c r="O1074" t="s">
        <v>34</v>
      </c>
    </row>
    <row r="1075" spans="1:15" x14ac:dyDescent="0.3">
      <c r="A1075" t="s">
        <v>1113</v>
      </c>
      <c r="B1075">
        <v>20250812</v>
      </c>
      <c r="C1075" t="s">
        <v>40</v>
      </c>
      <c r="D1075" t="s">
        <v>17</v>
      </c>
      <c r="E1075" t="s">
        <v>41</v>
      </c>
      <c r="F1075">
        <v>19474</v>
      </c>
      <c r="G1075">
        <v>29709</v>
      </c>
      <c r="H1075">
        <v>982</v>
      </c>
      <c r="I1075">
        <v>82</v>
      </c>
      <c r="J1075">
        <v>81</v>
      </c>
      <c r="K1075">
        <v>54</v>
      </c>
      <c r="L1075">
        <v>15781</v>
      </c>
      <c r="M1075">
        <v>333</v>
      </c>
      <c r="N1075" s="1">
        <v>0.42708333333333331</v>
      </c>
      <c r="O1075" t="s">
        <v>49</v>
      </c>
    </row>
    <row r="1076" spans="1:15" x14ac:dyDescent="0.3">
      <c r="A1076" t="s">
        <v>1114</v>
      </c>
      <c r="B1076">
        <v>20250125</v>
      </c>
      <c r="C1076" t="s">
        <v>32</v>
      </c>
      <c r="D1076" t="s">
        <v>61</v>
      </c>
      <c r="E1076" t="s">
        <v>46</v>
      </c>
      <c r="F1076">
        <v>19783</v>
      </c>
      <c r="G1076">
        <v>26740</v>
      </c>
      <c r="H1076">
        <v>2298</v>
      </c>
      <c r="I1076">
        <v>192</v>
      </c>
      <c r="J1076">
        <v>359</v>
      </c>
      <c r="K1076">
        <v>335</v>
      </c>
      <c r="L1076">
        <v>14052</v>
      </c>
      <c r="M1076">
        <v>338</v>
      </c>
      <c r="N1076" s="1">
        <v>0.53125</v>
      </c>
      <c r="O1076" t="s">
        <v>53</v>
      </c>
    </row>
    <row r="1077" spans="1:15" x14ac:dyDescent="0.3">
      <c r="A1077" t="s">
        <v>1115</v>
      </c>
      <c r="B1077">
        <v>20251020</v>
      </c>
      <c r="C1077" t="s">
        <v>25</v>
      </c>
      <c r="D1077" t="s">
        <v>61</v>
      </c>
      <c r="E1077" t="s">
        <v>41</v>
      </c>
      <c r="F1077">
        <v>7276</v>
      </c>
      <c r="G1077">
        <v>8478</v>
      </c>
      <c r="H1077">
        <v>339</v>
      </c>
      <c r="I1077">
        <v>41</v>
      </c>
      <c r="J1077">
        <v>15</v>
      </c>
      <c r="K1077">
        <v>15</v>
      </c>
      <c r="L1077">
        <v>3805</v>
      </c>
      <c r="M1077">
        <v>34</v>
      </c>
      <c r="N1077" s="1">
        <v>0.46875</v>
      </c>
      <c r="O1077" t="s">
        <v>27</v>
      </c>
    </row>
    <row r="1078" spans="1:15" x14ac:dyDescent="0.3">
      <c r="A1078" t="s">
        <v>1116</v>
      </c>
      <c r="B1078">
        <v>20260902</v>
      </c>
      <c r="C1078" t="s">
        <v>25</v>
      </c>
      <c r="D1078" t="s">
        <v>17</v>
      </c>
      <c r="E1078" t="s">
        <v>18</v>
      </c>
      <c r="F1078">
        <v>18690</v>
      </c>
      <c r="G1078">
        <v>24346</v>
      </c>
      <c r="H1078">
        <v>2007</v>
      </c>
      <c r="I1078">
        <v>277</v>
      </c>
      <c r="J1078">
        <v>107</v>
      </c>
      <c r="K1078">
        <v>207</v>
      </c>
      <c r="L1078">
        <v>0</v>
      </c>
      <c r="M1078">
        <v>243</v>
      </c>
      <c r="N1078" s="1">
        <v>0.53125</v>
      </c>
      <c r="O1078" t="s">
        <v>19</v>
      </c>
    </row>
    <row r="1079" spans="1:15" x14ac:dyDescent="0.3">
      <c r="A1079" t="s">
        <v>1117</v>
      </c>
      <c r="B1079">
        <v>20260113</v>
      </c>
      <c r="C1079" t="s">
        <v>32</v>
      </c>
      <c r="D1079" t="s">
        <v>36</v>
      </c>
      <c r="E1079" t="s">
        <v>51</v>
      </c>
      <c r="F1079">
        <v>9642</v>
      </c>
      <c r="G1079">
        <v>10256</v>
      </c>
      <c r="H1079">
        <v>365</v>
      </c>
      <c r="I1079">
        <v>39</v>
      </c>
      <c r="J1079">
        <v>34</v>
      </c>
      <c r="K1079">
        <v>11</v>
      </c>
      <c r="L1079">
        <v>0</v>
      </c>
      <c r="M1079">
        <v>19</v>
      </c>
      <c r="N1079" s="1">
        <v>0.64583333333333337</v>
      </c>
      <c r="O1079" t="s">
        <v>38</v>
      </c>
    </row>
    <row r="1080" spans="1:15" x14ac:dyDescent="0.3">
      <c r="A1080" t="s">
        <v>1118</v>
      </c>
      <c r="B1080">
        <v>20250222</v>
      </c>
      <c r="C1080" t="s">
        <v>44</v>
      </c>
      <c r="D1080" t="s">
        <v>21</v>
      </c>
      <c r="E1080" t="s">
        <v>46</v>
      </c>
      <c r="F1080">
        <v>68945</v>
      </c>
      <c r="G1080">
        <v>111066</v>
      </c>
      <c r="H1080">
        <v>8254</v>
      </c>
      <c r="I1080">
        <v>1009</v>
      </c>
      <c r="J1080">
        <v>1221</v>
      </c>
      <c r="K1080">
        <v>307</v>
      </c>
      <c r="L1080">
        <v>34636</v>
      </c>
      <c r="M1080">
        <v>575</v>
      </c>
      <c r="N1080" s="1">
        <v>0.71875</v>
      </c>
      <c r="O1080" t="s">
        <v>23</v>
      </c>
    </row>
    <row r="1081" spans="1:15" x14ac:dyDescent="0.3">
      <c r="A1081" t="s">
        <v>1119</v>
      </c>
      <c r="B1081">
        <v>20260118</v>
      </c>
      <c r="C1081" t="s">
        <v>16</v>
      </c>
      <c r="D1081" t="s">
        <v>29</v>
      </c>
      <c r="E1081" t="s">
        <v>46</v>
      </c>
      <c r="F1081">
        <v>92315</v>
      </c>
      <c r="G1081">
        <v>97512</v>
      </c>
      <c r="H1081">
        <v>6475</v>
      </c>
      <c r="I1081">
        <v>680</v>
      </c>
      <c r="J1081">
        <v>267</v>
      </c>
      <c r="K1081">
        <v>575</v>
      </c>
      <c r="L1081">
        <v>61176</v>
      </c>
      <c r="M1081">
        <v>1194</v>
      </c>
      <c r="N1081" s="1">
        <v>0.77083333333333337</v>
      </c>
      <c r="O1081" t="s">
        <v>23</v>
      </c>
    </row>
    <row r="1082" spans="1:15" x14ac:dyDescent="0.3">
      <c r="A1082" t="s">
        <v>1120</v>
      </c>
      <c r="B1082">
        <v>20250904</v>
      </c>
      <c r="C1082" t="s">
        <v>16</v>
      </c>
      <c r="D1082" t="s">
        <v>21</v>
      </c>
      <c r="E1082" t="s">
        <v>22</v>
      </c>
      <c r="F1082">
        <v>18866</v>
      </c>
      <c r="G1082">
        <v>20726</v>
      </c>
      <c r="H1082">
        <v>1878</v>
      </c>
      <c r="I1082">
        <v>72</v>
      </c>
      <c r="J1082">
        <v>236</v>
      </c>
      <c r="K1082">
        <v>279</v>
      </c>
      <c r="L1082">
        <v>0</v>
      </c>
      <c r="M1082">
        <v>111</v>
      </c>
      <c r="N1082" s="1">
        <v>0.92708333333333337</v>
      </c>
      <c r="O1082" t="s">
        <v>38</v>
      </c>
    </row>
    <row r="1083" spans="1:15" x14ac:dyDescent="0.3">
      <c r="A1083" t="s">
        <v>1121</v>
      </c>
      <c r="B1083">
        <v>20250422</v>
      </c>
      <c r="C1083" t="s">
        <v>25</v>
      </c>
      <c r="D1083" t="s">
        <v>36</v>
      </c>
      <c r="E1083" t="s">
        <v>26</v>
      </c>
      <c r="F1083">
        <v>13531</v>
      </c>
      <c r="G1083">
        <v>17332</v>
      </c>
      <c r="H1083">
        <v>918</v>
      </c>
      <c r="I1083">
        <v>25</v>
      </c>
      <c r="J1083">
        <v>142</v>
      </c>
      <c r="K1083">
        <v>74</v>
      </c>
      <c r="L1083">
        <v>11814</v>
      </c>
      <c r="M1083">
        <v>194</v>
      </c>
      <c r="N1083" s="1">
        <v>0.38541666666666669</v>
      </c>
      <c r="O1083" t="s">
        <v>23</v>
      </c>
    </row>
    <row r="1084" spans="1:15" x14ac:dyDescent="0.3">
      <c r="A1084" t="s">
        <v>1122</v>
      </c>
      <c r="B1084">
        <v>20250222</v>
      </c>
      <c r="C1084" t="s">
        <v>16</v>
      </c>
      <c r="D1084" t="s">
        <v>61</v>
      </c>
      <c r="E1084" t="s">
        <v>41</v>
      </c>
      <c r="F1084">
        <v>60970</v>
      </c>
      <c r="G1084">
        <v>89987</v>
      </c>
      <c r="H1084">
        <v>7067</v>
      </c>
      <c r="I1084">
        <v>273</v>
      </c>
      <c r="J1084">
        <v>597</v>
      </c>
      <c r="K1084">
        <v>1061</v>
      </c>
      <c r="L1084">
        <v>21587</v>
      </c>
      <c r="M1084">
        <v>250</v>
      </c>
      <c r="N1084" s="1">
        <v>0.63541666666666663</v>
      </c>
      <c r="O1084" t="s">
        <v>47</v>
      </c>
    </row>
    <row r="1085" spans="1:15" x14ac:dyDescent="0.3">
      <c r="A1085" t="s">
        <v>1123</v>
      </c>
      <c r="B1085">
        <v>20260426</v>
      </c>
      <c r="C1085" t="s">
        <v>16</v>
      </c>
      <c r="D1085" t="s">
        <v>29</v>
      </c>
      <c r="E1085" t="s">
        <v>18</v>
      </c>
      <c r="F1085">
        <v>20618</v>
      </c>
      <c r="G1085">
        <v>24630</v>
      </c>
      <c r="H1085">
        <v>1569</v>
      </c>
      <c r="I1085">
        <v>185</v>
      </c>
      <c r="J1085">
        <v>83</v>
      </c>
      <c r="K1085">
        <v>157</v>
      </c>
      <c r="L1085">
        <v>0</v>
      </c>
      <c r="M1085">
        <v>314</v>
      </c>
      <c r="N1085" s="1">
        <v>0.55208333333333337</v>
      </c>
      <c r="O1085" t="s">
        <v>53</v>
      </c>
    </row>
    <row r="1086" spans="1:15" x14ac:dyDescent="0.3">
      <c r="A1086" t="s">
        <v>1124</v>
      </c>
      <c r="B1086">
        <v>20251229</v>
      </c>
      <c r="C1086" t="s">
        <v>16</v>
      </c>
      <c r="D1086" t="s">
        <v>61</v>
      </c>
      <c r="E1086" t="s">
        <v>22</v>
      </c>
      <c r="F1086">
        <v>17206</v>
      </c>
      <c r="G1086">
        <v>27746</v>
      </c>
      <c r="H1086">
        <v>1875</v>
      </c>
      <c r="I1086">
        <v>225</v>
      </c>
      <c r="J1086">
        <v>271</v>
      </c>
      <c r="K1086">
        <v>242</v>
      </c>
      <c r="L1086">
        <v>0</v>
      </c>
      <c r="M1086">
        <v>190</v>
      </c>
      <c r="N1086" s="1">
        <v>0.29166666666666669</v>
      </c>
      <c r="O1086" t="s">
        <v>34</v>
      </c>
    </row>
    <row r="1087" spans="1:15" x14ac:dyDescent="0.3">
      <c r="A1087" t="s">
        <v>1125</v>
      </c>
      <c r="B1087">
        <v>20250412</v>
      </c>
      <c r="C1087" t="s">
        <v>16</v>
      </c>
      <c r="D1087" t="s">
        <v>33</v>
      </c>
      <c r="E1087" t="s">
        <v>22</v>
      </c>
      <c r="F1087">
        <v>10524</v>
      </c>
      <c r="G1087">
        <v>17244</v>
      </c>
      <c r="H1087">
        <v>1119</v>
      </c>
      <c r="I1087">
        <v>91</v>
      </c>
      <c r="J1087">
        <v>76</v>
      </c>
      <c r="K1087">
        <v>101</v>
      </c>
      <c r="L1087">
        <v>0</v>
      </c>
      <c r="M1087">
        <v>16</v>
      </c>
      <c r="N1087" s="1">
        <v>0.61458333333333337</v>
      </c>
      <c r="O1087" t="s">
        <v>47</v>
      </c>
    </row>
    <row r="1088" spans="1:15" x14ac:dyDescent="0.3">
      <c r="A1088" t="s">
        <v>1126</v>
      </c>
      <c r="B1088">
        <v>20251201</v>
      </c>
      <c r="C1088" t="s">
        <v>16</v>
      </c>
      <c r="D1088" t="s">
        <v>36</v>
      </c>
      <c r="E1088" t="s">
        <v>46</v>
      </c>
      <c r="F1088">
        <v>38881</v>
      </c>
      <c r="G1088">
        <v>53700</v>
      </c>
      <c r="H1088">
        <v>3047</v>
      </c>
      <c r="I1088">
        <v>201</v>
      </c>
      <c r="J1088">
        <v>609</v>
      </c>
      <c r="K1088">
        <v>477</v>
      </c>
      <c r="L1088">
        <v>17676</v>
      </c>
      <c r="M1088">
        <v>686</v>
      </c>
      <c r="N1088" s="1">
        <v>0.32291666666666669</v>
      </c>
      <c r="O1088" t="s">
        <v>49</v>
      </c>
    </row>
    <row r="1089" spans="1:15" x14ac:dyDescent="0.3">
      <c r="A1089" t="s">
        <v>1127</v>
      </c>
      <c r="B1089">
        <v>20260101</v>
      </c>
      <c r="C1089" t="s">
        <v>25</v>
      </c>
      <c r="D1089" t="s">
        <v>61</v>
      </c>
      <c r="E1089" t="s">
        <v>41</v>
      </c>
      <c r="F1089">
        <v>20859</v>
      </c>
      <c r="G1089">
        <v>28423</v>
      </c>
      <c r="H1089">
        <v>1813</v>
      </c>
      <c r="I1089">
        <v>209</v>
      </c>
      <c r="J1089">
        <v>310</v>
      </c>
      <c r="K1089">
        <v>69</v>
      </c>
      <c r="L1089">
        <v>10452</v>
      </c>
      <c r="M1089">
        <v>28</v>
      </c>
      <c r="N1089" s="1">
        <v>0.73958333333333337</v>
      </c>
      <c r="O1089" t="s">
        <v>19</v>
      </c>
    </row>
    <row r="1090" spans="1:15" x14ac:dyDescent="0.3">
      <c r="A1090" t="s">
        <v>1128</v>
      </c>
      <c r="B1090">
        <v>20250317</v>
      </c>
      <c r="C1090" t="s">
        <v>40</v>
      </c>
      <c r="D1090" t="s">
        <v>61</v>
      </c>
      <c r="E1090" t="s">
        <v>46</v>
      </c>
      <c r="F1090">
        <v>14897</v>
      </c>
      <c r="G1090">
        <v>20815</v>
      </c>
      <c r="H1090">
        <v>1039</v>
      </c>
      <c r="I1090">
        <v>96</v>
      </c>
      <c r="J1090">
        <v>59</v>
      </c>
      <c r="K1090">
        <v>32</v>
      </c>
      <c r="L1090">
        <v>8746</v>
      </c>
      <c r="M1090">
        <v>192</v>
      </c>
      <c r="N1090" s="1">
        <v>0.5625</v>
      </c>
      <c r="O1090" t="s">
        <v>30</v>
      </c>
    </row>
    <row r="1091" spans="1:15" x14ac:dyDescent="0.3">
      <c r="A1091" t="s">
        <v>1129</v>
      </c>
      <c r="B1091">
        <v>20251003</v>
      </c>
      <c r="C1091" t="s">
        <v>40</v>
      </c>
      <c r="D1091" t="s">
        <v>36</v>
      </c>
      <c r="E1091" t="s">
        <v>22</v>
      </c>
      <c r="F1091">
        <v>33965</v>
      </c>
      <c r="G1091">
        <v>44637</v>
      </c>
      <c r="H1091">
        <v>1165</v>
      </c>
      <c r="I1091">
        <v>160</v>
      </c>
      <c r="J1091">
        <v>93</v>
      </c>
      <c r="K1091">
        <v>160</v>
      </c>
      <c r="L1091">
        <v>0</v>
      </c>
      <c r="M1091">
        <v>205</v>
      </c>
      <c r="N1091" s="1">
        <v>0.51041666666666663</v>
      </c>
      <c r="O1091" t="s">
        <v>19</v>
      </c>
    </row>
    <row r="1092" spans="1:15" x14ac:dyDescent="0.3">
      <c r="A1092" t="s">
        <v>1130</v>
      </c>
      <c r="B1092">
        <v>20250116</v>
      </c>
      <c r="C1092" t="s">
        <v>16</v>
      </c>
      <c r="D1092" t="s">
        <v>21</v>
      </c>
      <c r="E1092" t="s">
        <v>26</v>
      </c>
      <c r="F1092">
        <v>9197</v>
      </c>
      <c r="G1092">
        <v>11798</v>
      </c>
      <c r="H1092">
        <v>1077</v>
      </c>
      <c r="I1092">
        <v>96</v>
      </c>
      <c r="J1092">
        <v>72</v>
      </c>
      <c r="K1092">
        <v>125</v>
      </c>
      <c r="L1092">
        <v>6078</v>
      </c>
      <c r="M1092">
        <v>60</v>
      </c>
      <c r="N1092" s="1">
        <v>0.91666666666666663</v>
      </c>
      <c r="O1092" t="s">
        <v>38</v>
      </c>
    </row>
    <row r="1093" spans="1:15" x14ac:dyDescent="0.3">
      <c r="A1093" t="s">
        <v>1131</v>
      </c>
      <c r="B1093">
        <v>20260611</v>
      </c>
      <c r="C1093" t="s">
        <v>16</v>
      </c>
      <c r="D1093" t="s">
        <v>17</v>
      </c>
      <c r="E1093" t="s">
        <v>18</v>
      </c>
      <c r="F1093">
        <v>26246</v>
      </c>
      <c r="G1093">
        <v>29482</v>
      </c>
      <c r="H1093">
        <v>1623</v>
      </c>
      <c r="I1093">
        <v>139</v>
      </c>
      <c r="J1093">
        <v>321</v>
      </c>
      <c r="K1093">
        <v>107</v>
      </c>
      <c r="L1093">
        <v>0</v>
      </c>
      <c r="M1093">
        <v>127</v>
      </c>
      <c r="N1093" s="1">
        <v>0.55208333333333337</v>
      </c>
      <c r="O1093" t="s">
        <v>27</v>
      </c>
    </row>
    <row r="1094" spans="1:15" x14ac:dyDescent="0.3">
      <c r="A1094" t="s">
        <v>1132</v>
      </c>
      <c r="B1094">
        <v>20260509</v>
      </c>
      <c r="C1094" t="s">
        <v>40</v>
      </c>
      <c r="D1094" t="s">
        <v>33</v>
      </c>
      <c r="E1094" t="s">
        <v>26</v>
      </c>
      <c r="F1094">
        <v>23102</v>
      </c>
      <c r="G1094">
        <v>33375</v>
      </c>
      <c r="H1094">
        <v>1911</v>
      </c>
      <c r="I1094">
        <v>119</v>
      </c>
      <c r="J1094">
        <v>209</v>
      </c>
      <c r="K1094">
        <v>241</v>
      </c>
      <c r="L1094">
        <v>18750</v>
      </c>
      <c r="M1094">
        <v>166</v>
      </c>
      <c r="N1094" s="1">
        <v>0.9375</v>
      </c>
      <c r="O1094" t="s">
        <v>34</v>
      </c>
    </row>
    <row r="1095" spans="1:15" x14ac:dyDescent="0.3">
      <c r="A1095" t="s">
        <v>1133</v>
      </c>
      <c r="B1095">
        <v>20251202</v>
      </c>
      <c r="C1095" t="s">
        <v>40</v>
      </c>
      <c r="D1095" t="s">
        <v>36</v>
      </c>
      <c r="E1095" t="s">
        <v>41</v>
      </c>
      <c r="F1095">
        <v>9196</v>
      </c>
      <c r="G1095">
        <v>11134</v>
      </c>
      <c r="H1095">
        <v>375</v>
      </c>
      <c r="I1095">
        <v>12</v>
      </c>
      <c r="J1095">
        <v>67</v>
      </c>
      <c r="K1095">
        <v>22</v>
      </c>
      <c r="L1095">
        <v>3953</v>
      </c>
      <c r="M1095">
        <v>87</v>
      </c>
      <c r="N1095" s="1">
        <v>0.6875</v>
      </c>
      <c r="O1095" t="s">
        <v>34</v>
      </c>
    </row>
    <row r="1096" spans="1:15" x14ac:dyDescent="0.3">
      <c r="A1096" t="s">
        <v>1134</v>
      </c>
      <c r="B1096">
        <v>20250802</v>
      </c>
      <c r="C1096" t="s">
        <v>25</v>
      </c>
      <c r="E1096" t="s">
        <v>51</v>
      </c>
      <c r="F1096">
        <v>7107</v>
      </c>
      <c r="G1096">
        <v>9127</v>
      </c>
      <c r="H1096">
        <v>546</v>
      </c>
      <c r="I1096">
        <v>57</v>
      </c>
      <c r="J1096">
        <v>22</v>
      </c>
      <c r="K1096">
        <v>49</v>
      </c>
      <c r="L1096">
        <v>0</v>
      </c>
      <c r="M1096">
        <v>47</v>
      </c>
      <c r="N1096" s="1">
        <v>0.79166666666666663</v>
      </c>
      <c r="O1096" t="s">
        <v>23</v>
      </c>
    </row>
    <row r="1097" spans="1:15" x14ac:dyDescent="0.3">
      <c r="A1097" t="s">
        <v>1135</v>
      </c>
      <c r="B1097">
        <v>20250414</v>
      </c>
      <c r="C1097" t="s">
        <v>44</v>
      </c>
      <c r="D1097" t="s">
        <v>68</v>
      </c>
      <c r="E1097" t="s">
        <v>46</v>
      </c>
      <c r="F1097">
        <v>57295</v>
      </c>
      <c r="G1097">
        <v>75784</v>
      </c>
      <c r="H1097">
        <v>5152</v>
      </c>
      <c r="I1097">
        <v>652</v>
      </c>
      <c r="J1097">
        <v>386</v>
      </c>
      <c r="K1097">
        <v>248</v>
      </c>
      <c r="L1097">
        <v>27257</v>
      </c>
      <c r="M1097">
        <v>929</v>
      </c>
      <c r="N1097" s="1">
        <v>0.69791666666666663</v>
      </c>
      <c r="O1097" t="s">
        <v>23</v>
      </c>
    </row>
    <row r="1098" spans="1:15" x14ac:dyDescent="0.3">
      <c r="A1098" t="s">
        <v>1136</v>
      </c>
      <c r="B1098">
        <v>20250831</v>
      </c>
      <c r="C1098" t="s">
        <v>40</v>
      </c>
      <c r="D1098" t="s">
        <v>33</v>
      </c>
      <c r="E1098" t="s">
        <v>41</v>
      </c>
      <c r="F1098">
        <v>42647</v>
      </c>
      <c r="G1098">
        <v>55197</v>
      </c>
      <c r="H1098">
        <v>1680</v>
      </c>
      <c r="I1098">
        <v>207</v>
      </c>
      <c r="J1098">
        <v>144</v>
      </c>
      <c r="K1098">
        <v>37</v>
      </c>
      <c r="L1098">
        <v>37933</v>
      </c>
      <c r="M1098">
        <v>330</v>
      </c>
      <c r="N1098" s="1">
        <v>0.75</v>
      </c>
      <c r="O1098" t="s">
        <v>53</v>
      </c>
    </row>
    <row r="1099" spans="1:15" x14ac:dyDescent="0.3">
      <c r="A1099" t="s">
        <v>1137</v>
      </c>
      <c r="B1099">
        <v>20250830</v>
      </c>
      <c r="C1099" t="s">
        <v>16</v>
      </c>
      <c r="D1099" t="s">
        <v>33</v>
      </c>
      <c r="E1099" t="s">
        <v>18</v>
      </c>
      <c r="F1099">
        <v>36534</v>
      </c>
      <c r="G1099">
        <v>56064</v>
      </c>
      <c r="H1099">
        <v>2656</v>
      </c>
      <c r="I1099">
        <v>88</v>
      </c>
      <c r="J1099">
        <v>95</v>
      </c>
      <c r="K1099">
        <v>134</v>
      </c>
      <c r="L1099">
        <v>0</v>
      </c>
      <c r="M1099">
        <v>365</v>
      </c>
      <c r="N1099" s="1">
        <v>0.86458333333333337</v>
      </c>
      <c r="O1099" t="s">
        <v>42</v>
      </c>
    </row>
    <row r="1100" spans="1:15" x14ac:dyDescent="0.3">
      <c r="A1100" t="s">
        <v>1138</v>
      </c>
      <c r="B1100">
        <v>20250129</v>
      </c>
      <c r="C1100" t="s">
        <v>16</v>
      </c>
      <c r="D1100" t="s">
        <v>17</v>
      </c>
      <c r="E1100" t="s">
        <v>46</v>
      </c>
      <c r="F1100">
        <v>51849</v>
      </c>
      <c r="G1100">
        <v>64078</v>
      </c>
      <c r="H1100">
        <v>1960</v>
      </c>
      <c r="I1100">
        <v>55</v>
      </c>
      <c r="J1100">
        <v>150</v>
      </c>
      <c r="K1100">
        <v>169</v>
      </c>
      <c r="L1100">
        <v>20372</v>
      </c>
      <c r="M1100">
        <v>903</v>
      </c>
      <c r="N1100" s="1">
        <v>0.85416666666666663</v>
      </c>
      <c r="O1100" t="s">
        <v>42</v>
      </c>
    </row>
    <row r="1101" spans="1:15" x14ac:dyDescent="0.3">
      <c r="A1101" t="s">
        <v>1139</v>
      </c>
      <c r="B1101">
        <v>20251223</v>
      </c>
      <c r="C1101" t="s">
        <v>16</v>
      </c>
      <c r="D1101" t="s">
        <v>21</v>
      </c>
      <c r="E1101" t="s">
        <v>22</v>
      </c>
      <c r="F1101">
        <v>24159</v>
      </c>
      <c r="G1101">
        <v>37550</v>
      </c>
      <c r="H1101">
        <v>1507</v>
      </c>
      <c r="I1101">
        <v>55</v>
      </c>
      <c r="J1101">
        <v>296</v>
      </c>
      <c r="K1101">
        <v>90</v>
      </c>
      <c r="L1101">
        <v>0</v>
      </c>
      <c r="M1101">
        <v>215</v>
      </c>
      <c r="N1101" s="1">
        <v>0.70833333333333337</v>
      </c>
      <c r="O1101" t="s">
        <v>23</v>
      </c>
    </row>
    <row r="1102" spans="1:15" x14ac:dyDescent="0.3">
      <c r="A1102" t="s">
        <v>1140</v>
      </c>
      <c r="B1102">
        <v>20250208</v>
      </c>
      <c r="C1102" t="s">
        <v>40</v>
      </c>
      <c r="D1102" t="s">
        <v>29</v>
      </c>
      <c r="E1102" t="s">
        <v>46</v>
      </c>
      <c r="F1102">
        <v>12757</v>
      </c>
      <c r="G1102">
        <v>15453</v>
      </c>
      <c r="H1102">
        <v>592</v>
      </c>
      <c r="I1102">
        <v>15</v>
      </c>
      <c r="J1102">
        <v>102</v>
      </c>
      <c r="K1102">
        <v>19</v>
      </c>
      <c r="L1102">
        <v>6094</v>
      </c>
      <c r="M1102">
        <v>116</v>
      </c>
      <c r="N1102" s="1">
        <v>0.40625</v>
      </c>
      <c r="O1102" t="s">
        <v>49</v>
      </c>
    </row>
    <row r="1103" spans="1:15" x14ac:dyDescent="0.3">
      <c r="A1103" t="s">
        <v>1141</v>
      </c>
      <c r="B1103">
        <v>20260506</v>
      </c>
      <c r="C1103" t="s">
        <v>16</v>
      </c>
      <c r="D1103" t="s">
        <v>17</v>
      </c>
      <c r="E1103" t="s">
        <v>26</v>
      </c>
      <c r="F1103">
        <v>20061</v>
      </c>
      <c r="G1103">
        <v>30524</v>
      </c>
      <c r="H1103">
        <v>1045</v>
      </c>
      <c r="I1103">
        <v>40</v>
      </c>
      <c r="J1103">
        <v>195</v>
      </c>
      <c r="K1103">
        <v>98</v>
      </c>
      <c r="L1103">
        <v>10972</v>
      </c>
      <c r="M1103">
        <v>48</v>
      </c>
      <c r="N1103" s="1">
        <v>0.61458333333333337</v>
      </c>
      <c r="O1103" t="s">
        <v>27</v>
      </c>
    </row>
    <row r="1104" spans="1:15" x14ac:dyDescent="0.3">
      <c r="A1104" t="s">
        <v>1142</v>
      </c>
      <c r="B1104">
        <v>20260208</v>
      </c>
      <c r="C1104" t="s">
        <v>25</v>
      </c>
      <c r="D1104" t="s">
        <v>21</v>
      </c>
      <c r="E1104" t="s">
        <v>51</v>
      </c>
      <c r="F1104">
        <v>10193</v>
      </c>
      <c r="G1104">
        <v>13485</v>
      </c>
      <c r="H1104">
        <v>1064</v>
      </c>
      <c r="I1104">
        <v>46</v>
      </c>
      <c r="J1104">
        <v>150</v>
      </c>
      <c r="K1104">
        <v>74</v>
      </c>
      <c r="L1104">
        <v>0</v>
      </c>
      <c r="M1104">
        <v>157</v>
      </c>
      <c r="N1104" s="1">
        <v>0.9375</v>
      </c>
      <c r="O1104" t="s">
        <v>34</v>
      </c>
    </row>
    <row r="1105" spans="1:15" x14ac:dyDescent="0.3">
      <c r="A1105" t="s">
        <v>1143</v>
      </c>
      <c r="B1105">
        <v>20250105</v>
      </c>
      <c r="C1105" t="s">
        <v>44</v>
      </c>
      <c r="D1105" t="s">
        <v>21</v>
      </c>
      <c r="E1105" t="s">
        <v>51</v>
      </c>
      <c r="F1105">
        <v>31636</v>
      </c>
      <c r="G1105">
        <v>51178</v>
      </c>
      <c r="H1105">
        <v>3244</v>
      </c>
      <c r="I1105">
        <v>342</v>
      </c>
      <c r="J1105">
        <v>111</v>
      </c>
      <c r="K1105">
        <v>506</v>
      </c>
      <c r="L1105">
        <v>0</v>
      </c>
      <c r="M1105">
        <v>185</v>
      </c>
      <c r="N1105" s="1">
        <v>0.70833333333333337</v>
      </c>
      <c r="O1105" t="s">
        <v>42</v>
      </c>
    </row>
    <row r="1106" spans="1:15" x14ac:dyDescent="0.3">
      <c r="A1106" t="s">
        <v>1144</v>
      </c>
      <c r="B1106">
        <v>20260409</v>
      </c>
      <c r="C1106" t="s">
        <v>25</v>
      </c>
      <c r="D1106" t="s">
        <v>29</v>
      </c>
      <c r="E1106" t="s">
        <v>18</v>
      </c>
      <c r="F1106">
        <v>14948</v>
      </c>
      <c r="G1106">
        <v>16019</v>
      </c>
      <c r="H1106">
        <v>462</v>
      </c>
      <c r="I1106">
        <v>38</v>
      </c>
      <c r="J1106">
        <v>35</v>
      </c>
      <c r="K1106">
        <v>19</v>
      </c>
      <c r="L1106">
        <v>0</v>
      </c>
      <c r="M1106">
        <v>155</v>
      </c>
      <c r="N1106" s="1">
        <v>0.73958333333333337</v>
      </c>
      <c r="O1106" t="s">
        <v>47</v>
      </c>
    </row>
    <row r="1107" spans="1:15" x14ac:dyDescent="0.3">
      <c r="A1107" t="s">
        <v>1145</v>
      </c>
      <c r="B1107">
        <v>20250326</v>
      </c>
      <c r="C1107" t="s">
        <v>25</v>
      </c>
      <c r="D1107" t="s">
        <v>36</v>
      </c>
      <c r="E1107" t="s">
        <v>46</v>
      </c>
      <c r="F1107">
        <v>10357</v>
      </c>
      <c r="G1107">
        <v>15375</v>
      </c>
      <c r="H1107">
        <v>737</v>
      </c>
      <c r="I1107">
        <v>63</v>
      </c>
      <c r="J1107">
        <v>122</v>
      </c>
      <c r="K1107">
        <v>76</v>
      </c>
      <c r="L1107">
        <v>4803</v>
      </c>
      <c r="M1107">
        <v>65</v>
      </c>
      <c r="N1107" s="1">
        <v>0.90625</v>
      </c>
      <c r="O1107" t="s">
        <v>23</v>
      </c>
    </row>
    <row r="1108" spans="1:15" x14ac:dyDescent="0.3">
      <c r="A1108" t="s">
        <v>1146</v>
      </c>
      <c r="B1108">
        <v>20250830</v>
      </c>
      <c r="C1108" t="s">
        <v>16</v>
      </c>
      <c r="E1108" t="s">
        <v>41</v>
      </c>
      <c r="F1108">
        <v>11041</v>
      </c>
      <c r="G1108">
        <v>13839</v>
      </c>
      <c r="H1108">
        <v>802</v>
      </c>
      <c r="I1108">
        <v>58</v>
      </c>
      <c r="J1108">
        <v>132</v>
      </c>
      <c r="K1108">
        <v>128</v>
      </c>
      <c r="L1108">
        <v>4919</v>
      </c>
      <c r="M1108">
        <v>190</v>
      </c>
      <c r="N1108" s="1">
        <v>0.82291666666666663</v>
      </c>
      <c r="O1108" t="s">
        <v>47</v>
      </c>
    </row>
    <row r="1109" spans="1:15" x14ac:dyDescent="0.3">
      <c r="A1109" t="s">
        <v>1147</v>
      </c>
      <c r="B1109">
        <v>20260803</v>
      </c>
      <c r="C1109" t="s">
        <v>16</v>
      </c>
      <c r="D1109" t="s">
        <v>61</v>
      </c>
      <c r="F1109">
        <v>17337</v>
      </c>
      <c r="G1109">
        <v>28312</v>
      </c>
      <c r="H1109">
        <v>1850</v>
      </c>
      <c r="I1109">
        <v>202</v>
      </c>
      <c r="J1109">
        <v>334</v>
      </c>
      <c r="K1109">
        <v>257</v>
      </c>
      <c r="L1109">
        <v>9592</v>
      </c>
      <c r="M1109">
        <v>181</v>
      </c>
      <c r="N1109" s="1">
        <v>0.5</v>
      </c>
      <c r="O1109" t="s">
        <v>38</v>
      </c>
    </row>
    <row r="1110" spans="1:15" x14ac:dyDescent="0.3">
      <c r="A1110" t="s">
        <v>1148</v>
      </c>
      <c r="B1110">
        <v>20260603</v>
      </c>
      <c r="C1110" t="s">
        <v>40</v>
      </c>
      <c r="D1110" t="s">
        <v>36</v>
      </c>
      <c r="E1110" t="s">
        <v>18</v>
      </c>
      <c r="F1110">
        <v>11740</v>
      </c>
      <c r="G1110">
        <v>17978</v>
      </c>
      <c r="H1110">
        <v>1114</v>
      </c>
      <c r="I1110">
        <v>155</v>
      </c>
      <c r="J1110">
        <v>129</v>
      </c>
      <c r="K1110">
        <v>42</v>
      </c>
      <c r="M1110">
        <v>51</v>
      </c>
      <c r="N1110" s="1">
        <v>0.9375</v>
      </c>
      <c r="O1110" t="s">
        <v>34</v>
      </c>
    </row>
    <row r="1111" spans="1:15" x14ac:dyDescent="0.3">
      <c r="A1111" t="s">
        <v>1149</v>
      </c>
      <c r="B1111">
        <v>20250611</v>
      </c>
      <c r="C1111" t="s">
        <v>40</v>
      </c>
      <c r="D1111" t="s">
        <v>29</v>
      </c>
      <c r="E1111" t="s">
        <v>18</v>
      </c>
      <c r="F1111">
        <v>34462</v>
      </c>
      <c r="G1111">
        <v>46720</v>
      </c>
      <c r="H1111">
        <v>4120</v>
      </c>
      <c r="I1111">
        <v>338</v>
      </c>
      <c r="J1111">
        <v>545</v>
      </c>
      <c r="K1111">
        <v>242</v>
      </c>
      <c r="L1111">
        <v>0</v>
      </c>
      <c r="M1111">
        <v>315</v>
      </c>
      <c r="N1111" s="1">
        <v>0.94791666666666663</v>
      </c>
      <c r="O1111" t="s">
        <v>49</v>
      </c>
    </row>
    <row r="1112" spans="1:15" x14ac:dyDescent="0.3">
      <c r="A1112" t="s">
        <v>1150</v>
      </c>
      <c r="B1112">
        <v>20260528</v>
      </c>
      <c r="C1112" t="s">
        <v>40</v>
      </c>
      <c r="D1112" t="s">
        <v>17</v>
      </c>
      <c r="E1112" t="s">
        <v>46</v>
      </c>
      <c r="F1112">
        <v>12486</v>
      </c>
      <c r="G1112">
        <v>18740</v>
      </c>
      <c r="H1112">
        <v>747</v>
      </c>
      <c r="J1112">
        <v>110</v>
      </c>
      <c r="K1112">
        <v>94</v>
      </c>
      <c r="L1112">
        <v>9123</v>
      </c>
      <c r="M1112">
        <v>124</v>
      </c>
      <c r="N1112" s="1">
        <v>0.36458333333333331</v>
      </c>
      <c r="O1112" t="s">
        <v>42</v>
      </c>
    </row>
    <row r="1113" spans="1:15" x14ac:dyDescent="0.3">
      <c r="A1113" t="s">
        <v>1151</v>
      </c>
      <c r="B1113">
        <v>20250729</v>
      </c>
      <c r="C1113" t="s">
        <v>16</v>
      </c>
      <c r="D1113" t="s">
        <v>21</v>
      </c>
      <c r="E1113" t="s">
        <v>18</v>
      </c>
      <c r="F1113">
        <v>18668</v>
      </c>
      <c r="G1113">
        <v>25071</v>
      </c>
      <c r="H1113">
        <v>1631</v>
      </c>
      <c r="I1113">
        <v>219</v>
      </c>
      <c r="J1113">
        <v>185</v>
      </c>
      <c r="K1113">
        <v>190</v>
      </c>
      <c r="L1113">
        <v>0</v>
      </c>
      <c r="M1113">
        <v>148</v>
      </c>
      <c r="N1113" s="1">
        <v>0.85416666666666663</v>
      </c>
      <c r="O1113" t="s">
        <v>19</v>
      </c>
    </row>
    <row r="1114" spans="1:15" x14ac:dyDescent="0.3">
      <c r="A1114" t="s">
        <v>1152</v>
      </c>
      <c r="B1114">
        <v>20250506</v>
      </c>
      <c r="C1114" t="s">
        <v>44</v>
      </c>
      <c r="D1114" t="s">
        <v>29</v>
      </c>
      <c r="E1114" t="s">
        <v>51</v>
      </c>
      <c r="F1114">
        <v>39379</v>
      </c>
      <c r="G1114">
        <v>54444</v>
      </c>
      <c r="H1114">
        <v>2348</v>
      </c>
      <c r="I1114">
        <v>219</v>
      </c>
      <c r="J1114">
        <v>418</v>
      </c>
      <c r="K1114">
        <v>209</v>
      </c>
      <c r="L1114">
        <v>0</v>
      </c>
      <c r="M1114">
        <v>574</v>
      </c>
      <c r="N1114" s="1">
        <v>0.72916666666666663</v>
      </c>
      <c r="O1114" t="s">
        <v>53</v>
      </c>
    </row>
    <row r="1115" spans="1:15" x14ac:dyDescent="0.3">
      <c r="A1115" t="s">
        <v>1153</v>
      </c>
      <c r="B1115">
        <v>20250416</v>
      </c>
      <c r="C1115" t="s">
        <v>16</v>
      </c>
      <c r="D1115" t="s">
        <v>33</v>
      </c>
      <c r="E1115" t="s">
        <v>51</v>
      </c>
      <c r="F1115">
        <v>63520</v>
      </c>
      <c r="G1115">
        <v>86381</v>
      </c>
      <c r="H1115">
        <v>4317</v>
      </c>
      <c r="I1115">
        <v>308</v>
      </c>
      <c r="J1115">
        <v>673</v>
      </c>
      <c r="K1115">
        <v>307</v>
      </c>
      <c r="L1115">
        <v>0</v>
      </c>
      <c r="M1115">
        <v>392</v>
      </c>
      <c r="N1115" s="1">
        <v>0.86458333333333337</v>
      </c>
      <c r="O1115" t="s">
        <v>47</v>
      </c>
    </row>
    <row r="1116" spans="1:15" x14ac:dyDescent="0.3">
      <c r="A1116" t="s">
        <v>1154</v>
      </c>
      <c r="B1116">
        <v>20260908</v>
      </c>
      <c r="C1116" t="s">
        <v>25</v>
      </c>
      <c r="D1116" t="s">
        <v>33</v>
      </c>
      <c r="E1116" t="s">
        <v>46</v>
      </c>
      <c r="F1116">
        <v>19949</v>
      </c>
      <c r="G1116">
        <v>32161</v>
      </c>
      <c r="H1116">
        <v>2276</v>
      </c>
      <c r="I1116">
        <v>108</v>
      </c>
      <c r="J1116">
        <v>304</v>
      </c>
      <c r="K1116">
        <v>276</v>
      </c>
      <c r="L1116">
        <v>15025</v>
      </c>
      <c r="M1116">
        <v>250</v>
      </c>
      <c r="N1116" s="1">
        <v>0.64583333333333337</v>
      </c>
      <c r="O1116" t="s">
        <v>38</v>
      </c>
    </row>
    <row r="1117" spans="1:15" x14ac:dyDescent="0.3">
      <c r="A1117" t="s">
        <v>1155</v>
      </c>
      <c r="B1117">
        <v>20260127</v>
      </c>
      <c r="C1117" t="s">
        <v>32</v>
      </c>
      <c r="D1117" t="s">
        <v>21</v>
      </c>
      <c r="E1117" t="s">
        <v>18</v>
      </c>
      <c r="F1117">
        <v>14506</v>
      </c>
      <c r="G1117">
        <v>19641</v>
      </c>
      <c r="H1117">
        <v>865</v>
      </c>
      <c r="I1117">
        <v>46</v>
      </c>
      <c r="J1117">
        <v>122</v>
      </c>
      <c r="K1117">
        <v>103</v>
      </c>
      <c r="L1117">
        <v>0</v>
      </c>
      <c r="M1117">
        <v>30</v>
      </c>
      <c r="N1117" s="1">
        <v>0.30208333333333331</v>
      </c>
      <c r="O1117" t="s">
        <v>30</v>
      </c>
    </row>
    <row r="1118" spans="1:15" x14ac:dyDescent="0.3">
      <c r="A1118" t="s">
        <v>1156</v>
      </c>
      <c r="B1118">
        <v>20250421</v>
      </c>
      <c r="C1118" t="s">
        <v>16</v>
      </c>
      <c r="D1118" t="s">
        <v>68</v>
      </c>
      <c r="E1118" t="s">
        <v>18</v>
      </c>
      <c r="F1118">
        <v>23718</v>
      </c>
      <c r="G1118">
        <v>36414</v>
      </c>
      <c r="H1118">
        <v>901</v>
      </c>
      <c r="I1118">
        <v>118</v>
      </c>
      <c r="J1118">
        <v>138</v>
      </c>
      <c r="K1118">
        <v>118</v>
      </c>
      <c r="L1118">
        <v>0</v>
      </c>
      <c r="M1118">
        <v>33</v>
      </c>
      <c r="N1118" s="1">
        <v>0.85416666666666663</v>
      </c>
      <c r="O1118" t="s">
        <v>27</v>
      </c>
    </row>
    <row r="1119" spans="1:15" x14ac:dyDescent="0.3">
      <c r="A1119" t="s">
        <v>1157</v>
      </c>
      <c r="B1119">
        <v>20260526</v>
      </c>
      <c r="C1119" t="s">
        <v>32</v>
      </c>
      <c r="D1119" t="s">
        <v>17</v>
      </c>
      <c r="E1119" t="s">
        <v>46</v>
      </c>
      <c r="F1119">
        <v>9282</v>
      </c>
      <c r="G1119">
        <v>12299</v>
      </c>
      <c r="H1119">
        <v>729</v>
      </c>
      <c r="I1119">
        <v>44</v>
      </c>
      <c r="J1119">
        <v>40</v>
      </c>
      <c r="K1119">
        <v>69</v>
      </c>
      <c r="L1119">
        <v>4077</v>
      </c>
      <c r="M1119">
        <v>45</v>
      </c>
      <c r="N1119" s="1">
        <v>0.39583333333333331</v>
      </c>
      <c r="O1119" t="s">
        <v>38</v>
      </c>
    </row>
    <row r="1120" spans="1:15" x14ac:dyDescent="0.3">
      <c r="A1120" t="s">
        <v>1158</v>
      </c>
      <c r="B1120">
        <v>20250325</v>
      </c>
      <c r="C1120" t="s">
        <v>16</v>
      </c>
      <c r="D1120" t="s">
        <v>61</v>
      </c>
      <c r="E1120" t="s">
        <v>22</v>
      </c>
      <c r="F1120">
        <v>11404</v>
      </c>
      <c r="G1120">
        <v>17309</v>
      </c>
      <c r="H1120">
        <v>1100</v>
      </c>
      <c r="I1120">
        <v>83</v>
      </c>
      <c r="J1120">
        <v>106</v>
      </c>
      <c r="K1120">
        <v>124</v>
      </c>
      <c r="L1120">
        <v>0</v>
      </c>
      <c r="M1120">
        <v>104</v>
      </c>
      <c r="N1120" s="1">
        <v>0.40625</v>
      </c>
      <c r="O1120" t="s">
        <v>42</v>
      </c>
    </row>
    <row r="1121" spans="1:15" x14ac:dyDescent="0.3">
      <c r="A1121" t="s">
        <v>1159</v>
      </c>
      <c r="B1121">
        <v>20260428</v>
      </c>
      <c r="C1121" t="s">
        <v>16</v>
      </c>
      <c r="D1121" t="s">
        <v>21</v>
      </c>
      <c r="E1121" t="s">
        <v>22</v>
      </c>
      <c r="F1121">
        <v>9288</v>
      </c>
      <c r="G1121">
        <v>14110</v>
      </c>
      <c r="H1121">
        <v>939</v>
      </c>
      <c r="I1121">
        <v>29</v>
      </c>
      <c r="J1121">
        <v>75</v>
      </c>
      <c r="K1121">
        <v>111</v>
      </c>
      <c r="L1121">
        <v>0</v>
      </c>
      <c r="M1121">
        <v>136</v>
      </c>
      <c r="N1121" s="1">
        <v>0.45833333333333331</v>
      </c>
      <c r="O1121" t="s">
        <v>47</v>
      </c>
    </row>
    <row r="1122" spans="1:15" x14ac:dyDescent="0.3">
      <c r="A1122" t="s">
        <v>1160</v>
      </c>
      <c r="B1122">
        <v>20250402</v>
      </c>
      <c r="C1122" t="s">
        <v>44</v>
      </c>
      <c r="D1122" t="s">
        <v>36</v>
      </c>
      <c r="E1122" t="s">
        <v>18</v>
      </c>
      <c r="F1122">
        <v>53186</v>
      </c>
      <c r="G1122">
        <v>72136</v>
      </c>
      <c r="H1122">
        <v>2475</v>
      </c>
      <c r="I1122">
        <v>144</v>
      </c>
      <c r="J1122">
        <v>281</v>
      </c>
      <c r="K1122">
        <v>205</v>
      </c>
      <c r="L1122">
        <v>0</v>
      </c>
      <c r="M1122">
        <v>818</v>
      </c>
      <c r="N1122" s="1">
        <v>0.92708333333333337</v>
      </c>
      <c r="O1122" t="s">
        <v>27</v>
      </c>
    </row>
    <row r="1123" spans="1:15" x14ac:dyDescent="0.3">
      <c r="A1123" t="s">
        <v>1161</v>
      </c>
      <c r="B1123">
        <v>20250327</v>
      </c>
      <c r="C1123" t="s">
        <v>32</v>
      </c>
      <c r="D1123" t="s">
        <v>29</v>
      </c>
      <c r="E1123" t="s">
        <v>46</v>
      </c>
      <c r="F1123">
        <v>27204</v>
      </c>
      <c r="G1123">
        <v>39690</v>
      </c>
      <c r="H1123">
        <v>3157</v>
      </c>
      <c r="I1123">
        <v>423</v>
      </c>
      <c r="J1123">
        <v>94</v>
      </c>
      <c r="K1123">
        <v>403</v>
      </c>
      <c r="L1123">
        <v>22670</v>
      </c>
      <c r="M1123">
        <v>282</v>
      </c>
      <c r="N1123" s="1">
        <v>0.29166666666666669</v>
      </c>
      <c r="O1123" t="s">
        <v>49</v>
      </c>
    </row>
    <row r="1124" spans="1:15" x14ac:dyDescent="0.3">
      <c r="A1124" t="s">
        <v>1162</v>
      </c>
      <c r="B1124">
        <v>20250216</v>
      </c>
      <c r="C1124" t="s">
        <v>25</v>
      </c>
      <c r="D1124" t="s">
        <v>21</v>
      </c>
      <c r="E1124" t="s">
        <v>41</v>
      </c>
      <c r="F1124">
        <v>22545</v>
      </c>
      <c r="G1124">
        <v>35667</v>
      </c>
      <c r="H1124">
        <v>2628</v>
      </c>
      <c r="I1124">
        <v>94</v>
      </c>
      <c r="J1124">
        <v>470</v>
      </c>
      <c r="K1124">
        <v>318</v>
      </c>
      <c r="L1124">
        <v>9013</v>
      </c>
      <c r="M1124">
        <v>303</v>
      </c>
      <c r="N1124" s="1">
        <v>0.58333333333333337</v>
      </c>
      <c r="O1124" t="s">
        <v>38</v>
      </c>
    </row>
    <row r="1125" spans="1:15" x14ac:dyDescent="0.3">
      <c r="A1125" t="s">
        <v>1163</v>
      </c>
      <c r="B1125">
        <v>20251002</v>
      </c>
      <c r="C1125" t="s">
        <v>16</v>
      </c>
      <c r="D1125" t="s">
        <v>68</v>
      </c>
      <c r="E1125" t="s">
        <v>41</v>
      </c>
      <c r="F1125">
        <v>57759</v>
      </c>
      <c r="G1125">
        <v>86184</v>
      </c>
      <c r="H1125">
        <v>5140</v>
      </c>
      <c r="I1125">
        <v>426</v>
      </c>
      <c r="J1125">
        <v>496</v>
      </c>
      <c r="K1125">
        <v>125</v>
      </c>
      <c r="L1125">
        <v>45148</v>
      </c>
      <c r="M1125">
        <v>738</v>
      </c>
      <c r="N1125" s="1">
        <v>0.42708333333333331</v>
      </c>
      <c r="O1125" t="s">
        <v>42</v>
      </c>
    </row>
    <row r="1126" spans="1:15" x14ac:dyDescent="0.3">
      <c r="A1126" t="s">
        <v>1164</v>
      </c>
      <c r="B1126">
        <v>20251103</v>
      </c>
      <c r="C1126" t="s">
        <v>16</v>
      </c>
      <c r="D1126" t="s">
        <v>36</v>
      </c>
      <c r="E1126" t="s">
        <v>46</v>
      </c>
      <c r="F1126">
        <v>43783</v>
      </c>
      <c r="G1126">
        <v>67716</v>
      </c>
      <c r="H1126">
        <v>4275</v>
      </c>
      <c r="I1126">
        <v>190</v>
      </c>
      <c r="J1126">
        <v>465</v>
      </c>
      <c r="K1126">
        <v>254</v>
      </c>
      <c r="L1126">
        <v>18098</v>
      </c>
      <c r="M1126">
        <v>460</v>
      </c>
      <c r="N1126" s="1">
        <v>0.42708333333333331</v>
      </c>
      <c r="O1126" t="s">
        <v>34</v>
      </c>
    </row>
    <row r="1127" spans="1:15" x14ac:dyDescent="0.3">
      <c r="A1127" t="s">
        <v>1165</v>
      </c>
      <c r="B1127">
        <v>20250204</v>
      </c>
      <c r="C1127" t="s">
        <v>40</v>
      </c>
      <c r="D1127" t="s">
        <v>21</v>
      </c>
      <c r="E1127" t="s">
        <v>26</v>
      </c>
      <c r="F1127">
        <v>24417</v>
      </c>
      <c r="G1127">
        <v>31127</v>
      </c>
      <c r="H1127">
        <v>1247</v>
      </c>
      <c r="I1127">
        <v>116</v>
      </c>
      <c r="J1127">
        <v>149</v>
      </c>
      <c r="K1127">
        <v>164</v>
      </c>
      <c r="L1127">
        <v>21325</v>
      </c>
      <c r="M1127">
        <v>270</v>
      </c>
      <c r="N1127" s="1">
        <v>0.48958333333333331</v>
      </c>
      <c r="O1127" t="s">
        <v>19</v>
      </c>
    </row>
    <row r="1128" spans="1:15" x14ac:dyDescent="0.3">
      <c r="A1128" t="s">
        <v>1166</v>
      </c>
      <c r="B1128">
        <v>20260413</v>
      </c>
      <c r="C1128" t="s">
        <v>40</v>
      </c>
      <c r="D1128" t="s">
        <v>17</v>
      </c>
      <c r="E1128" t="s">
        <v>26</v>
      </c>
      <c r="F1128">
        <v>12513</v>
      </c>
      <c r="G1128">
        <v>17713</v>
      </c>
      <c r="H1128">
        <v>713</v>
      </c>
      <c r="I1128">
        <v>95</v>
      </c>
      <c r="J1128">
        <v>44</v>
      </c>
      <c r="K1128">
        <v>81</v>
      </c>
      <c r="L1128">
        <v>8424</v>
      </c>
      <c r="M1128">
        <v>130</v>
      </c>
      <c r="N1128" s="1">
        <v>0.52083333333333337</v>
      </c>
      <c r="O1128" t="s">
        <v>42</v>
      </c>
    </row>
    <row r="1129" spans="1:15" x14ac:dyDescent="0.3">
      <c r="A1129" t="s">
        <v>1167</v>
      </c>
      <c r="B1129">
        <v>20260815</v>
      </c>
      <c r="C1129" t="s">
        <v>32</v>
      </c>
      <c r="D1129" t="s">
        <v>68</v>
      </c>
      <c r="E1129" t="s">
        <v>18</v>
      </c>
      <c r="F1129">
        <v>7168</v>
      </c>
      <c r="G1129">
        <v>10178</v>
      </c>
      <c r="H1129">
        <v>574</v>
      </c>
      <c r="I1129">
        <v>27</v>
      </c>
      <c r="J1129">
        <v>94</v>
      </c>
      <c r="K1129">
        <v>67</v>
      </c>
      <c r="L1129">
        <v>0</v>
      </c>
      <c r="M1129">
        <v>116</v>
      </c>
      <c r="N1129" s="1">
        <v>0.65625</v>
      </c>
      <c r="O1129" t="s">
        <v>30</v>
      </c>
    </row>
    <row r="1130" spans="1:15" x14ac:dyDescent="0.3">
      <c r="A1130" t="s">
        <v>1168</v>
      </c>
      <c r="B1130">
        <v>20260422</v>
      </c>
      <c r="C1130" t="s">
        <v>25</v>
      </c>
      <c r="D1130" t="s">
        <v>21</v>
      </c>
      <c r="E1130" t="s">
        <v>41</v>
      </c>
      <c r="F1130">
        <v>11146</v>
      </c>
      <c r="G1130">
        <v>12441</v>
      </c>
      <c r="H1130">
        <v>1015</v>
      </c>
      <c r="I1130">
        <v>64</v>
      </c>
      <c r="J1130">
        <v>75</v>
      </c>
      <c r="K1130">
        <v>72</v>
      </c>
      <c r="L1130">
        <v>7638</v>
      </c>
      <c r="M1130">
        <v>173</v>
      </c>
      <c r="N1130" s="1">
        <v>0.5</v>
      </c>
      <c r="O1130" t="s">
        <v>38</v>
      </c>
    </row>
    <row r="1131" spans="1:15" x14ac:dyDescent="0.3">
      <c r="A1131" t="s">
        <v>1169</v>
      </c>
      <c r="B1131">
        <v>20251105</v>
      </c>
      <c r="C1131" t="s">
        <v>32</v>
      </c>
      <c r="D1131" t="s">
        <v>17</v>
      </c>
      <c r="E1131" t="s">
        <v>18</v>
      </c>
      <c r="F1131">
        <v>6215</v>
      </c>
      <c r="G1131">
        <v>6992</v>
      </c>
      <c r="H1131">
        <v>563</v>
      </c>
      <c r="I1131">
        <v>22</v>
      </c>
      <c r="J1131">
        <v>73</v>
      </c>
      <c r="K1131">
        <v>48</v>
      </c>
      <c r="L1131">
        <v>0</v>
      </c>
      <c r="M1131">
        <v>38</v>
      </c>
      <c r="N1131" s="1">
        <v>0.90625</v>
      </c>
      <c r="O1131" t="s">
        <v>19</v>
      </c>
    </row>
    <row r="1132" spans="1:15" x14ac:dyDescent="0.3">
      <c r="A1132" t="s">
        <v>1170</v>
      </c>
      <c r="B1132">
        <v>20260804</v>
      </c>
      <c r="C1132" t="s">
        <v>40</v>
      </c>
      <c r="D1132" t="s">
        <v>21</v>
      </c>
      <c r="E1132" t="s">
        <v>26</v>
      </c>
      <c r="F1132">
        <v>8775</v>
      </c>
      <c r="G1132">
        <v>14302</v>
      </c>
      <c r="H1132">
        <v>382</v>
      </c>
      <c r="I1132">
        <v>46</v>
      </c>
      <c r="J1132">
        <v>39</v>
      </c>
      <c r="K1132">
        <v>50</v>
      </c>
      <c r="L1132">
        <v>6887</v>
      </c>
      <c r="M1132">
        <v>89</v>
      </c>
      <c r="N1132" s="1">
        <v>0.30208333333333331</v>
      </c>
      <c r="O1132" t="s">
        <v>38</v>
      </c>
    </row>
    <row r="1133" spans="1:15" x14ac:dyDescent="0.3">
      <c r="A1133" t="s">
        <v>1171</v>
      </c>
      <c r="B1133">
        <v>20250126</v>
      </c>
      <c r="C1133" t="s">
        <v>40</v>
      </c>
      <c r="D1133" t="s">
        <v>21</v>
      </c>
      <c r="E1133" t="s">
        <v>46</v>
      </c>
      <c r="F1133">
        <v>21989</v>
      </c>
      <c r="G1133">
        <v>34786</v>
      </c>
      <c r="H1133">
        <v>1325</v>
      </c>
      <c r="I1133">
        <v>107</v>
      </c>
      <c r="J1133">
        <v>124</v>
      </c>
      <c r="K1133">
        <v>174</v>
      </c>
      <c r="L1133">
        <v>14974</v>
      </c>
      <c r="M1133">
        <v>199</v>
      </c>
      <c r="N1133" s="1">
        <v>0.82291666666666663</v>
      </c>
      <c r="O1133" t="s">
        <v>30</v>
      </c>
    </row>
    <row r="1134" spans="1:15" x14ac:dyDescent="0.3">
      <c r="A1134" t="s">
        <v>1172</v>
      </c>
      <c r="B1134">
        <v>20251012</v>
      </c>
      <c r="C1134" t="s">
        <v>16</v>
      </c>
      <c r="D1134" t="s">
        <v>36</v>
      </c>
      <c r="E1134" t="s">
        <v>18</v>
      </c>
      <c r="F1134">
        <v>19006</v>
      </c>
      <c r="G1134">
        <v>28558</v>
      </c>
      <c r="H1134">
        <v>1347</v>
      </c>
      <c r="I1134">
        <v>67</v>
      </c>
      <c r="J1134">
        <v>131</v>
      </c>
      <c r="K1134">
        <v>126</v>
      </c>
      <c r="L1134">
        <v>0</v>
      </c>
      <c r="M1134">
        <v>84</v>
      </c>
      <c r="N1134" s="1">
        <v>0.53125</v>
      </c>
      <c r="O1134" t="s">
        <v>47</v>
      </c>
    </row>
    <row r="1135" spans="1:15" x14ac:dyDescent="0.3">
      <c r="A1135" t="s">
        <v>1173</v>
      </c>
      <c r="B1135">
        <v>20250814</v>
      </c>
      <c r="C1135" t="s">
        <v>40</v>
      </c>
      <c r="D1135" t="s">
        <v>21</v>
      </c>
      <c r="E1135" t="s">
        <v>51</v>
      </c>
      <c r="F1135">
        <v>17587</v>
      </c>
      <c r="G1135">
        <v>18972</v>
      </c>
      <c r="H1135">
        <v>846</v>
      </c>
      <c r="I1135">
        <v>32</v>
      </c>
      <c r="J1135">
        <v>51</v>
      </c>
      <c r="K1135">
        <v>82</v>
      </c>
      <c r="L1135">
        <v>0</v>
      </c>
      <c r="M1135">
        <v>160</v>
      </c>
      <c r="N1135" s="1">
        <v>0.86458333333333337</v>
      </c>
      <c r="O1135" t="s">
        <v>19</v>
      </c>
    </row>
    <row r="1136" spans="1:15" x14ac:dyDescent="0.3">
      <c r="A1136" t="s">
        <v>1174</v>
      </c>
      <c r="B1136">
        <v>20251015</v>
      </c>
      <c r="C1136" t="s">
        <v>32</v>
      </c>
      <c r="D1136" t="s">
        <v>29</v>
      </c>
      <c r="E1136" t="s">
        <v>26</v>
      </c>
      <c r="F1136">
        <v>13846</v>
      </c>
      <c r="G1136">
        <v>15226</v>
      </c>
      <c r="H1136">
        <v>1604</v>
      </c>
      <c r="I1136">
        <v>45</v>
      </c>
      <c r="J1136">
        <v>146</v>
      </c>
      <c r="K1136">
        <v>219</v>
      </c>
      <c r="L1136">
        <v>5269</v>
      </c>
      <c r="M1136">
        <v>107</v>
      </c>
      <c r="N1136" s="1">
        <v>0.6875</v>
      </c>
      <c r="O1136" t="s">
        <v>19</v>
      </c>
    </row>
    <row r="1137" spans="1:15" x14ac:dyDescent="0.3">
      <c r="A1137" t="s">
        <v>1175</v>
      </c>
      <c r="B1137">
        <v>20260611</v>
      </c>
      <c r="C1137" t="s">
        <v>16</v>
      </c>
      <c r="D1137" t="s">
        <v>61</v>
      </c>
      <c r="E1137" t="s">
        <v>46</v>
      </c>
      <c r="F1137">
        <v>42700</v>
      </c>
      <c r="G1137">
        <v>66965</v>
      </c>
      <c r="H1137">
        <v>2582</v>
      </c>
      <c r="I1137">
        <v>283</v>
      </c>
      <c r="J1137">
        <v>161</v>
      </c>
      <c r="K1137">
        <v>81</v>
      </c>
      <c r="L1137">
        <v>14997</v>
      </c>
      <c r="M1137">
        <v>645</v>
      </c>
      <c r="N1137" s="1">
        <v>0.69791666666666663</v>
      </c>
      <c r="O1137" t="s">
        <v>42</v>
      </c>
    </row>
    <row r="1138" spans="1:15" x14ac:dyDescent="0.3">
      <c r="A1138" t="s">
        <v>1176</v>
      </c>
      <c r="B1138">
        <v>20260110</v>
      </c>
      <c r="C1138" t="s">
        <v>44</v>
      </c>
      <c r="D1138" t="s">
        <v>21</v>
      </c>
      <c r="E1138" t="s">
        <v>26</v>
      </c>
      <c r="F1138">
        <v>14551</v>
      </c>
      <c r="G1138">
        <v>22715</v>
      </c>
      <c r="H1138">
        <v>1572</v>
      </c>
      <c r="I1138">
        <v>205</v>
      </c>
      <c r="J1138">
        <v>242</v>
      </c>
      <c r="K1138">
        <v>236</v>
      </c>
      <c r="L1138">
        <v>11571</v>
      </c>
      <c r="M1138">
        <v>48</v>
      </c>
      <c r="N1138" s="1">
        <v>0.53125</v>
      </c>
      <c r="O1138" t="s">
        <v>47</v>
      </c>
    </row>
    <row r="1139" spans="1:15" x14ac:dyDescent="0.3">
      <c r="A1139" t="s">
        <v>1177</v>
      </c>
      <c r="B1139">
        <v>20251130</v>
      </c>
      <c r="C1139" t="s">
        <v>32</v>
      </c>
      <c r="D1139" t="s">
        <v>33</v>
      </c>
      <c r="E1139" t="s">
        <v>18</v>
      </c>
      <c r="F1139">
        <v>14183</v>
      </c>
      <c r="G1139">
        <v>22772</v>
      </c>
      <c r="H1139">
        <v>1231</v>
      </c>
      <c r="I1139">
        <v>122</v>
      </c>
      <c r="J1139">
        <v>65</v>
      </c>
      <c r="K1139">
        <v>147</v>
      </c>
      <c r="L1139">
        <v>0</v>
      </c>
      <c r="M1139">
        <v>212</v>
      </c>
      <c r="N1139" s="1">
        <v>0.47916666666666669</v>
      </c>
      <c r="O1139" t="s">
        <v>38</v>
      </c>
    </row>
    <row r="1140" spans="1:15" x14ac:dyDescent="0.3">
      <c r="A1140" t="s">
        <v>1178</v>
      </c>
      <c r="B1140">
        <v>20250131</v>
      </c>
      <c r="C1140" t="s">
        <v>40</v>
      </c>
      <c r="D1140" t="s">
        <v>17</v>
      </c>
      <c r="E1140" t="s">
        <v>51</v>
      </c>
      <c r="F1140">
        <v>31767</v>
      </c>
      <c r="G1140">
        <v>50402</v>
      </c>
      <c r="H1140">
        <v>1125</v>
      </c>
      <c r="I1140">
        <v>57</v>
      </c>
      <c r="J1140">
        <v>112</v>
      </c>
      <c r="K1140">
        <v>90</v>
      </c>
      <c r="L1140">
        <v>0</v>
      </c>
      <c r="M1140">
        <v>239</v>
      </c>
      <c r="N1140" s="1">
        <v>0.5625</v>
      </c>
      <c r="O1140" t="s">
        <v>19</v>
      </c>
    </row>
    <row r="1141" spans="1:15" x14ac:dyDescent="0.3">
      <c r="A1141" t="s">
        <v>1179</v>
      </c>
      <c r="B1141">
        <v>20260808</v>
      </c>
      <c r="C1141" t="s">
        <v>40</v>
      </c>
      <c r="D1141" t="s">
        <v>17</v>
      </c>
      <c r="E1141" t="s">
        <v>26</v>
      </c>
      <c r="F1141">
        <v>5457</v>
      </c>
      <c r="G1141">
        <v>8972</v>
      </c>
      <c r="H1141">
        <v>450</v>
      </c>
      <c r="I1141">
        <v>13</v>
      </c>
      <c r="J1141">
        <v>52</v>
      </c>
      <c r="K1141">
        <v>36</v>
      </c>
      <c r="L1141">
        <v>3009</v>
      </c>
      <c r="M1141">
        <v>35</v>
      </c>
      <c r="N1141" s="1">
        <v>0.88541666666666663</v>
      </c>
    </row>
    <row r="1142" spans="1:15" x14ac:dyDescent="0.3">
      <c r="A1142" t="s">
        <v>1180</v>
      </c>
      <c r="B1142">
        <v>20250310</v>
      </c>
      <c r="C1142" t="s">
        <v>32</v>
      </c>
      <c r="D1142" t="s">
        <v>36</v>
      </c>
      <c r="E1142" t="s">
        <v>18</v>
      </c>
      <c r="F1142">
        <v>8674</v>
      </c>
      <c r="G1142">
        <v>9625</v>
      </c>
      <c r="H1142">
        <v>230</v>
      </c>
      <c r="I1142">
        <v>10</v>
      </c>
      <c r="J1142">
        <v>9</v>
      </c>
      <c r="K1142">
        <v>8</v>
      </c>
      <c r="L1142">
        <v>0</v>
      </c>
      <c r="M1142">
        <v>115</v>
      </c>
      <c r="N1142" s="1">
        <v>0.39583333333333331</v>
      </c>
      <c r="O1142" t="s">
        <v>53</v>
      </c>
    </row>
    <row r="1143" spans="1:15" x14ac:dyDescent="0.3">
      <c r="A1143" t="s">
        <v>1181</v>
      </c>
      <c r="B1143">
        <v>20251022</v>
      </c>
      <c r="C1143" t="s">
        <v>16</v>
      </c>
      <c r="D1143" t="s">
        <v>17</v>
      </c>
      <c r="E1143" t="s">
        <v>18</v>
      </c>
      <c r="F1143">
        <v>34518</v>
      </c>
      <c r="G1143">
        <v>56835</v>
      </c>
      <c r="H1143">
        <v>1400</v>
      </c>
      <c r="I1143">
        <v>86</v>
      </c>
      <c r="J1143">
        <v>252</v>
      </c>
      <c r="K1143">
        <v>148</v>
      </c>
      <c r="L1143">
        <v>0</v>
      </c>
      <c r="M1143">
        <v>520</v>
      </c>
      <c r="N1143" s="1">
        <v>0.80208333333333337</v>
      </c>
      <c r="O1143" t="s">
        <v>34</v>
      </c>
    </row>
    <row r="1144" spans="1:15" x14ac:dyDescent="0.3">
      <c r="A1144" t="s">
        <v>1182</v>
      </c>
      <c r="B1144">
        <v>20250904</v>
      </c>
      <c r="C1144" t="s">
        <v>16</v>
      </c>
      <c r="D1144" t="s">
        <v>21</v>
      </c>
      <c r="E1144" t="s">
        <v>41</v>
      </c>
      <c r="F1144">
        <v>38613</v>
      </c>
      <c r="G1144">
        <v>41328</v>
      </c>
      <c r="H1144">
        <v>1128</v>
      </c>
      <c r="I1144">
        <v>152</v>
      </c>
      <c r="J1144">
        <v>187</v>
      </c>
      <c r="K1144">
        <v>77</v>
      </c>
      <c r="L1144">
        <v>32942</v>
      </c>
      <c r="M1144">
        <v>95</v>
      </c>
      <c r="N1144" s="1">
        <v>0.34375</v>
      </c>
      <c r="O1144" t="s">
        <v>19</v>
      </c>
    </row>
    <row r="1145" spans="1:15" x14ac:dyDescent="0.3">
      <c r="A1145" t="s">
        <v>1183</v>
      </c>
      <c r="B1145">
        <v>20250414</v>
      </c>
      <c r="C1145" t="s">
        <v>32</v>
      </c>
      <c r="D1145" t="s">
        <v>61</v>
      </c>
      <c r="E1145" t="s">
        <v>26</v>
      </c>
      <c r="F1145">
        <v>4835</v>
      </c>
      <c r="G1145">
        <v>5080</v>
      </c>
      <c r="H1145">
        <v>227</v>
      </c>
      <c r="I1145">
        <v>31</v>
      </c>
      <c r="J1145">
        <v>26</v>
      </c>
      <c r="K1145">
        <v>17</v>
      </c>
      <c r="L1145">
        <v>3333</v>
      </c>
      <c r="M1145">
        <v>41</v>
      </c>
      <c r="N1145" s="1">
        <v>0.5625</v>
      </c>
      <c r="O1145" t="s">
        <v>38</v>
      </c>
    </row>
    <row r="1146" spans="1:15" x14ac:dyDescent="0.3">
      <c r="A1146" t="s">
        <v>1184</v>
      </c>
      <c r="B1146">
        <v>20250610</v>
      </c>
      <c r="C1146" t="s">
        <v>40</v>
      </c>
      <c r="D1146" t="s">
        <v>29</v>
      </c>
      <c r="E1146" t="s">
        <v>46</v>
      </c>
      <c r="F1146">
        <v>8833</v>
      </c>
      <c r="G1146">
        <v>12279</v>
      </c>
      <c r="H1146">
        <v>571</v>
      </c>
      <c r="I1146">
        <v>30</v>
      </c>
      <c r="J1146">
        <v>89</v>
      </c>
      <c r="K1146">
        <v>25</v>
      </c>
      <c r="L1146">
        <v>4117</v>
      </c>
      <c r="M1146">
        <v>25</v>
      </c>
      <c r="N1146" s="1">
        <v>0.92708333333333337</v>
      </c>
      <c r="O1146" t="s">
        <v>38</v>
      </c>
    </row>
    <row r="1147" spans="1:15" x14ac:dyDescent="0.3">
      <c r="A1147" t="s">
        <v>1185</v>
      </c>
      <c r="B1147">
        <v>20251121</v>
      </c>
      <c r="C1147" t="s">
        <v>25</v>
      </c>
      <c r="D1147" t="s">
        <v>61</v>
      </c>
      <c r="E1147" t="s">
        <v>46</v>
      </c>
      <c r="F1147">
        <v>22233</v>
      </c>
      <c r="G1147">
        <v>34961</v>
      </c>
      <c r="H1147">
        <v>2607</v>
      </c>
      <c r="I1147">
        <v>317</v>
      </c>
      <c r="J1147">
        <v>454</v>
      </c>
      <c r="K1147">
        <v>347</v>
      </c>
      <c r="L1147">
        <v>10105</v>
      </c>
      <c r="M1147">
        <v>302</v>
      </c>
      <c r="N1147" s="1">
        <v>0.61458333333333337</v>
      </c>
      <c r="O1147" t="s">
        <v>53</v>
      </c>
    </row>
    <row r="1148" spans="1:15" x14ac:dyDescent="0.3">
      <c r="A1148" t="s">
        <v>1186</v>
      </c>
      <c r="B1148">
        <v>20250831</v>
      </c>
      <c r="C1148" t="s">
        <v>16</v>
      </c>
      <c r="D1148" t="s">
        <v>61</v>
      </c>
      <c r="E1148" t="s">
        <v>26</v>
      </c>
      <c r="F1148">
        <v>42357</v>
      </c>
      <c r="G1148">
        <v>57027</v>
      </c>
      <c r="H1148">
        <v>1892</v>
      </c>
      <c r="I1148">
        <v>223</v>
      </c>
      <c r="J1148">
        <v>359</v>
      </c>
      <c r="K1148">
        <v>154</v>
      </c>
      <c r="L1148">
        <v>17621</v>
      </c>
      <c r="M1148">
        <v>596</v>
      </c>
      <c r="N1148" s="1">
        <v>0.89583333333333337</v>
      </c>
      <c r="O1148" t="s">
        <v>34</v>
      </c>
    </row>
    <row r="1149" spans="1:15" x14ac:dyDescent="0.3">
      <c r="A1149" t="s">
        <v>1187</v>
      </c>
      <c r="B1149">
        <v>20250209</v>
      </c>
      <c r="C1149" t="s">
        <v>16</v>
      </c>
      <c r="D1149" t="s">
        <v>29</v>
      </c>
      <c r="E1149" t="s">
        <v>46</v>
      </c>
      <c r="F1149">
        <v>63256</v>
      </c>
      <c r="G1149">
        <v>85247</v>
      </c>
      <c r="H1149">
        <v>3229</v>
      </c>
      <c r="I1149">
        <v>141</v>
      </c>
      <c r="J1149">
        <v>111</v>
      </c>
      <c r="K1149">
        <v>100</v>
      </c>
      <c r="L1149">
        <v>31994</v>
      </c>
      <c r="M1149">
        <v>838</v>
      </c>
      <c r="N1149" s="1">
        <v>0.53125</v>
      </c>
      <c r="O1149" t="s">
        <v>34</v>
      </c>
    </row>
    <row r="1150" spans="1:15" x14ac:dyDescent="0.3">
      <c r="A1150" t="s">
        <v>1188</v>
      </c>
      <c r="B1150">
        <v>20260226</v>
      </c>
      <c r="C1150" t="s">
        <v>16</v>
      </c>
      <c r="D1150" t="s">
        <v>17</v>
      </c>
      <c r="E1150" t="s">
        <v>46</v>
      </c>
      <c r="F1150">
        <v>17665</v>
      </c>
      <c r="G1150">
        <v>18959</v>
      </c>
      <c r="H1150">
        <v>1437</v>
      </c>
      <c r="I1150">
        <v>71</v>
      </c>
      <c r="J1150">
        <v>190</v>
      </c>
      <c r="K1150">
        <v>179</v>
      </c>
      <c r="L1150">
        <v>12978</v>
      </c>
      <c r="M1150">
        <v>298</v>
      </c>
      <c r="N1150" s="1">
        <v>0.3125</v>
      </c>
      <c r="O1150" t="s">
        <v>27</v>
      </c>
    </row>
    <row r="1151" spans="1:15" x14ac:dyDescent="0.3">
      <c r="A1151" t="s">
        <v>1189</v>
      </c>
      <c r="B1151">
        <v>20260508</v>
      </c>
      <c r="C1151" t="s">
        <v>32</v>
      </c>
      <c r="D1151" t="s">
        <v>17</v>
      </c>
      <c r="E1151" t="s">
        <v>41</v>
      </c>
      <c r="F1151">
        <v>8164</v>
      </c>
      <c r="G1151">
        <v>13214</v>
      </c>
      <c r="H1151">
        <v>929</v>
      </c>
      <c r="I1151">
        <v>90</v>
      </c>
      <c r="J1151">
        <v>34</v>
      </c>
      <c r="K1151">
        <v>116</v>
      </c>
      <c r="L1151">
        <v>4167</v>
      </c>
      <c r="M1151">
        <v>111</v>
      </c>
      <c r="N1151" s="1">
        <v>0.71875</v>
      </c>
      <c r="O1151" t="s">
        <v>34</v>
      </c>
    </row>
    <row r="1152" spans="1:15" x14ac:dyDescent="0.3">
      <c r="A1152" t="s">
        <v>1190</v>
      </c>
      <c r="B1152">
        <v>20260519</v>
      </c>
      <c r="C1152" t="s">
        <v>44</v>
      </c>
      <c r="D1152" t="s">
        <v>33</v>
      </c>
      <c r="E1152" t="s">
        <v>46</v>
      </c>
      <c r="F1152">
        <v>147131</v>
      </c>
      <c r="G1152">
        <v>188172</v>
      </c>
      <c r="H1152">
        <v>10491</v>
      </c>
      <c r="I1152">
        <v>548</v>
      </c>
      <c r="J1152">
        <v>801</v>
      </c>
      <c r="K1152">
        <v>617</v>
      </c>
      <c r="L1152">
        <v>131005</v>
      </c>
      <c r="M1152">
        <v>1196</v>
      </c>
      <c r="N1152" s="1">
        <v>0.76041666666666663</v>
      </c>
      <c r="O1152" t="s">
        <v>53</v>
      </c>
    </row>
    <row r="1153" spans="1:15" x14ac:dyDescent="0.3">
      <c r="A1153" t="s">
        <v>1191</v>
      </c>
      <c r="B1153">
        <v>20260121</v>
      </c>
      <c r="C1153" t="s">
        <v>44</v>
      </c>
      <c r="D1153" t="s">
        <v>61</v>
      </c>
      <c r="E1153" t="s">
        <v>46</v>
      </c>
      <c r="F1153">
        <v>138721</v>
      </c>
      <c r="G1153">
        <v>211674</v>
      </c>
      <c r="H1153">
        <v>15203</v>
      </c>
      <c r="I1153">
        <v>1732</v>
      </c>
      <c r="J1153">
        <v>1139</v>
      </c>
      <c r="K1153">
        <v>915</v>
      </c>
      <c r="L1153">
        <v>90918</v>
      </c>
      <c r="M1153">
        <v>1227</v>
      </c>
      <c r="N1153" s="1">
        <v>0.34375</v>
      </c>
      <c r="O1153" t="s">
        <v>23</v>
      </c>
    </row>
    <row r="1154" spans="1:15" x14ac:dyDescent="0.3">
      <c r="A1154" t="s">
        <v>1192</v>
      </c>
      <c r="B1154">
        <v>20260926</v>
      </c>
      <c r="C1154" t="s">
        <v>32</v>
      </c>
      <c r="E1154" t="s">
        <v>46</v>
      </c>
      <c r="F1154">
        <v>14905</v>
      </c>
      <c r="G1154">
        <v>18896</v>
      </c>
      <c r="H1154">
        <v>1760</v>
      </c>
      <c r="I1154">
        <v>108</v>
      </c>
      <c r="J1154">
        <v>347</v>
      </c>
      <c r="K1154">
        <v>75</v>
      </c>
      <c r="L1154">
        <v>11651</v>
      </c>
      <c r="M1154">
        <v>76</v>
      </c>
      <c r="N1154" s="1">
        <v>0.91666666666666663</v>
      </c>
      <c r="O1154" t="s">
        <v>19</v>
      </c>
    </row>
    <row r="1155" spans="1:15" x14ac:dyDescent="0.3">
      <c r="A1155" t="s">
        <v>1193</v>
      </c>
      <c r="B1155">
        <v>20260405</v>
      </c>
      <c r="C1155" t="s">
        <v>44</v>
      </c>
      <c r="D1155" t="s">
        <v>17</v>
      </c>
      <c r="E1155" t="s">
        <v>46</v>
      </c>
      <c r="F1155">
        <v>40700</v>
      </c>
      <c r="G1155">
        <v>56575</v>
      </c>
      <c r="H1155">
        <v>2907</v>
      </c>
      <c r="I1155">
        <v>135</v>
      </c>
      <c r="J1155">
        <v>489</v>
      </c>
      <c r="K1155">
        <v>292</v>
      </c>
      <c r="L1155">
        <v>27262</v>
      </c>
      <c r="M1155">
        <v>40</v>
      </c>
      <c r="N1155" s="1">
        <v>0.33333333333333331</v>
      </c>
      <c r="O1155" t="s">
        <v>30</v>
      </c>
    </row>
    <row r="1156" spans="1:15" x14ac:dyDescent="0.3">
      <c r="A1156" t="s">
        <v>1194</v>
      </c>
      <c r="B1156">
        <v>20250720</v>
      </c>
      <c r="C1156" t="s">
        <v>16</v>
      </c>
      <c r="D1156" t="s">
        <v>61</v>
      </c>
      <c r="E1156" t="s">
        <v>41</v>
      </c>
      <c r="F1156">
        <v>69675</v>
      </c>
      <c r="G1156">
        <v>97202</v>
      </c>
      <c r="H1156">
        <v>5187</v>
      </c>
      <c r="I1156">
        <v>364</v>
      </c>
      <c r="J1156">
        <v>758</v>
      </c>
      <c r="K1156">
        <v>791</v>
      </c>
      <c r="L1156">
        <v>31669</v>
      </c>
      <c r="M1156">
        <v>612</v>
      </c>
      <c r="N1156" s="1">
        <v>0.61458333333333337</v>
      </c>
      <c r="O1156" t="s">
        <v>47</v>
      </c>
    </row>
    <row r="1157" spans="1:15" x14ac:dyDescent="0.3">
      <c r="A1157" t="s">
        <v>1195</v>
      </c>
      <c r="B1157">
        <v>20260927</v>
      </c>
      <c r="C1157" t="s">
        <v>40</v>
      </c>
      <c r="D1157" t="s">
        <v>61</v>
      </c>
      <c r="E1157" t="s">
        <v>18</v>
      </c>
      <c r="F1157">
        <v>29250</v>
      </c>
      <c r="G1157">
        <v>42537</v>
      </c>
      <c r="H1157">
        <v>2530</v>
      </c>
      <c r="I1157">
        <v>282</v>
      </c>
      <c r="J1157">
        <v>456</v>
      </c>
      <c r="K1157">
        <v>271</v>
      </c>
      <c r="L1157">
        <v>0</v>
      </c>
      <c r="M1157">
        <v>62</v>
      </c>
      <c r="N1157" s="1">
        <v>0.86458333333333337</v>
      </c>
      <c r="O1157" t="s">
        <v>27</v>
      </c>
    </row>
    <row r="1158" spans="1:15" x14ac:dyDescent="0.3">
      <c r="A1158" t="s">
        <v>1196</v>
      </c>
      <c r="B1158">
        <v>20250612</v>
      </c>
      <c r="C1158" t="s">
        <v>16</v>
      </c>
      <c r="D1158" t="s">
        <v>17</v>
      </c>
      <c r="E1158" t="s">
        <v>51</v>
      </c>
      <c r="F1158">
        <v>15262</v>
      </c>
      <c r="G1158">
        <v>22503</v>
      </c>
      <c r="H1158">
        <v>1222</v>
      </c>
      <c r="I1158">
        <v>33</v>
      </c>
      <c r="J1158">
        <v>141</v>
      </c>
      <c r="K1158">
        <v>145</v>
      </c>
      <c r="L1158">
        <v>0</v>
      </c>
      <c r="M1158">
        <v>202</v>
      </c>
      <c r="N1158" s="1">
        <v>0.375</v>
      </c>
      <c r="O1158" t="s">
        <v>49</v>
      </c>
    </row>
    <row r="1159" spans="1:15" x14ac:dyDescent="0.3">
      <c r="A1159" t="s">
        <v>1197</v>
      </c>
      <c r="B1159">
        <v>20250908</v>
      </c>
      <c r="C1159" t="s">
        <v>44</v>
      </c>
      <c r="D1159" t="s">
        <v>17</v>
      </c>
      <c r="E1159" t="s">
        <v>51</v>
      </c>
      <c r="F1159">
        <v>43222</v>
      </c>
      <c r="G1159">
        <v>60184</v>
      </c>
      <c r="H1159">
        <v>4549</v>
      </c>
      <c r="I1159">
        <v>394</v>
      </c>
      <c r="J1159">
        <v>444</v>
      </c>
      <c r="K1159">
        <v>223</v>
      </c>
      <c r="L1159">
        <v>0</v>
      </c>
      <c r="M1159">
        <v>91</v>
      </c>
      <c r="N1159" s="1">
        <v>0.73958333333333337</v>
      </c>
      <c r="O1159" t="s">
        <v>38</v>
      </c>
    </row>
    <row r="1160" spans="1:15" x14ac:dyDescent="0.3">
      <c r="A1160" t="s">
        <v>1198</v>
      </c>
      <c r="B1160">
        <v>20250209</v>
      </c>
      <c r="C1160" t="s">
        <v>40</v>
      </c>
      <c r="D1160" t="s">
        <v>33</v>
      </c>
      <c r="E1160" t="s">
        <v>46</v>
      </c>
      <c r="F1160">
        <v>17951</v>
      </c>
      <c r="G1160">
        <v>20366</v>
      </c>
      <c r="H1160">
        <v>915</v>
      </c>
      <c r="I1160">
        <v>49</v>
      </c>
      <c r="J1160">
        <v>98</v>
      </c>
      <c r="K1160">
        <v>37</v>
      </c>
      <c r="L1160">
        <v>14963</v>
      </c>
      <c r="M1160">
        <v>88</v>
      </c>
      <c r="N1160" s="1">
        <v>0.8125</v>
      </c>
      <c r="O1160" t="s">
        <v>47</v>
      </c>
    </row>
    <row r="1161" spans="1:15" x14ac:dyDescent="0.3">
      <c r="A1161" t="s">
        <v>1199</v>
      </c>
      <c r="B1161">
        <v>20260728</v>
      </c>
      <c r="C1161" t="s">
        <v>16</v>
      </c>
      <c r="D1161" t="s">
        <v>36</v>
      </c>
      <c r="E1161" t="s">
        <v>51</v>
      </c>
      <c r="F1161">
        <v>11052</v>
      </c>
      <c r="G1161">
        <v>17167</v>
      </c>
      <c r="H1161">
        <v>534</v>
      </c>
      <c r="I1161">
        <v>17</v>
      </c>
      <c r="J1161">
        <v>67</v>
      </c>
      <c r="K1161">
        <v>50</v>
      </c>
      <c r="L1161">
        <v>0</v>
      </c>
      <c r="M1161">
        <v>163</v>
      </c>
      <c r="N1161" s="1">
        <v>0.33333333333333331</v>
      </c>
      <c r="O1161" t="s">
        <v>23</v>
      </c>
    </row>
    <row r="1162" spans="1:15" x14ac:dyDescent="0.3">
      <c r="A1162" t="s">
        <v>1200</v>
      </c>
      <c r="B1162">
        <v>20250129</v>
      </c>
      <c r="C1162" t="s">
        <v>44</v>
      </c>
      <c r="D1162" t="s">
        <v>33</v>
      </c>
      <c r="E1162" t="s">
        <v>18</v>
      </c>
      <c r="F1162">
        <v>14479</v>
      </c>
      <c r="G1162">
        <v>17138</v>
      </c>
      <c r="H1162">
        <v>1418</v>
      </c>
      <c r="I1162">
        <v>48</v>
      </c>
      <c r="J1162">
        <v>175</v>
      </c>
      <c r="K1162">
        <v>204</v>
      </c>
      <c r="L1162">
        <v>0</v>
      </c>
      <c r="M1162">
        <v>115</v>
      </c>
      <c r="N1162" s="1">
        <v>0.79166666666666663</v>
      </c>
      <c r="O1162" t="s">
        <v>49</v>
      </c>
    </row>
    <row r="1163" spans="1:15" x14ac:dyDescent="0.3">
      <c r="A1163" t="s">
        <v>1201</v>
      </c>
      <c r="B1163">
        <v>20260315</v>
      </c>
      <c r="C1163" t="s">
        <v>44</v>
      </c>
      <c r="D1163" t="s">
        <v>33</v>
      </c>
      <c r="E1163" t="s">
        <v>51</v>
      </c>
      <c r="F1163">
        <v>66948</v>
      </c>
      <c r="G1163">
        <v>110056</v>
      </c>
      <c r="H1163">
        <v>6739</v>
      </c>
      <c r="I1163">
        <v>429</v>
      </c>
      <c r="J1163">
        <v>943</v>
      </c>
      <c r="K1163">
        <v>693</v>
      </c>
      <c r="L1163">
        <v>0</v>
      </c>
      <c r="M1163">
        <v>285</v>
      </c>
      <c r="N1163" s="1">
        <v>0.4375</v>
      </c>
      <c r="O1163" t="s">
        <v>53</v>
      </c>
    </row>
    <row r="1164" spans="1:15" x14ac:dyDescent="0.3">
      <c r="A1164" t="s">
        <v>1202</v>
      </c>
      <c r="B1164">
        <v>20250120</v>
      </c>
      <c r="C1164" t="s">
        <v>16</v>
      </c>
      <c r="D1164" t="s">
        <v>21</v>
      </c>
      <c r="E1164" t="s">
        <v>46</v>
      </c>
      <c r="F1164">
        <v>61331</v>
      </c>
      <c r="G1164">
        <v>98927</v>
      </c>
      <c r="H1164">
        <v>4134</v>
      </c>
      <c r="I1164">
        <v>294</v>
      </c>
      <c r="J1164">
        <v>809</v>
      </c>
      <c r="K1164">
        <v>422</v>
      </c>
      <c r="L1164">
        <v>30615</v>
      </c>
      <c r="M1164">
        <v>196</v>
      </c>
      <c r="N1164" s="1">
        <v>0.40625</v>
      </c>
      <c r="O1164" t="s">
        <v>34</v>
      </c>
    </row>
    <row r="1165" spans="1:15" x14ac:dyDescent="0.3">
      <c r="A1165" t="s">
        <v>1203</v>
      </c>
      <c r="B1165">
        <v>20250609</v>
      </c>
      <c r="C1165" t="s">
        <v>40</v>
      </c>
      <c r="D1165" t="s">
        <v>21</v>
      </c>
      <c r="E1165" t="s">
        <v>41</v>
      </c>
      <c r="F1165">
        <v>23390</v>
      </c>
      <c r="G1165">
        <v>28926</v>
      </c>
      <c r="H1165">
        <v>1796</v>
      </c>
      <c r="I1165">
        <v>231</v>
      </c>
      <c r="J1165">
        <v>236</v>
      </c>
      <c r="K1165">
        <v>201</v>
      </c>
      <c r="L1165">
        <v>17181</v>
      </c>
      <c r="M1165">
        <v>154</v>
      </c>
      <c r="N1165" s="1">
        <v>0.85416666666666663</v>
      </c>
      <c r="O1165" t="s">
        <v>53</v>
      </c>
    </row>
    <row r="1166" spans="1:15" x14ac:dyDescent="0.3">
      <c r="A1166" t="s">
        <v>1204</v>
      </c>
      <c r="B1166">
        <v>20250913</v>
      </c>
      <c r="C1166" t="s">
        <v>44</v>
      </c>
      <c r="D1166" t="s">
        <v>21</v>
      </c>
      <c r="E1166" t="s">
        <v>18</v>
      </c>
      <c r="F1166">
        <v>37965</v>
      </c>
      <c r="G1166">
        <v>55616</v>
      </c>
      <c r="H1166">
        <v>1840</v>
      </c>
      <c r="I1166">
        <v>248</v>
      </c>
      <c r="J1166">
        <v>115</v>
      </c>
      <c r="K1166">
        <v>99</v>
      </c>
      <c r="L1166">
        <v>0</v>
      </c>
      <c r="M1166">
        <v>579</v>
      </c>
      <c r="N1166" s="1">
        <v>0.5</v>
      </c>
      <c r="O1166" t="s">
        <v>42</v>
      </c>
    </row>
    <row r="1167" spans="1:15" x14ac:dyDescent="0.3">
      <c r="A1167" t="s">
        <v>1205</v>
      </c>
      <c r="B1167">
        <v>20251210</v>
      </c>
      <c r="C1167" t="s">
        <v>32</v>
      </c>
      <c r="D1167" t="s">
        <v>21</v>
      </c>
      <c r="E1167" t="s">
        <v>46</v>
      </c>
      <c r="F1167">
        <v>22696</v>
      </c>
      <c r="G1167">
        <v>34854</v>
      </c>
      <c r="H1167">
        <v>1863</v>
      </c>
      <c r="I1167">
        <v>260</v>
      </c>
      <c r="J1167">
        <v>56</v>
      </c>
      <c r="K1167">
        <v>107</v>
      </c>
      <c r="L1167">
        <v>19665</v>
      </c>
      <c r="M1167">
        <v>65</v>
      </c>
      <c r="N1167" s="1">
        <v>0.45833333333333331</v>
      </c>
      <c r="O1167" t="s">
        <v>53</v>
      </c>
    </row>
    <row r="1168" spans="1:15" x14ac:dyDescent="0.3">
      <c r="A1168" t="s">
        <v>1206</v>
      </c>
      <c r="B1168">
        <v>20260423</v>
      </c>
      <c r="C1168" t="s">
        <v>16</v>
      </c>
      <c r="D1168" t="s">
        <v>17</v>
      </c>
      <c r="E1168" t="s">
        <v>18</v>
      </c>
      <c r="F1168">
        <v>68100</v>
      </c>
      <c r="G1168">
        <v>104190</v>
      </c>
      <c r="H1168">
        <v>3801</v>
      </c>
      <c r="I1168">
        <v>269</v>
      </c>
      <c r="J1168">
        <v>603</v>
      </c>
      <c r="K1168">
        <v>319</v>
      </c>
      <c r="L1168">
        <v>0</v>
      </c>
      <c r="M1168">
        <v>139</v>
      </c>
      <c r="N1168" s="1">
        <v>0.60416666666666663</v>
      </c>
      <c r="O1168" t="s">
        <v>38</v>
      </c>
    </row>
    <row r="1169" spans="1:15" x14ac:dyDescent="0.3">
      <c r="A1169" t="s">
        <v>1207</v>
      </c>
      <c r="B1169">
        <v>20250529</v>
      </c>
      <c r="C1169" t="s">
        <v>16</v>
      </c>
      <c r="D1169" t="s">
        <v>17</v>
      </c>
      <c r="E1169" t="s">
        <v>51</v>
      </c>
      <c r="F1169">
        <v>14380</v>
      </c>
      <c r="G1169">
        <v>17106</v>
      </c>
      <c r="H1169">
        <v>1239</v>
      </c>
      <c r="I1169">
        <v>122</v>
      </c>
      <c r="J1169">
        <v>144</v>
      </c>
      <c r="K1169">
        <v>183</v>
      </c>
      <c r="L1169">
        <v>0</v>
      </c>
      <c r="M1169">
        <v>202</v>
      </c>
      <c r="N1169" s="1">
        <v>0.30208333333333331</v>
      </c>
      <c r="O1169" t="s">
        <v>47</v>
      </c>
    </row>
    <row r="1170" spans="1:15" x14ac:dyDescent="0.3">
      <c r="A1170" t="s">
        <v>1208</v>
      </c>
      <c r="B1170">
        <v>20251010</v>
      </c>
      <c r="C1170" t="s">
        <v>44</v>
      </c>
      <c r="D1170" t="s">
        <v>68</v>
      </c>
      <c r="E1170" t="s">
        <v>22</v>
      </c>
      <c r="F1170">
        <v>13919</v>
      </c>
      <c r="G1170">
        <v>18393</v>
      </c>
      <c r="H1170">
        <v>667</v>
      </c>
      <c r="I1170">
        <v>54</v>
      </c>
      <c r="J1170">
        <v>58</v>
      </c>
      <c r="K1170">
        <v>39</v>
      </c>
      <c r="L1170">
        <v>0</v>
      </c>
      <c r="M1170">
        <v>117</v>
      </c>
      <c r="N1170" s="1">
        <v>0.94791666666666663</v>
      </c>
      <c r="O1170" t="s">
        <v>53</v>
      </c>
    </row>
    <row r="1171" spans="1:15" x14ac:dyDescent="0.3">
      <c r="A1171" t="s">
        <v>1209</v>
      </c>
      <c r="B1171">
        <v>20260605</v>
      </c>
      <c r="C1171" t="s">
        <v>32</v>
      </c>
      <c r="D1171" t="s">
        <v>36</v>
      </c>
      <c r="E1171" t="s">
        <v>26</v>
      </c>
      <c r="F1171">
        <v>6087</v>
      </c>
      <c r="G1171">
        <v>9115</v>
      </c>
      <c r="H1171">
        <v>391</v>
      </c>
      <c r="I1171">
        <v>44</v>
      </c>
      <c r="J1171">
        <v>15</v>
      </c>
      <c r="K1171">
        <v>13</v>
      </c>
      <c r="L1171">
        <v>4916</v>
      </c>
      <c r="M1171">
        <v>19</v>
      </c>
      <c r="N1171" s="1">
        <v>0.55208333333333337</v>
      </c>
      <c r="O1171" t="s">
        <v>49</v>
      </c>
    </row>
    <row r="1172" spans="1:15" x14ac:dyDescent="0.3">
      <c r="A1172" t="s">
        <v>1210</v>
      </c>
      <c r="B1172">
        <v>20250410</v>
      </c>
      <c r="C1172" t="s">
        <v>16</v>
      </c>
      <c r="D1172" t="s">
        <v>68</v>
      </c>
      <c r="E1172" t="s">
        <v>18</v>
      </c>
      <c r="F1172">
        <v>20394</v>
      </c>
      <c r="G1172">
        <v>32923</v>
      </c>
      <c r="H1172">
        <v>882</v>
      </c>
      <c r="I1172">
        <v>67</v>
      </c>
      <c r="J1172">
        <v>161</v>
      </c>
      <c r="K1172">
        <v>136</v>
      </c>
      <c r="L1172">
        <v>0</v>
      </c>
      <c r="M1172">
        <v>177</v>
      </c>
      <c r="N1172" s="1">
        <v>0.80208333333333337</v>
      </c>
      <c r="O1172" t="s">
        <v>34</v>
      </c>
    </row>
    <row r="1173" spans="1:15" x14ac:dyDescent="0.3">
      <c r="A1173" t="s">
        <v>1211</v>
      </c>
      <c r="B1173">
        <v>20260809</v>
      </c>
      <c r="C1173" t="s">
        <v>40</v>
      </c>
      <c r="D1173" t="s">
        <v>68</v>
      </c>
      <c r="E1173" t="s">
        <v>46</v>
      </c>
      <c r="F1173">
        <v>17988</v>
      </c>
      <c r="G1173">
        <v>21142</v>
      </c>
      <c r="H1173">
        <v>1914</v>
      </c>
      <c r="I1173">
        <v>145</v>
      </c>
      <c r="J1173">
        <v>106</v>
      </c>
      <c r="K1173">
        <v>183</v>
      </c>
      <c r="L1173">
        <v>11460</v>
      </c>
      <c r="M1173">
        <v>303</v>
      </c>
      <c r="N1173" s="1">
        <v>0.9375</v>
      </c>
      <c r="O1173" t="s">
        <v>42</v>
      </c>
    </row>
    <row r="1174" spans="1:15" x14ac:dyDescent="0.3">
      <c r="A1174" t="s">
        <v>1212</v>
      </c>
      <c r="B1174">
        <v>20251208</v>
      </c>
      <c r="C1174" t="s">
        <v>16</v>
      </c>
      <c r="D1174" t="s">
        <v>17</v>
      </c>
      <c r="E1174" t="s">
        <v>18</v>
      </c>
      <c r="F1174">
        <v>16483</v>
      </c>
      <c r="G1174">
        <v>18317</v>
      </c>
      <c r="H1174">
        <v>1179</v>
      </c>
      <c r="I1174">
        <v>79</v>
      </c>
      <c r="J1174">
        <v>202</v>
      </c>
      <c r="K1174">
        <v>157</v>
      </c>
      <c r="L1174">
        <v>0</v>
      </c>
      <c r="M1174">
        <v>203</v>
      </c>
      <c r="N1174" s="1">
        <v>0.88541666666666663</v>
      </c>
      <c r="O1174" t="s">
        <v>30</v>
      </c>
    </row>
    <row r="1175" spans="1:15" x14ac:dyDescent="0.3">
      <c r="A1175" t="s">
        <v>1213</v>
      </c>
      <c r="B1175">
        <v>20250517</v>
      </c>
      <c r="C1175" t="s">
        <v>25</v>
      </c>
      <c r="D1175" t="s">
        <v>21</v>
      </c>
      <c r="E1175" t="s">
        <v>41</v>
      </c>
      <c r="F1175">
        <v>10605</v>
      </c>
      <c r="G1175">
        <v>15037</v>
      </c>
      <c r="H1175">
        <v>487</v>
      </c>
      <c r="I1175">
        <v>21</v>
      </c>
      <c r="J1175">
        <v>66</v>
      </c>
      <c r="K1175">
        <v>21</v>
      </c>
      <c r="L1175">
        <v>6565</v>
      </c>
      <c r="M1175">
        <v>163</v>
      </c>
      <c r="N1175" s="1">
        <v>0.75</v>
      </c>
      <c r="O1175" t="s">
        <v>27</v>
      </c>
    </row>
    <row r="1176" spans="1:15" x14ac:dyDescent="0.3">
      <c r="A1176" t="s">
        <v>1214</v>
      </c>
      <c r="B1176">
        <v>20250531</v>
      </c>
      <c r="C1176" t="s">
        <v>16</v>
      </c>
      <c r="D1176" t="s">
        <v>68</v>
      </c>
      <c r="E1176" t="s">
        <v>41</v>
      </c>
      <c r="F1176">
        <v>43975</v>
      </c>
      <c r="G1176">
        <v>52561</v>
      </c>
      <c r="H1176">
        <v>3367</v>
      </c>
      <c r="I1176">
        <v>126</v>
      </c>
      <c r="J1176">
        <v>665</v>
      </c>
      <c r="K1176">
        <v>490</v>
      </c>
      <c r="L1176">
        <v>21263</v>
      </c>
      <c r="M1176">
        <v>431</v>
      </c>
      <c r="N1176" s="1">
        <v>0.63541666666666663</v>
      </c>
      <c r="O1176" t="s">
        <v>30</v>
      </c>
    </row>
    <row r="1177" spans="1:15" x14ac:dyDescent="0.3">
      <c r="A1177" t="s">
        <v>1215</v>
      </c>
      <c r="B1177">
        <v>20250921</v>
      </c>
      <c r="C1177" t="s">
        <v>32</v>
      </c>
      <c r="D1177" t="s">
        <v>21</v>
      </c>
      <c r="E1177" t="s">
        <v>22</v>
      </c>
      <c r="F1177">
        <v>4873</v>
      </c>
      <c r="G1177">
        <v>7173</v>
      </c>
      <c r="H1177">
        <v>437</v>
      </c>
      <c r="I1177">
        <v>14</v>
      </c>
      <c r="J1177">
        <v>63</v>
      </c>
      <c r="K1177">
        <v>34</v>
      </c>
      <c r="L1177">
        <v>0</v>
      </c>
      <c r="M1177">
        <v>60</v>
      </c>
      <c r="N1177" s="1">
        <v>0.35416666666666669</v>
      </c>
      <c r="O1177" t="s">
        <v>19</v>
      </c>
    </row>
    <row r="1178" spans="1:15" x14ac:dyDescent="0.3">
      <c r="A1178" t="s">
        <v>1216</v>
      </c>
      <c r="B1178">
        <v>20251022</v>
      </c>
      <c r="C1178" t="s">
        <v>16</v>
      </c>
      <c r="D1178" t="s">
        <v>21</v>
      </c>
      <c r="E1178" t="s">
        <v>26</v>
      </c>
      <c r="F1178">
        <v>54105</v>
      </c>
      <c r="G1178">
        <v>76246</v>
      </c>
      <c r="H1178">
        <v>6251</v>
      </c>
      <c r="I1178">
        <v>645</v>
      </c>
      <c r="J1178">
        <v>881</v>
      </c>
      <c r="K1178">
        <v>137</v>
      </c>
      <c r="L1178">
        <v>35577</v>
      </c>
      <c r="M1178">
        <v>161</v>
      </c>
      <c r="N1178" s="1">
        <v>0.94791666666666663</v>
      </c>
      <c r="O1178" t="s">
        <v>38</v>
      </c>
    </row>
    <row r="1179" spans="1:15" x14ac:dyDescent="0.3">
      <c r="A1179" t="s">
        <v>1217</v>
      </c>
      <c r="B1179">
        <v>20260928</v>
      </c>
      <c r="C1179" t="s">
        <v>16</v>
      </c>
      <c r="D1179" t="s">
        <v>36</v>
      </c>
      <c r="E1179" t="s">
        <v>46</v>
      </c>
      <c r="F1179">
        <v>37403</v>
      </c>
      <c r="G1179">
        <v>54092</v>
      </c>
      <c r="H1179">
        <v>4482</v>
      </c>
      <c r="I1179">
        <v>335</v>
      </c>
      <c r="J1179">
        <v>738</v>
      </c>
      <c r="K1179">
        <v>209</v>
      </c>
      <c r="L1179">
        <v>16283</v>
      </c>
      <c r="M1179">
        <v>516</v>
      </c>
      <c r="N1179" s="1">
        <v>0.44791666666666669</v>
      </c>
      <c r="O1179" t="s">
        <v>23</v>
      </c>
    </row>
    <row r="1180" spans="1:15" x14ac:dyDescent="0.3">
      <c r="A1180" t="s">
        <v>1218</v>
      </c>
      <c r="B1180">
        <v>20250108</v>
      </c>
      <c r="C1180" t="s">
        <v>25</v>
      </c>
      <c r="D1180" t="s">
        <v>68</v>
      </c>
      <c r="E1180" t="s">
        <v>46</v>
      </c>
      <c r="F1180">
        <v>20913</v>
      </c>
      <c r="G1180">
        <v>23606</v>
      </c>
      <c r="H1180">
        <v>1924</v>
      </c>
      <c r="I1180">
        <v>63</v>
      </c>
      <c r="J1180">
        <v>101</v>
      </c>
      <c r="K1180">
        <v>128</v>
      </c>
      <c r="L1180">
        <v>15094</v>
      </c>
      <c r="M1180">
        <v>331</v>
      </c>
      <c r="N1180" s="1">
        <v>0.79166666666666663</v>
      </c>
      <c r="O1180" t="s">
        <v>38</v>
      </c>
    </row>
    <row r="1181" spans="1:15" x14ac:dyDescent="0.3">
      <c r="A1181" t="s">
        <v>1219</v>
      </c>
      <c r="B1181">
        <v>20250228</v>
      </c>
      <c r="C1181" t="s">
        <v>16</v>
      </c>
      <c r="D1181" t="s">
        <v>61</v>
      </c>
      <c r="E1181" t="s">
        <v>51</v>
      </c>
      <c r="F1181">
        <v>35608</v>
      </c>
      <c r="G1181">
        <v>47918</v>
      </c>
      <c r="H1181">
        <v>2278</v>
      </c>
      <c r="I1181">
        <v>288</v>
      </c>
      <c r="J1181">
        <v>143</v>
      </c>
      <c r="K1181">
        <v>361</v>
      </c>
      <c r="L1181">
        <v>0</v>
      </c>
      <c r="M1181">
        <v>198</v>
      </c>
      <c r="N1181" s="1">
        <v>0.30208333333333331</v>
      </c>
      <c r="O1181" t="s">
        <v>34</v>
      </c>
    </row>
    <row r="1182" spans="1:15" x14ac:dyDescent="0.3">
      <c r="A1182" t="s">
        <v>1220</v>
      </c>
      <c r="B1182">
        <v>20250803</v>
      </c>
      <c r="C1182" t="s">
        <v>44</v>
      </c>
      <c r="D1182" t="s">
        <v>17</v>
      </c>
      <c r="E1182" t="s">
        <v>46</v>
      </c>
      <c r="F1182">
        <v>43614</v>
      </c>
      <c r="G1182">
        <v>63373</v>
      </c>
      <c r="H1182">
        <v>3943</v>
      </c>
      <c r="I1182">
        <v>515</v>
      </c>
      <c r="J1182">
        <v>750</v>
      </c>
      <c r="K1182">
        <v>392</v>
      </c>
      <c r="L1182">
        <v>32759</v>
      </c>
      <c r="M1182">
        <v>50</v>
      </c>
      <c r="N1182" s="1">
        <v>0.41666666666666669</v>
      </c>
      <c r="O1182" t="s">
        <v>38</v>
      </c>
    </row>
    <row r="1183" spans="1:15" x14ac:dyDescent="0.3">
      <c r="A1183" t="s">
        <v>1221</v>
      </c>
      <c r="B1183">
        <v>20250804</v>
      </c>
      <c r="C1183" t="s">
        <v>16</v>
      </c>
      <c r="D1183" t="s">
        <v>21</v>
      </c>
      <c r="E1183" t="s">
        <v>41</v>
      </c>
      <c r="F1183">
        <v>36652</v>
      </c>
      <c r="G1183">
        <v>52665</v>
      </c>
      <c r="H1183">
        <v>3614</v>
      </c>
      <c r="I1183">
        <v>353</v>
      </c>
      <c r="J1183">
        <v>634</v>
      </c>
      <c r="K1183">
        <v>181</v>
      </c>
      <c r="L1183">
        <v>16052</v>
      </c>
      <c r="M1183">
        <v>129</v>
      </c>
      <c r="N1183" s="1">
        <v>0.33333333333333331</v>
      </c>
      <c r="O1183" t="s">
        <v>23</v>
      </c>
    </row>
    <row r="1184" spans="1:15" x14ac:dyDescent="0.3">
      <c r="A1184" t="s">
        <v>1222</v>
      </c>
      <c r="B1184">
        <v>20250811</v>
      </c>
      <c r="C1184" t="s">
        <v>25</v>
      </c>
      <c r="D1184" t="s">
        <v>29</v>
      </c>
      <c r="E1184" t="s">
        <v>41</v>
      </c>
      <c r="F1184">
        <v>22061</v>
      </c>
      <c r="G1184">
        <v>25030</v>
      </c>
      <c r="H1184">
        <v>1255</v>
      </c>
      <c r="I1184">
        <v>88</v>
      </c>
      <c r="J1184">
        <v>40</v>
      </c>
      <c r="K1184">
        <v>32</v>
      </c>
      <c r="L1184">
        <v>11419</v>
      </c>
      <c r="M1184">
        <v>81</v>
      </c>
      <c r="N1184" s="1">
        <v>0.83333333333333337</v>
      </c>
      <c r="O1184" t="s">
        <v>38</v>
      </c>
    </row>
    <row r="1185" spans="1:15" x14ac:dyDescent="0.3">
      <c r="A1185" t="s">
        <v>1223</v>
      </c>
      <c r="B1185">
        <v>20260111</v>
      </c>
      <c r="C1185" t="s">
        <v>40</v>
      </c>
      <c r="D1185" t="s">
        <v>33</v>
      </c>
      <c r="E1185" t="s">
        <v>41</v>
      </c>
      <c r="F1185">
        <v>47365</v>
      </c>
      <c r="G1185">
        <v>59504</v>
      </c>
      <c r="H1185">
        <v>1941</v>
      </c>
      <c r="I1185">
        <v>248</v>
      </c>
      <c r="J1185">
        <v>257</v>
      </c>
      <c r="K1185">
        <v>80</v>
      </c>
      <c r="L1185">
        <v>34438</v>
      </c>
      <c r="M1185">
        <v>300</v>
      </c>
      <c r="N1185" s="1">
        <v>0.32291666666666669</v>
      </c>
      <c r="O1185" t="s">
        <v>49</v>
      </c>
    </row>
    <row r="1186" spans="1:15" x14ac:dyDescent="0.3">
      <c r="A1186" t="s">
        <v>1224</v>
      </c>
      <c r="B1186">
        <v>20260525</v>
      </c>
      <c r="C1186" t="s">
        <v>16</v>
      </c>
      <c r="D1186" t="s">
        <v>36</v>
      </c>
      <c r="E1186" t="s">
        <v>18</v>
      </c>
      <c r="F1186">
        <v>13529</v>
      </c>
      <c r="G1186">
        <v>16586</v>
      </c>
      <c r="H1186">
        <v>525</v>
      </c>
      <c r="I1186">
        <v>32</v>
      </c>
      <c r="J1186">
        <v>75</v>
      </c>
      <c r="K1186">
        <v>62</v>
      </c>
      <c r="L1186">
        <v>0</v>
      </c>
      <c r="M1186">
        <v>209</v>
      </c>
      <c r="N1186" s="1">
        <v>0.60416666666666663</v>
      </c>
      <c r="O1186" t="s">
        <v>23</v>
      </c>
    </row>
    <row r="1187" spans="1:15" x14ac:dyDescent="0.3">
      <c r="A1187" t="s">
        <v>1225</v>
      </c>
      <c r="B1187">
        <v>20250122</v>
      </c>
      <c r="C1187" t="s">
        <v>16</v>
      </c>
      <c r="D1187" t="s">
        <v>17</v>
      </c>
      <c r="E1187" t="s">
        <v>51</v>
      </c>
      <c r="F1187">
        <v>32682</v>
      </c>
      <c r="G1187">
        <v>39758</v>
      </c>
      <c r="H1187">
        <v>1807</v>
      </c>
      <c r="I1187">
        <v>134</v>
      </c>
      <c r="J1187">
        <v>211</v>
      </c>
      <c r="K1187">
        <v>109</v>
      </c>
      <c r="L1187">
        <v>0</v>
      </c>
      <c r="M1187">
        <v>419</v>
      </c>
      <c r="N1187" s="1">
        <v>0.78125</v>
      </c>
      <c r="O1187" t="s">
        <v>47</v>
      </c>
    </row>
    <row r="1188" spans="1:15" x14ac:dyDescent="0.3">
      <c r="A1188" t="s">
        <v>1226</v>
      </c>
      <c r="B1188">
        <v>20250509</v>
      </c>
      <c r="C1188" t="s">
        <v>44</v>
      </c>
      <c r="D1188" t="s">
        <v>68</v>
      </c>
      <c r="E1188" t="s">
        <v>22</v>
      </c>
      <c r="F1188">
        <v>31364</v>
      </c>
      <c r="G1188">
        <v>40939</v>
      </c>
      <c r="H1188">
        <v>1770</v>
      </c>
      <c r="I1188">
        <v>163</v>
      </c>
      <c r="J1188">
        <v>254</v>
      </c>
      <c r="K1188">
        <v>46</v>
      </c>
      <c r="L1188">
        <v>0</v>
      </c>
      <c r="M1188">
        <v>160</v>
      </c>
      <c r="N1188" s="1">
        <v>0.57291666666666663</v>
      </c>
      <c r="O1188" t="s">
        <v>34</v>
      </c>
    </row>
    <row r="1189" spans="1:15" x14ac:dyDescent="0.3">
      <c r="A1189" t="s">
        <v>1227</v>
      </c>
      <c r="B1189">
        <v>20260207</v>
      </c>
      <c r="C1189" t="s">
        <v>25</v>
      </c>
      <c r="D1189" t="s">
        <v>68</v>
      </c>
      <c r="E1189" t="s">
        <v>51</v>
      </c>
      <c r="F1189">
        <v>12983</v>
      </c>
      <c r="G1189">
        <v>20115</v>
      </c>
      <c r="H1189">
        <v>1001</v>
      </c>
      <c r="I1189">
        <v>36</v>
      </c>
      <c r="J1189">
        <v>33</v>
      </c>
      <c r="K1189">
        <v>93</v>
      </c>
      <c r="L1189">
        <v>0</v>
      </c>
      <c r="M1189">
        <v>120</v>
      </c>
      <c r="N1189" s="1">
        <v>0.4375</v>
      </c>
      <c r="O1189" t="s">
        <v>49</v>
      </c>
    </row>
    <row r="1190" spans="1:15" x14ac:dyDescent="0.3">
      <c r="A1190" t="s">
        <v>1228</v>
      </c>
      <c r="B1190">
        <v>20260915</v>
      </c>
      <c r="C1190" t="s">
        <v>44</v>
      </c>
      <c r="D1190" t="s">
        <v>21</v>
      </c>
      <c r="E1190" t="s">
        <v>22</v>
      </c>
      <c r="F1190">
        <v>47713</v>
      </c>
      <c r="G1190">
        <v>53113</v>
      </c>
      <c r="H1190">
        <v>3121</v>
      </c>
      <c r="I1190">
        <v>379</v>
      </c>
      <c r="J1190">
        <v>234</v>
      </c>
      <c r="K1190">
        <v>349</v>
      </c>
      <c r="L1190">
        <v>0</v>
      </c>
      <c r="M1190">
        <v>93</v>
      </c>
      <c r="N1190" s="1">
        <v>0.66666666666666663</v>
      </c>
      <c r="O1190" t="s">
        <v>53</v>
      </c>
    </row>
    <row r="1191" spans="1:15" x14ac:dyDescent="0.3">
      <c r="A1191" t="s">
        <v>1229</v>
      </c>
      <c r="B1191">
        <v>20260902</v>
      </c>
      <c r="C1191" t="s">
        <v>44</v>
      </c>
      <c r="D1191" t="s">
        <v>36</v>
      </c>
      <c r="E1191" t="s">
        <v>18</v>
      </c>
      <c r="F1191">
        <v>42655</v>
      </c>
      <c r="G1191">
        <v>53410</v>
      </c>
      <c r="H1191">
        <v>5011</v>
      </c>
      <c r="I1191">
        <v>514</v>
      </c>
      <c r="J1191">
        <v>917</v>
      </c>
      <c r="K1191">
        <v>334</v>
      </c>
      <c r="L1191">
        <v>0</v>
      </c>
      <c r="M1191">
        <v>721</v>
      </c>
      <c r="N1191" s="1">
        <v>0.77083333333333337</v>
      </c>
      <c r="O1191" t="s">
        <v>47</v>
      </c>
    </row>
    <row r="1192" spans="1:15" x14ac:dyDescent="0.3">
      <c r="A1192" t="s">
        <v>1230</v>
      </c>
      <c r="B1192">
        <v>20260205</v>
      </c>
      <c r="C1192" t="s">
        <v>44</v>
      </c>
      <c r="D1192" t="s">
        <v>21</v>
      </c>
      <c r="E1192" t="s">
        <v>46</v>
      </c>
      <c r="F1192">
        <v>43910</v>
      </c>
      <c r="G1192">
        <v>67171</v>
      </c>
      <c r="H1192">
        <v>2452</v>
      </c>
      <c r="I1192">
        <v>196</v>
      </c>
      <c r="J1192">
        <v>432</v>
      </c>
      <c r="K1192">
        <v>66</v>
      </c>
      <c r="L1192">
        <v>31531</v>
      </c>
      <c r="M1192">
        <v>514</v>
      </c>
      <c r="N1192" s="1">
        <v>0.29166666666666669</v>
      </c>
      <c r="O1192" t="s">
        <v>42</v>
      </c>
    </row>
    <row r="1193" spans="1:15" x14ac:dyDescent="0.3">
      <c r="A1193" t="s">
        <v>1231</v>
      </c>
      <c r="B1193">
        <v>20251126</v>
      </c>
      <c r="C1193" t="s">
        <v>32</v>
      </c>
      <c r="D1193" t="s">
        <v>36</v>
      </c>
      <c r="E1193" t="s">
        <v>26</v>
      </c>
      <c r="F1193">
        <v>8654</v>
      </c>
      <c r="G1193">
        <v>10400</v>
      </c>
      <c r="H1193">
        <v>678</v>
      </c>
      <c r="I1193">
        <v>65</v>
      </c>
      <c r="J1193">
        <v>96</v>
      </c>
      <c r="K1193">
        <v>16</v>
      </c>
      <c r="L1193">
        <v>5677</v>
      </c>
      <c r="M1193">
        <v>128</v>
      </c>
      <c r="N1193" s="1">
        <v>0.72916666666666663</v>
      </c>
      <c r="O1193" t="s">
        <v>23</v>
      </c>
    </row>
    <row r="1194" spans="1:15" x14ac:dyDescent="0.3">
      <c r="A1194" t="s">
        <v>1232</v>
      </c>
      <c r="B1194">
        <v>20250803</v>
      </c>
      <c r="C1194" t="s">
        <v>16</v>
      </c>
      <c r="D1194" t="s">
        <v>29</v>
      </c>
      <c r="E1194" t="s">
        <v>51</v>
      </c>
      <c r="F1194">
        <v>38650</v>
      </c>
      <c r="G1194">
        <v>45863</v>
      </c>
      <c r="H1194">
        <v>1990</v>
      </c>
      <c r="I1194">
        <v>144</v>
      </c>
      <c r="J1194">
        <v>324</v>
      </c>
      <c r="K1194">
        <v>263</v>
      </c>
      <c r="L1194">
        <v>0</v>
      </c>
      <c r="M1194">
        <v>275</v>
      </c>
      <c r="N1194" s="1">
        <v>0.4375</v>
      </c>
      <c r="O1194" t="s">
        <v>19</v>
      </c>
    </row>
    <row r="1195" spans="1:15" x14ac:dyDescent="0.3">
      <c r="A1195" t="s">
        <v>1233</v>
      </c>
      <c r="B1195">
        <v>20260508</v>
      </c>
      <c r="C1195" t="s">
        <v>25</v>
      </c>
      <c r="D1195" t="s">
        <v>17</v>
      </c>
      <c r="E1195" t="s">
        <v>18</v>
      </c>
      <c r="F1195">
        <v>8310</v>
      </c>
      <c r="G1195">
        <v>8726</v>
      </c>
      <c r="H1195">
        <v>904</v>
      </c>
      <c r="I1195">
        <v>116</v>
      </c>
      <c r="J1195">
        <v>72</v>
      </c>
      <c r="K1195">
        <v>109</v>
      </c>
      <c r="L1195">
        <v>0</v>
      </c>
      <c r="M1195">
        <v>139</v>
      </c>
      <c r="N1195" s="1">
        <v>0.41666666666666669</v>
      </c>
      <c r="O1195" t="s">
        <v>27</v>
      </c>
    </row>
    <row r="1196" spans="1:15" x14ac:dyDescent="0.3">
      <c r="A1196" t="s">
        <v>1234</v>
      </c>
      <c r="B1196">
        <v>20260313</v>
      </c>
      <c r="C1196" t="s">
        <v>16</v>
      </c>
      <c r="D1196" t="s">
        <v>33</v>
      </c>
      <c r="E1196" t="s">
        <v>51</v>
      </c>
      <c r="F1196">
        <v>37696</v>
      </c>
      <c r="G1196">
        <v>45163</v>
      </c>
      <c r="H1196">
        <v>3230</v>
      </c>
      <c r="I1196">
        <v>447</v>
      </c>
      <c r="J1196">
        <v>358</v>
      </c>
      <c r="K1196">
        <v>241</v>
      </c>
      <c r="L1196">
        <v>0</v>
      </c>
      <c r="M1196">
        <v>98</v>
      </c>
      <c r="N1196" s="1">
        <v>0.64583333333333337</v>
      </c>
      <c r="O1196" t="s">
        <v>42</v>
      </c>
    </row>
    <row r="1197" spans="1:15" x14ac:dyDescent="0.3">
      <c r="A1197" t="s">
        <v>1235</v>
      </c>
      <c r="B1197">
        <v>20250224</v>
      </c>
      <c r="C1197" t="s">
        <v>16</v>
      </c>
      <c r="D1197" t="s">
        <v>33</v>
      </c>
      <c r="E1197" t="s">
        <v>46</v>
      </c>
      <c r="F1197">
        <v>16140</v>
      </c>
      <c r="G1197">
        <v>23005</v>
      </c>
      <c r="H1197">
        <v>1482</v>
      </c>
      <c r="I1197">
        <v>93</v>
      </c>
      <c r="J1197">
        <v>146</v>
      </c>
      <c r="K1197">
        <v>127</v>
      </c>
      <c r="L1197">
        <v>10707</v>
      </c>
      <c r="M1197">
        <v>248</v>
      </c>
      <c r="N1197" s="1">
        <v>0.54166666666666663</v>
      </c>
      <c r="O1197" t="s">
        <v>30</v>
      </c>
    </row>
    <row r="1198" spans="1:15" x14ac:dyDescent="0.3">
      <c r="A1198" t="s">
        <v>1236</v>
      </c>
      <c r="B1198">
        <v>20260304</v>
      </c>
      <c r="C1198" t="s">
        <v>44</v>
      </c>
      <c r="D1198" t="s">
        <v>36</v>
      </c>
      <c r="E1198" t="s">
        <v>18</v>
      </c>
      <c r="F1198">
        <v>53226</v>
      </c>
      <c r="G1198">
        <v>71589</v>
      </c>
      <c r="H1198">
        <v>3215</v>
      </c>
      <c r="I1198">
        <v>432</v>
      </c>
      <c r="J1198">
        <v>393</v>
      </c>
      <c r="K1198">
        <v>151</v>
      </c>
      <c r="L1198">
        <v>0</v>
      </c>
      <c r="M1198">
        <v>556</v>
      </c>
      <c r="N1198" s="1">
        <v>0.30208333333333331</v>
      </c>
      <c r="O1198" t="s">
        <v>30</v>
      </c>
    </row>
    <row r="1199" spans="1:15" x14ac:dyDescent="0.3">
      <c r="A1199" t="s">
        <v>1237</v>
      </c>
      <c r="B1199">
        <v>20260222</v>
      </c>
      <c r="C1199" t="s">
        <v>16</v>
      </c>
      <c r="D1199" t="s">
        <v>21</v>
      </c>
      <c r="E1199" t="s">
        <v>18</v>
      </c>
      <c r="F1199">
        <v>9978</v>
      </c>
      <c r="G1199">
        <v>16410</v>
      </c>
      <c r="H1199">
        <v>801</v>
      </c>
      <c r="I1199">
        <v>28</v>
      </c>
      <c r="J1199">
        <v>43</v>
      </c>
      <c r="K1199">
        <v>80</v>
      </c>
      <c r="L1199">
        <v>0</v>
      </c>
      <c r="M1199">
        <v>159</v>
      </c>
      <c r="N1199" s="1">
        <v>0.72916666666666663</v>
      </c>
      <c r="O1199" t="s">
        <v>49</v>
      </c>
    </row>
    <row r="1200" spans="1:15" x14ac:dyDescent="0.3">
      <c r="A1200" t="s">
        <v>1238</v>
      </c>
      <c r="B1200">
        <v>20250112</v>
      </c>
      <c r="C1200" t="s">
        <v>44</v>
      </c>
      <c r="D1200" t="s">
        <v>29</v>
      </c>
      <c r="E1200" t="s">
        <v>26</v>
      </c>
      <c r="F1200">
        <v>20028</v>
      </c>
      <c r="G1200">
        <v>24179</v>
      </c>
      <c r="H1200">
        <v>2152</v>
      </c>
      <c r="I1200">
        <v>193</v>
      </c>
      <c r="J1200">
        <v>136</v>
      </c>
      <c r="K1200">
        <v>81</v>
      </c>
      <c r="L1200">
        <v>13465</v>
      </c>
      <c r="M1200">
        <v>56</v>
      </c>
      <c r="N1200" s="1">
        <v>0.86458333333333337</v>
      </c>
      <c r="O1200" t="s">
        <v>27</v>
      </c>
    </row>
    <row r="1201" spans="1:15" x14ac:dyDescent="0.3">
      <c r="A1201" t="s">
        <v>1239</v>
      </c>
      <c r="B1201">
        <v>20250208</v>
      </c>
      <c r="C1201" t="s">
        <v>44</v>
      </c>
      <c r="D1201" t="s">
        <v>17</v>
      </c>
      <c r="E1201" t="s">
        <v>22</v>
      </c>
      <c r="F1201">
        <v>24670</v>
      </c>
      <c r="G1201">
        <v>30342</v>
      </c>
      <c r="H1201">
        <v>2090</v>
      </c>
      <c r="I1201">
        <v>229</v>
      </c>
      <c r="J1201">
        <v>183</v>
      </c>
      <c r="K1201">
        <v>175</v>
      </c>
      <c r="L1201">
        <v>0</v>
      </c>
      <c r="M1201">
        <v>178</v>
      </c>
      <c r="N1201" s="1">
        <v>0.36458333333333331</v>
      </c>
      <c r="O1201" t="s">
        <v>34</v>
      </c>
    </row>
    <row r="1202" spans="1:15" x14ac:dyDescent="0.3">
      <c r="A1202" t="s">
        <v>1240</v>
      </c>
      <c r="B1202">
        <v>20250331</v>
      </c>
      <c r="C1202" t="s">
        <v>32</v>
      </c>
      <c r="D1202" t="s">
        <v>21</v>
      </c>
      <c r="E1202" t="s">
        <v>18</v>
      </c>
      <c r="F1202">
        <v>7540</v>
      </c>
      <c r="G1202">
        <v>12380</v>
      </c>
      <c r="H1202">
        <v>786</v>
      </c>
      <c r="I1202">
        <v>67</v>
      </c>
      <c r="J1202">
        <v>40</v>
      </c>
      <c r="K1202">
        <v>86</v>
      </c>
      <c r="L1202">
        <v>0</v>
      </c>
      <c r="M1202">
        <v>92</v>
      </c>
      <c r="N1202" s="1">
        <v>0.69791666666666663</v>
      </c>
      <c r="O1202" t="s">
        <v>19</v>
      </c>
    </row>
    <row r="1203" spans="1:15" x14ac:dyDescent="0.3">
      <c r="A1203" t="s">
        <v>1241</v>
      </c>
      <c r="B1203">
        <v>20260203</v>
      </c>
      <c r="C1203" t="s">
        <v>16</v>
      </c>
      <c r="D1203" t="s">
        <v>21</v>
      </c>
      <c r="E1203" t="s">
        <v>41</v>
      </c>
      <c r="F1203">
        <v>20632</v>
      </c>
      <c r="G1203">
        <v>33429</v>
      </c>
      <c r="H1203">
        <v>1684</v>
      </c>
      <c r="I1203">
        <v>218</v>
      </c>
      <c r="J1203">
        <v>269</v>
      </c>
      <c r="K1203">
        <v>118</v>
      </c>
      <c r="L1203">
        <v>11136</v>
      </c>
      <c r="M1203">
        <v>304</v>
      </c>
      <c r="N1203" s="1">
        <v>0.79166666666666663</v>
      </c>
      <c r="O1203" t="s">
        <v>49</v>
      </c>
    </row>
    <row r="1204" spans="1:15" x14ac:dyDescent="0.3">
      <c r="A1204" t="s">
        <v>1242</v>
      </c>
      <c r="B1204">
        <v>20260206</v>
      </c>
      <c r="C1204" t="s">
        <v>40</v>
      </c>
      <c r="D1204" t="s">
        <v>21</v>
      </c>
      <c r="E1204" t="s">
        <v>18</v>
      </c>
      <c r="F1204">
        <v>19340</v>
      </c>
      <c r="G1204">
        <v>23386</v>
      </c>
      <c r="H1204">
        <v>1947</v>
      </c>
      <c r="I1204">
        <v>176</v>
      </c>
      <c r="J1204">
        <v>303</v>
      </c>
      <c r="K1204">
        <v>246</v>
      </c>
      <c r="L1204">
        <v>0</v>
      </c>
      <c r="M1204">
        <v>311</v>
      </c>
      <c r="N1204" s="1">
        <v>0.9375</v>
      </c>
      <c r="O1204" t="s">
        <v>38</v>
      </c>
    </row>
    <row r="1205" spans="1:15" x14ac:dyDescent="0.3">
      <c r="A1205" t="s">
        <v>1243</v>
      </c>
      <c r="B1205">
        <v>20251114</v>
      </c>
      <c r="C1205" t="s">
        <v>16</v>
      </c>
      <c r="D1205" t="s">
        <v>17</v>
      </c>
      <c r="E1205" t="s">
        <v>41</v>
      </c>
      <c r="F1205">
        <v>89581</v>
      </c>
      <c r="G1205">
        <v>100274</v>
      </c>
      <c r="H1205">
        <v>7620</v>
      </c>
      <c r="I1205">
        <v>368</v>
      </c>
      <c r="J1205">
        <v>291</v>
      </c>
      <c r="K1205">
        <v>227</v>
      </c>
      <c r="L1205">
        <v>44364</v>
      </c>
      <c r="M1205">
        <v>1470</v>
      </c>
      <c r="N1205" s="1">
        <v>0.71875</v>
      </c>
      <c r="O1205" t="s">
        <v>38</v>
      </c>
    </row>
    <row r="1206" spans="1:15" x14ac:dyDescent="0.3">
      <c r="A1206" t="s">
        <v>1244</v>
      </c>
      <c r="B1206">
        <v>20251225</v>
      </c>
      <c r="C1206" t="s">
        <v>16</v>
      </c>
      <c r="D1206" t="s">
        <v>68</v>
      </c>
      <c r="E1206" t="s">
        <v>18</v>
      </c>
      <c r="F1206">
        <v>32395</v>
      </c>
      <c r="G1206">
        <v>44729</v>
      </c>
      <c r="H1206">
        <v>2215</v>
      </c>
      <c r="I1206">
        <v>80</v>
      </c>
      <c r="J1206">
        <v>201</v>
      </c>
      <c r="K1206">
        <v>48</v>
      </c>
      <c r="L1206">
        <v>0</v>
      </c>
      <c r="M1206">
        <v>242</v>
      </c>
      <c r="N1206" s="1">
        <v>0.77083333333333337</v>
      </c>
      <c r="O1206" t="s">
        <v>53</v>
      </c>
    </row>
    <row r="1207" spans="1:15" x14ac:dyDescent="0.3">
      <c r="A1207" t="s">
        <v>1245</v>
      </c>
      <c r="B1207">
        <v>20260801</v>
      </c>
      <c r="C1207" t="s">
        <v>44</v>
      </c>
      <c r="D1207" t="s">
        <v>36</v>
      </c>
      <c r="E1207" t="s">
        <v>46</v>
      </c>
      <c r="F1207">
        <v>45216</v>
      </c>
      <c r="G1207">
        <v>61138</v>
      </c>
      <c r="H1207">
        <v>1921</v>
      </c>
      <c r="I1207">
        <v>77</v>
      </c>
      <c r="J1207">
        <v>235</v>
      </c>
      <c r="K1207">
        <v>137</v>
      </c>
      <c r="L1207">
        <v>38133</v>
      </c>
      <c r="M1207">
        <v>280</v>
      </c>
      <c r="N1207" s="1">
        <v>0.875</v>
      </c>
      <c r="O1207" t="s">
        <v>34</v>
      </c>
    </row>
    <row r="1208" spans="1:15" x14ac:dyDescent="0.3">
      <c r="A1208" t="s">
        <v>1246</v>
      </c>
      <c r="B1208">
        <v>20260406</v>
      </c>
      <c r="C1208" t="s">
        <v>40</v>
      </c>
      <c r="D1208" t="s">
        <v>17</v>
      </c>
      <c r="E1208" t="s">
        <v>41</v>
      </c>
      <c r="F1208">
        <v>40925</v>
      </c>
      <c r="G1208">
        <v>49747</v>
      </c>
      <c r="H1208">
        <v>1283</v>
      </c>
      <c r="I1208">
        <v>159</v>
      </c>
      <c r="J1208">
        <v>169</v>
      </c>
      <c r="K1208">
        <v>181</v>
      </c>
      <c r="L1208">
        <v>33876</v>
      </c>
      <c r="M1208">
        <v>451</v>
      </c>
      <c r="N1208" s="1">
        <v>0.63541666666666663</v>
      </c>
      <c r="O1208" t="s">
        <v>53</v>
      </c>
    </row>
    <row r="1209" spans="1:15" x14ac:dyDescent="0.3">
      <c r="A1209" t="s">
        <v>1247</v>
      </c>
      <c r="B1209">
        <v>20251231</v>
      </c>
      <c r="C1209" t="s">
        <v>16</v>
      </c>
      <c r="D1209" t="s">
        <v>68</v>
      </c>
      <c r="E1209" t="s">
        <v>51</v>
      </c>
      <c r="F1209">
        <v>26352</v>
      </c>
      <c r="G1209">
        <v>36883</v>
      </c>
      <c r="H1209">
        <v>1071</v>
      </c>
      <c r="I1209">
        <v>34</v>
      </c>
      <c r="K1209">
        <v>46</v>
      </c>
      <c r="L1209">
        <v>0</v>
      </c>
      <c r="M1209">
        <v>43</v>
      </c>
      <c r="N1209" s="1">
        <v>0.34375</v>
      </c>
      <c r="O1209" t="s">
        <v>53</v>
      </c>
    </row>
    <row r="1210" spans="1:15" x14ac:dyDescent="0.3">
      <c r="A1210" t="s">
        <v>1248</v>
      </c>
      <c r="B1210">
        <v>20250313</v>
      </c>
      <c r="C1210" t="s">
        <v>16</v>
      </c>
      <c r="D1210" t="s">
        <v>61</v>
      </c>
      <c r="E1210" t="s">
        <v>46</v>
      </c>
      <c r="F1210">
        <v>19477</v>
      </c>
      <c r="G1210">
        <v>21626</v>
      </c>
      <c r="H1210">
        <v>722</v>
      </c>
      <c r="I1210">
        <v>87</v>
      </c>
      <c r="J1210">
        <v>92</v>
      </c>
      <c r="K1210">
        <v>14</v>
      </c>
      <c r="L1210">
        <v>8829</v>
      </c>
      <c r="M1210">
        <v>173</v>
      </c>
      <c r="N1210" s="1">
        <v>0.67708333333333337</v>
      </c>
      <c r="O1210" t="s">
        <v>49</v>
      </c>
    </row>
    <row r="1211" spans="1:15" x14ac:dyDescent="0.3">
      <c r="A1211" t="s">
        <v>1249</v>
      </c>
      <c r="B1211">
        <v>20250423</v>
      </c>
      <c r="C1211" t="s">
        <v>25</v>
      </c>
      <c r="D1211" t="s">
        <v>21</v>
      </c>
      <c r="E1211" t="s">
        <v>26</v>
      </c>
      <c r="F1211">
        <v>22631</v>
      </c>
      <c r="G1211">
        <v>28590</v>
      </c>
      <c r="H1211">
        <v>931</v>
      </c>
      <c r="I1211">
        <v>58</v>
      </c>
      <c r="J1211">
        <v>132</v>
      </c>
      <c r="K1211">
        <v>61</v>
      </c>
      <c r="L1211">
        <v>8817</v>
      </c>
      <c r="M1211">
        <v>296</v>
      </c>
      <c r="N1211" s="1">
        <v>0.63541666666666663</v>
      </c>
      <c r="O1211" t="s">
        <v>47</v>
      </c>
    </row>
    <row r="1212" spans="1:15" x14ac:dyDescent="0.3">
      <c r="A1212" t="s">
        <v>1250</v>
      </c>
      <c r="B1212">
        <v>20251206</v>
      </c>
      <c r="C1212" t="s">
        <v>16</v>
      </c>
      <c r="D1212" t="s">
        <v>33</v>
      </c>
      <c r="E1212" t="s">
        <v>18</v>
      </c>
      <c r="F1212">
        <v>12323</v>
      </c>
      <c r="G1212">
        <v>20110</v>
      </c>
      <c r="H1212">
        <v>486</v>
      </c>
      <c r="I1212">
        <v>29</v>
      </c>
      <c r="J1212">
        <v>92</v>
      </c>
      <c r="K1212">
        <v>68</v>
      </c>
      <c r="L1212">
        <v>0</v>
      </c>
      <c r="M1212">
        <v>98</v>
      </c>
      <c r="N1212" s="1">
        <v>0.46875</v>
      </c>
      <c r="O1212" t="s">
        <v>23</v>
      </c>
    </row>
    <row r="1213" spans="1:15" x14ac:dyDescent="0.3">
      <c r="A1213" t="s">
        <v>1251</v>
      </c>
      <c r="B1213">
        <v>20250102</v>
      </c>
      <c r="C1213" t="s">
        <v>16</v>
      </c>
      <c r="D1213" t="s">
        <v>68</v>
      </c>
      <c r="E1213" t="s">
        <v>41</v>
      </c>
      <c r="F1213">
        <v>24845</v>
      </c>
      <c r="G1213">
        <v>38439</v>
      </c>
      <c r="H1213">
        <v>2422</v>
      </c>
      <c r="I1213">
        <v>215</v>
      </c>
      <c r="J1213">
        <v>146</v>
      </c>
      <c r="K1213">
        <v>315</v>
      </c>
      <c r="L1213">
        <v>17822</v>
      </c>
      <c r="M1213">
        <v>385</v>
      </c>
      <c r="N1213" s="1">
        <v>0.88541666666666663</v>
      </c>
      <c r="O1213" t="s">
        <v>38</v>
      </c>
    </row>
    <row r="1214" spans="1:15" x14ac:dyDescent="0.3">
      <c r="A1214" t="s">
        <v>1252</v>
      </c>
      <c r="B1214">
        <v>20250906</v>
      </c>
      <c r="C1214" t="s">
        <v>40</v>
      </c>
      <c r="D1214" t="s">
        <v>61</v>
      </c>
      <c r="E1214" t="s">
        <v>46</v>
      </c>
      <c r="F1214">
        <v>51253</v>
      </c>
      <c r="G1214">
        <v>60435</v>
      </c>
      <c r="H1214">
        <v>2164</v>
      </c>
      <c r="I1214">
        <v>142</v>
      </c>
      <c r="J1214">
        <v>122</v>
      </c>
      <c r="K1214">
        <v>299</v>
      </c>
      <c r="L1214">
        <v>37906</v>
      </c>
      <c r="M1214">
        <v>246</v>
      </c>
      <c r="N1214" s="1">
        <v>0.72916666666666663</v>
      </c>
      <c r="O1214" t="s">
        <v>34</v>
      </c>
    </row>
    <row r="1215" spans="1:15" x14ac:dyDescent="0.3">
      <c r="A1215" t="s">
        <v>1253</v>
      </c>
      <c r="B1215">
        <v>20250223</v>
      </c>
      <c r="C1215" t="s">
        <v>32</v>
      </c>
      <c r="D1215" t="s">
        <v>33</v>
      </c>
      <c r="E1215" t="s">
        <v>18</v>
      </c>
      <c r="F1215">
        <v>4662</v>
      </c>
      <c r="G1215">
        <v>7229</v>
      </c>
      <c r="H1215">
        <v>324</v>
      </c>
      <c r="I1215">
        <v>11</v>
      </c>
      <c r="J1215">
        <v>61</v>
      </c>
      <c r="K1215">
        <v>45</v>
      </c>
      <c r="L1215">
        <v>0</v>
      </c>
      <c r="M1215">
        <v>48</v>
      </c>
      <c r="N1215" s="1">
        <v>0.625</v>
      </c>
      <c r="O1215" t="s">
        <v>42</v>
      </c>
    </row>
    <row r="1216" spans="1:15" x14ac:dyDescent="0.3">
      <c r="A1216" t="s">
        <v>1254</v>
      </c>
      <c r="B1216">
        <v>20251219</v>
      </c>
      <c r="C1216" t="s">
        <v>25</v>
      </c>
      <c r="D1216" t="s">
        <v>36</v>
      </c>
      <c r="E1216" t="s">
        <v>51</v>
      </c>
      <c r="F1216">
        <v>6081</v>
      </c>
      <c r="G1216">
        <v>9505</v>
      </c>
      <c r="H1216">
        <v>634</v>
      </c>
      <c r="I1216">
        <v>56</v>
      </c>
      <c r="J1216">
        <v>116</v>
      </c>
      <c r="K1216">
        <v>18</v>
      </c>
      <c r="L1216">
        <v>0</v>
      </c>
      <c r="M1216">
        <v>71</v>
      </c>
      <c r="N1216" s="1">
        <v>0.8125</v>
      </c>
      <c r="O1216" t="s">
        <v>19</v>
      </c>
    </row>
    <row r="1217" spans="1:15" x14ac:dyDescent="0.3">
      <c r="A1217" t="s">
        <v>1255</v>
      </c>
      <c r="B1217">
        <v>20260114</v>
      </c>
      <c r="C1217" t="s">
        <v>16</v>
      </c>
      <c r="D1217" t="s">
        <v>21</v>
      </c>
      <c r="E1217" t="s">
        <v>18</v>
      </c>
      <c r="F1217">
        <v>23399</v>
      </c>
      <c r="G1217">
        <v>28548</v>
      </c>
      <c r="H1217">
        <v>650</v>
      </c>
      <c r="I1217">
        <v>35</v>
      </c>
      <c r="J1217">
        <v>32</v>
      </c>
      <c r="K1217">
        <v>84</v>
      </c>
      <c r="L1217">
        <v>0</v>
      </c>
      <c r="M1217">
        <v>228</v>
      </c>
      <c r="N1217" s="1">
        <v>0.5625</v>
      </c>
      <c r="O1217" t="s">
        <v>34</v>
      </c>
    </row>
    <row r="1218" spans="1:15" x14ac:dyDescent="0.3">
      <c r="A1218" t="s">
        <v>1256</v>
      </c>
      <c r="B1218">
        <v>20260601</v>
      </c>
      <c r="C1218" t="s">
        <v>16</v>
      </c>
      <c r="D1218" t="s">
        <v>68</v>
      </c>
      <c r="E1218" t="s">
        <v>26</v>
      </c>
      <c r="F1218">
        <v>17510</v>
      </c>
      <c r="G1218">
        <v>27129</v>
      </c>
      <c r="H1218">
        <v>898</v>
      </c>
      <c r="I1218">
        <v>58</v>
      </c>
      <c r="J1218">
        <v>102</v>
      </c>
      <c r="K1218">
        <v>107</v>
      </c>
      <c r="L1218">
        <v>7155</v>
      </c>
      <c r="M1218">
        <v>42</v>
      </c>
      <c r="N1218" s="1">
        <v>0.89583333333333337</v>
      </c>
      <c r="O1218" t="s">
        <v>19</v>
      </c>
    </row>
    <row r="1219" spans="1:15" x14ac:dyDescent="0.3">
      <c r="A1219" t="s">
        <v>1257</v>
      </c>
      <c r="B1219">
        <v>20260401</v>
      </c>
      <c r="C1219" t="s">
        <v>16</v>
      </c>
      <c r="D1219" t="s">
        <v>29</v>
      </c>
      <c r="E1219" t="s">
        <v>18</v>
      </c>
      <c r="F1219">
        <v>11490</v>
      </c>
      <c r="G1219">
        <v>13004</v>
      </c>
      <c r="H1219">
        <v>460</v>
      </c>
      <c r="I1219">
        <v>27</v>
      </c>
      <c r="J1219">
        <v>31</v>
      </c>
      <c r="K1219">
        <v>71</v>
      </c>
      <c r="L1219">
        <v>0</v>
      </c>
      <c r="M1219">
        <v>163</v>
      </c>
      <c r="N1219" s="1">
        <v>0.41666666666666669</v>
      </c>
      <c r="O1219" t="s">
        <v>30</v>
      </c>
    </row>
    <row r="1220" spans="1:15" x14ac:dyDescent="0.3">
      <c r="A1220" t="s">
        <v>1258</v>
      </c>
      <c r="B1220">
        <v>20260616</v>
      </c>
      <c r="C1220" t="s">
        <v>25</v>
      </c>
      <c r="D1220" t="s">
        <v>33</v>
      </c>
      <c r="E1220" t="s">
        <v>18</v>
      </c>
      <c r="F1220">
        <v>14249</v>
      </c>
      <c r="G1220">
        <v>19426</v>
      </c>
      <c r="H1220">
        <v>431</v>
      </c>
      <c r="I1220">
        <v>30</v>
      </c>
      <c r="J1220">
        <v>41</v>
      </c>
      <c r="K1220">
        <v>21</v>
      </c>
      <c r="L1220">
        <v>0</v>
      </c>
      <c r="M1220">
        <v>218</v>
      </c>
      <c r="N1220" s="1">
        <v>0.3125</v>
      </c>
      <c r="O1220" t="s">
        <v>34</v>
      </c>
    </row>
    <row r="1221" spans="1:15" x14ac:dyDescent="0.3">
      <c r="A1221" t="s">
        <v>1259</v>
      </c>
      <c r="B1221">
        <v>20251006</v>
      </c>
      <c r="C1221" t="s">
        <v>32</v>
      </c>
      <c r="D1221" t="s">
        <v>17</v>
      </c>
      <c r="E1221" t="s">
        <v>46</v>
      </c>
      <c r="F1221">
        <v>22350</v>
      </c>
      <c r="G1221">
        <v>35006</v>
      </c>
      <c r="H1221">
        <v>993</v>
      </c>
      <c r="I1221">
        <v>91</v>
      </c>
      <c r="J1221">
        <v>136</v>
      </c>
      <c r="K1221">
        <v>65</v>
      </c>
      <c r="L1221">
        <v>11893</v>
      </c>
      <c r="M1221">
        <v>133</v>
      </c>
      <c r="N1221" s="1">
        <v>0.82291666666666663</v>
      </c>
      <c r="O1221" t="s">
        <v>53</v>
      </c>
    </row>
    <row r="1222" spans="1:15" x14ac:dyDescent="0.3">
      <c r="A1222" t="s">
        <v>1260</v>
      </c>
      <c r="B1222">
        <v>20260618</v>
      </c>
      <c r="C1222" t="s">
        <v>16</v>
      </c>
      <c r="D1222" t="s">
        <v>36</v>
      </c>
      <c r="E1222" t="s">
        <v>46</v>
      </c>
      <c r="F1222">
        <v>22983</v>
      </c>
      <c r="G1222">
        <v>33384</v>
      </c>
      <c r="H1222">
        <v>2549</v>
      </c>
      <c r="I1222">
        <v>267</v>
      </c>
      <c r="J1222">
        <v>163</v>
      </c>
      <c r="K1222">
        <v>63</v>
      </c>
      <c r="L1222">
        <v>16193</v>
      </c>
      <c r="M1222">
        <v>39</v>
      </c>
      <c r="N1222" s="1">
        <v>0.76041666666666663</v>
      </c>
      <c r="O1222" t="s">
        <v>34</v>
      </c>
    </row>
    <row r="1223" spans="1:15" x14ac:dyDescent="0.3">
      <c r="A1223" t="s">
        <v>1261</v>
      </c>
      <c r="B1223">
        <v>20250526</v>
      </c>
      <c r="C1223" t="s">
        <v>40</v>
      </c>
      <c r="D1223" t="s">
        <v>21</v>
      </c>
      <c r="E1223" t="s">
        <v>46</v>
      </c>
      <c r="F1223">
        <v>11466</v>
      </c>
      <c r="G1223">
        <v>13794</v>
      </c>
      <c r="H1223">
        <v>693</v>
      </c>
      <c r="I1223">
        <v>38</v>
      </c>
      <c r="J1223">
        <v>134</v>
      </c>
      <c r="K1223">
        <v>65</v>
      </c>
      <c r="L1223">
        <v>9297</v>
      </c>
      <c r="M1223">
        <v>182</v>
      </c>
      <c r="N1223" s="1">
        <v>0.91666666666666663</v>
      </c>
      <c r="O1223" t="s">
        <v>53</v>
      </c>
    </row>
    <row r="1224" spans="1:15" x14ac:dyDescent="0.3">
      <c r="A1224" t="s">
        <v>1262</v>
      </c>
      <c r="B1224">
        <v>20250711</v>
      </c>
      <c r="C1224" t="s">
        <v>16</v>
      </c>
      <c r="D1224" t="s">
        <v>29</v>
      </c>
      <c r="E1224" t="s">
        <v>26</v>
      </c>
      <c r="F1224">
        <v>39032</v>
      </c>
      <c r="G1224">
        <v>57020</v>
      </c>
      <c r="H1224">
        <v>1552</v>
      </c>
      <c r="J1224">
        <v>143</v>
      </c>
      <c r="K1224">
        <v>61</v>
      </c>
      <c r="L1224">
        <v>20020</v>
      </c>
      <c r="M1224">
        <v>92</v>
      </c>
      <c r="N1224" s="1">
        <v>0.67708333333333337</v>
      </c>
      <c r="O1224" t="s">
        <v>30</v>
      </c>
    </row>
    <row r="1225" spans="1:15" x14ac:dyDescent="0.3">
      <c r="A1225" t="s">
        <v>1263</v>
      </c>
      <c r="B1225">
        <v>20250405</v>
      </c>
      <c r="C1225" t="s">
        <v>25</v>
      </c>
      <c r="D1225" t="s">
        <v>17</v>
      </c>
      <c r="E1225" t="s">
        <v>46</v>
      </c>
      <c r="F1225">
        <v>19307</v>
      </c>
      <c r="G1225">
        <v>26363</v>
      </c>
      <c r="H1225">
        <v>901</v>
      </c>
      <c r="I1225">
        <v>125</v>
      </c>
      <c r="J1225">
        <v>159</v>
      </c>
      <c r="K1225">
        <v>82</v>
      </c>
      <c r="L1225">
        <v>10846</v>
      </c>
      <c r="M1225">
        <v>324</v>
      </c>
      <c r="N1225" s="1">
        <v>0.29166666666666669</v>
      </c>
      <c r="O1225" t="s">
        <v>19</v>
      </c>
    </row>
    <row r="1226" spans="1:15" x14ac:dyDescent="0.3">
      <c r="A1226" t="s">
        <v>1264</v>
      </c>
      <c r="B1226">
        <v>20250218</v>
      </c>
      <c r="C1226" t="s">
        <v>16</v>
      </c>
      <c r="D1226" t="s">
        <v>68</v>
      </c>
      <c r="E1226" t="s">
        <v>51</v>
      </c>
      <c r="F1226">
        <v>43873</v>
      </c>
      <c r="G1226">
        <v>53543</v>
      </c>
      <c r="H1226">
        <v>1339</v>
      </c>
      <c r="I1226">
        <v>33</v>
      </c>
      <c r="J1226">
        <v>169</v>
      </c>
      <c r="K1226">
        <v>35</v>
      </c>
      <c r="L1226">
        <v>0</v>
      </c>
      <c r="M1226">
        <v>584</v>
      </c>
      <c r="N1226" s="1">
        <v>0.41666666666666669</v>
      </c>
      <c r="O1226" t="s">
        <v>27</v>
      </c>
    </row>
    <row r="1227" spans="1:15" x14ac:dyDescent="0.3">
      <c r="A1227" t="s">
        <v>1265</v>
      </c>
      <c r="B1227">
        <v>20250701</v>
      </c>
      <c r="C1227" t="s">
        <v>25</v>
      </c>
      <c r="D1227" t="s">
        <v>36</v>
      </c>
      <c r="E1227" t="s">
        <v>18</v>
      </c>
      <c r="F1227">
        <v>15885</v>
      </c>
      <c r="G1227">
        <v>23890</v>
      </c>
      <c r="H1227">
        <v>783</v>
      </c>
      <c r="I1227">
        <v>39</v>
      </c>
      <c r="J1227">
        <v>83</v>
      </c>
      <c r="K1227">
        <v>47</v>
      </c>
      <c r="L1227">
        <v>0</v>
      </c>
      <c r="M1227">
        <v>35</v>
      </c>
      <c r="N1227" s="1">
        <v>0.29166666666666669</v>
      </c>
      <c r="O1227" t="s">
        <v>47</v>
      </c>
    </row>
    <row r="1228" spans="1:15" x14ac:dyDescent="0.3">
      <c r="A1228" t="s">
        <v>1266</v>
      </c>
      <c r="B1228">
        <v>20251011</v>
      </c>
      <c r="C1228" t="s">
        <v>40</v>
      </c>
      <c r="D1228" t="s">
        <v>61</v>
      </c>
      <c r="E1228" t="s">
        <v>26</v>
      </c>
      <c r="F1228">
        <v>27533</v>
      </c>
      <c r="G1228">
        <v>41432</v>
      </c>
      <c r="H1228">
        <v>1858</v>
      </c>
      <c r="I1228">
        <v>158</v>
      </c>
      <c r="J1228">
        <v>323</v>
      </c>
      <c r="K1228">
        <v>273</v>
      </c>
      <c r="L1228">
        <v>23614</v>
      </c>
      <c r="M1228">
        <v>114</v>
      </c>
      <c r="N1228" s="1">
        <v>0.75</v>
      </c>
      <c r="O1228" t="s">
        <v>30</v>
      </c>
    </row>
    <row r="1229" spans="1:15" x14ac:dyDescent="0.3">
      <c r="A1229" t="s">
        <v>1267</v>
      </c>
      <c r="B1229">
        <v>20250911</v>
      </c>
      <c r="C1229" t="s">
        <v>16</v>
      </c>
      <c r="D1229" t="s">
        <v>17</v>
      </c>
      <c r="E1229" t="s">
        <v>22</v>
      </c>
      <c r="F1229">
        <v>10786</v>
      </c>
      <c r="G1229">
        <v>13727</v>
      </c>
      <c r="H1229">
        <v>446</v>
      </c>
      <c r="I1229">
        <v>33</v>
      </c>
      <c r="K1229">
        <v>63</v>
      </c>
      <c r="L1229">
        <v>0</v>
      </c>
      <c r="M1229">
        <v>185</v>
      </c>
      <c r="N1229" s="1">
        <v>0.71875</v>
      </c>
      <c r="O1229" t="s">
        <v>30</v>
      </c>
    </row>
    <row r="1230" spans="1:15" x14ac:dyDescent="0.3">
      <c r="A1230" t="s">
        <v>1268</v>
      </c>
      <c r="B1230">
        <v>20251107</v>
      </c>
      <c r="C1230" t="s">
        <v>44</v>
      </c>
      <c r="D1230" t="s">
        <v>21</v>
      </c>
      <c r="E1230" t="s">
        <v>26</v>
      </c>
      <c r="F1230">
        <v>21668</v>
      </c>
      <c r="G1230">
        <v>27731</v>
      </c>
      <c r="H1230">
        <v>1395</v>
      </c>
      <c r="I1230">
        <v>186</v>
      </c>
      <c r="J1230">
        <v>93</v>
      </c>
      <c r="K1230">
        <v>196</v>
      </c>
      <c r="L1230">
        <v>9431</v>
      </c>
      <c r="M1230">
        <v>134</v>
      </c>
      <c r="N1230" s="1">
        <v>0.60416666666666663</v>
      </c>
      <c r="O1230" t="s">
        <v>47</v>
      </c>
    </row>
    <row r="1231" spans="1:15" x14ac:dyDescent="0.3">
      <c r="A1231" t="s">
        <v>1269</v>
      </c>
      <c r="B1231">
        <v>20260402</v>
      </c>
      <c r="C1231" t="s">
        <v>32</v>
      </c>
      <c r="D1231" t="s">
        <v>17</v>
      </c>
      <c r="E1231" t="s">
        <v>46</v>
      </c>
      <c r="F1231">
        <v>12827</v>
      </c>
      <c r="G1231">
        <v>15380</v>
      </c>
      <c r="H1231">
        <v>707</v>
      </c>
      <c r="I1231">
        <v>83</v>
      </c>
      <c r="J1231">
        <v>26</v>
      </c>
      <c r="K1231">
        <v>64</v>
      </c>
      <c r="L1231">
        <v>10726</v>
      </c>
      <c r="M1231">
        <v>186</v>
      </c>
      <c r="N1231" s="1">
        <v>0.58333333333333337</v>
      </c>
      <c r="O1231" t="s">
        <v>53</v>
      </c>
    </row>
    <row r="1232" spans="1:15" x14ac:dyDescent="0.3">
      <c r="A1232" t="s">
        <v>1270</v>
      </c>
      <c r="B1232">
        <v>20250622</v>
      </c>
      <c r="C1232" t="s">
        <v>32</v>
      </c>
      <c r="D1232" t="s">
        <v>17</v>
      </c>
      <c r="E1232" t="s">
        <v>51</v>
      </c>
      <c r="F1232">
        <v>8844</v>
      </c>
      <c r="G1232">
        <v>10463</v>
      </c>
      <c r="H1232">
        <v>561</v>
      </c>
      <c r="I1232">
        <v>69</v>
      </c>
      <c r="J1232">
        <v>99</v>
      </c>
      <c r="K1232">
        <v>25</v>
      </c>
      <c r="L1232">
        <v>0</v>
      </c>
      <c r="M1232">
        <v>85</v>
      </c>
      <c r="N1232" s="1">
        <v>0.39583333333333331</v>
      </c>
      <c r="O1232" t="s">
        <v>19</v>
      </c>
    </row>
    <row r="1233" spans="1:15" x14ac:dyDescent="0.3">
      <c r="A1233" t="s">
        <v>1271</v>
      </c>
      <c r="B1233">
        <v>20260710</v>
      </c>
      <c r="C1233" t="s">
        <v>44</v>
      </c>
      <c r="D1233" t="s">
        <v>33</v>
      </c>
      <c r="E1233" t="s">
        <v>41</v>
      </c>
      <c r="F1233">
        <v>31986</v>
      </c>
      <c r="G1233">
        <v>51585</v>
      </c>
      <c r="H1233">
        <v>3511</v>
      </c>
      <c r="I1233">
        <v>300</v>
      </c>
      <c r="J1233">
        <v>578</v>
      </c>
      <c r="K1233">
        <v>474</v>
      </c>
      <c r="L1233">
        <v>12215</v>
      </c>
      <c r="M1233">
        <v>465</v>
      </c>
      <c r="N1233" s="1">
        <v>0.59375</v>
      </c>
      <c r="O1233" t="s">
        <v>38</v>
      </c>
    </row>
    <row r="1234" spans="1:15" x14ac:dyDescent="0.3">
      <c r="A1234" t="s">
        <v>1272</v>
      </c>
      <c r="B1234">
        <v>20251001</v>
      </c>
      <c r="C1234" t="s">
        <v>25</v>
      </c>
      <c r="D1234" t="s">
        <v>61</v>
      </c>
      <c r="E1234" t="s">
        <v>51</v>
      </c>
      <c r="F1234">
        <v>37945</v>
      </c>
      <c r="G1234">
        <v>56453</v>
      </c>
      <c r="H1234">
        <v>4510</v>
      </c>
      <c r="I1234">
        <v>190</v>
      </c>
      <c r="J1234">
        <v>390</v>
      </c>
      <c r="K1234">
        <v>311</v>
      </c>
      <c r="L1234">
        <v>0</v>
      </c>
      <c r="M1234">
        <v>306</v>
      </c>
      <c r="N1234" s="1">
        <v>0.53125</v>
      </c>
      <c r="O1234" t="s">
        <v>19</v>
      </c>
    </row>
    <row r="1235" spans="1:15" x14ac:dyDescent="0.3">
      <c r="A1235" t="s">
        <v>1273</v>
      </c>
      <c r="B1235">
        <v>20260622</v>
      </c>
      <c r="C1235" t="s">
        <v>16</v>
      </c>
      <c r="D1235" t="s">
        <v>21</v>
      </c>
      <c r="E1235" t="s">
        <v>41</v>
      </c>
      <c r="F1235">
        <v>41640</v>
      </c>
      <c r="G1235">
        <v>53385</v>
      </c>
      <c r="H1235">
        <v>4984</v>
      </c>
      <c r="I1235">
        <v>425</v>
      </c>
      <c r="J1235">
        <v>625</v>
      </c>
      <c r="K1235">
        <v>652</v>
      </c>
      <c r="L1235">
        <v>16077</v>
      </c>
      <c r="M1235">
        <v>428</v>
      </c>
      <c r="N1235" s="1">
        <v>0.35416666666666669</v>
      </c>
      <c r="O1235" t="s">
        <v>30</v>
      </c>
    </row>
    <row r="1236" spans="1:15" x14ac:dyDescent="0.3">
      <c r="A1236" t="s">
        <v>1274</v>
      </c>
      <c r="B1236">
        <v>20250524</v>
      </c>
      <c r="C1236" t="s">
        <v>16</v>
      </c>
      <c r="D1236" t="s">
        <v>17</v>
      </c>
      <c r="E1236" t="s">
        <v>18</v>
      </c>
      <c r="F1236">
        <v>10850</v>
      </c>
      <c r="G1236">
        <v>13854</v>
      </c>
      <c r="H1236">
        <v>894</v>
      </c>
      <c r="I1236">
        <v>124</v>
      </c>
      <c r="J1236">
        <v>146</v>
      </c>
      <c r="K1236">
        <v>105</v>
      </c>
      <c r="L1236">
        <v>0</v>
      </c>
      <c r="M1236">
        <v>189</v>
      </c>
      <c r="N1236" s="1">
        <v>0.39583333333333331</v>
      </c>
      <c r="O1236" t="s">
        <v>53</v>
      </c>
    </row>
    <row r="1237" spans="1:15" x14ac:dyDescent="0.3">
      <c r="A1237" t="s">
        <v>1275</v>
      </c>
      <c r="B1237">
        <v>20251231</v>
      </c>
      <c r="C1237" t="s">
        <v>44</v>
      </c>
      <c r="D1237" t="s">
        <v>21</v>
      </c>
      <c r="E1237" t="s">
        <v>22</v>
      </c>
      <c r="F1237">
        <v>17821</v>
      </c>
      <c r="G1237">
        <v>20129</v>
      </c>
      <c r="H1237">
        <v>1657</v>
      </c>
      <c r="I1237">
        <v>102</v>
      </c>
      <c r="J1237">
        <v>169</v>
      </c>
      <c r="K1237">
        <v>103</v>
      </c>
      <c r="L1237">
        <v>0</v>
      </c>
      <c r="M1237">
        <v>277</v>
      </c>
      <c r="N1237" s="1">
        <v>0.71875</v>
      </c>
      <c r="O1237" t="s">
        <v>49</v>
      </c>
    </row>
    <row r="1238" spans="1:15" x14ac:dyDescent="0.3">
      <c r="A1238" t="s">
        <v>1276</v>
      </c>
      <c r="B1238">
        <v>20250930</v>
      </c>
      <c r="C1238" t="s">
        <v>16</v>
      </c>
      <c r="D1238" t="s">
        <v>17</v>
      </c>
      <c r="E1238" t="s">
        <v>46</v>
      </c>
      <c r="F1238">
        <v>19683</v>
      </c>
      <c r="G1238">
        <v>31677</v>
      </c>
      <c r="H1238">
        <v>1656</v>
      </c>
      <c r="I1238">
        <v>110</v>
      </c>
      <c r="J1238">
        <v>168</v>
      </c>
      <c r="K1238">
        <v>143</v>
      </c>
      <c r="L1238">
        <v>17600</v>
      </c>
      <c r="M1238">
        <v>234</v>
      </c>
      <c r="N1238" s="1">
        <v>0.84375</v>
      </c>
      <c r="O1238" t="s">
        <v>30</v>
      </c>
    </row>
    <row r="1239" spans="1:15" x14ac:dyDescent="0.3">
      <c r="A1239" t="s">
        <v>1277</v>
      </c>
      <c r="B1239">
        <v>20260917</v>
      </c>
      <c r="C1239" t="s">
        <v>16</v>
      </c>
      <c r="D1239" t="s">
        <v>68</v>
      </c>
      <c r="E1239" t="s">
        <v>51</v>
      </c>
      <c r="F1239">
        <v>22845</v>
      </c>
      <c r="G1239">
        <v>36639</v>
      </c>
      <c r="H1239">
        <v>1939</v>
      </c>
      <c r="I1239">
        <v>84</v>
      </c>
      <c r="J1239">
        <v>302</v>
      </c>
      <c r="K1239">
        <v>288</v>
      </c>
      <c r="L1239">
        <v>0</v>
      </c>
      <c r="M1239">
        <v>316</v>
      </c>
      <c r="N1239" s="1">
        <v>0.30208333333333331</v>
      </c>
      <c r="O1239" t="s">
        <v>27</v>
      </c>
    </row>
    <row r="1240" spans="1:15" x14ac:dyDescent="0.3">
      <c r="A1240" t="s">
        <v>1278</v>
      </c>
      <c r="B1240">
        <v>20260607</v>
      </c>
      <c r="C1240" t="s">
        <v>16</v>
      </c>
      <c r="D1240" t="s">
        <v>33</v>
      </c>
      <c r="E1240" t="s">
        <v>26</v>
      </c>
      <c r="F1240">
        <v>7106</v>
      </c>
      <c r="G1240">
        <v>7877</v>
      </c>
      <c r="H1240">
        <v>840</v>
      </c>
      <c r="I1240">
        <v>80</v>
      </c>
      <c r="J1240">
        <v>98</v>
      </c>
      <c r="K1240">
        <v>76</v>
      </c>
      <c r="L1240">
        <v>5123</v>
      </c>
      <c r="M1240">
        <v>78</v>
      </c>
      <c r="N1240" s="1">
        <v>0.85416666666666663</v>
      </c>
      <c r="O1240" t="s">
        <v>27</v>
      </c>
    </row>
    <row r="1241" spans="1:15" x14ac:dyDescent="0.3">
      <c r="A1241" t="s">
        <v>1279</v>
      </c>
      <c r="B1241">
        <v>20250102</v>
      </c>
      <c r="C1241" t="s">
        <v>16</v>
      </c>
      <c r="D1241" t="s">
        <v>29</v>
      </c>
      <c r="E1241" t="s">
        <v>18</v>
      </c>
      <c r="F1241">
        <v>72135</v>
      </c>
      <c r="G1241">
        <v>111074</v>
      </c>
      <c r="H1241">
        <v>7667</v>
      </c>
      <c r="I1241">
        <v>469</v>
      </c>
      <c r="J1241">
        <v>1089</v>
      </c>
      <c r="K1241">
        <v>346</v>
      </c>
      <c r="L1241">
        <v>0</v>
      </c>
      <c r="M1241">
        <v>1256</v>
      </c>
      <c r="N1241" s="1">
        <v>0.75</v>
      </c>
      <c r="O1241" t="s">
        <v>53</v>
      </c>
    </row>
    <row r="1242" spans="1:15" x14ac:dyDescent="0.3">
      <c r="A1242" t="s">
        <v>1280</v>
      </c>
      <c r="B1242">
        <v>20260610</v>
      </c>
      <c r="C1242" t="s">
        <v>32</v>
      </c>
      <c r="D1242" t="s">
        <v>68</v>
      </c>
      <c r="E1242" t="s">
        <v>26</v>
      </c>
      <c r="F1242">
        <v>24795</v>
      </c>
      <c r="G1242">
        <v>36510</v>
      </c>
      <c r="H1242">
        <v>2425</v>
      </c>
      <c r="I1242">
        <v>208</v>
      </c>
      <c r="J1242">
        <v>376</v>
      </c>
      <c r="K1242">
        <v>330</v>
      </c>
      <c r="L1242">
        <v>21806</v>
      </c>
      <c r="M1242">
        <v>153</v>
      </c>
      <c r="N1242" s="1">
        <v>0.55208333333333337</v>
      </c>
      <c r="O1242" t="s">
        <v>30</v>
      </c>
    </row>
    <row r="1243" spans="1:15" x14ac:dyDescent="0.3">
      <c r="A1243" t="s">
        <v>1281</v>
      </c>
      <c r="B1243">
        <v>20251019</v>
      </c>
      <c r="C1243" t="s">
        <v>16</v>
      </c>
      <c r="D1243" t="s">
        <v>33</v>
      </c>
      <c r="E1243" t="s">
        <v>51</v>
      </c>
      <c r="F1243">
        <v>18663</v>
      </c>
      <c r="G1243">
        <v>27170</v>
      </c>
      <c r="H1243">
        <v>1562</v>
      </c>
      <c r="I1243">
        <v>192</v>
      </c>
      <c r="J1243">
        <v>134</v>
      </c>
      <c r="K1243">
        <v>157</v>
      </c>
      <c r="L1243">
        <v>0</v>
      </c>
      <c r="M1243">
        <v>97</v>
      </c>
      <c r="N1243" s="1">
        <v>0.91666666666666663</v>
      </c>
      <c r="O1243" t="s">
        <v>47</v>
      </c>
    </row>
    <row r="1244" spans="1:15" x14ac:dyDescent="0.3">
      <c r="A1244" t="s">
        <v>1282</v>
      </c>
      <c r="B1244">
        <v>20260715</v>
      </c>
      <c r="C1244" t="s">
        <v>16</v>
      </c>
      <c r="D1244" t="s">
        <v>29</v>
      </c>
      <c r="E1244" t="s">
        <v>22</v>
      </c>
      <c r="F1244">
        <v>17373</v>
      </c>
      <c r="G1244">
        <v>20464</v>
      </c>
      <c r="H1244">
        <v>1280</v>
      </c>
      <c r="I1244">
        <v>119</v>
      </c>
      <c r="J1244">
        <v>94</v>
      </c>
      <c r="K1244">
        <v>177</v>
      </c>
      <c r="L1244">
        <v>0</v>
      </c>
      <c r="M1244">
        <v>39</v>
      </c>
      <c r="N1244" s="1">
        <v>0.33333333333333331</v>
      </c>
      <c r="O1244" t="s">
        <v>30</v>
      </c>
    </row>
    <row r="1245" spans="1:15" x14ac:dyDescent="0.3">
      <c r="A1245" t="s">
        <v>1283</v>
      </c>
      <c r="B1245">
        <v>20260728</v>
      </c>
      <c r="C1245" t="s">
        <v>16</v>
      </c>
      <c r="D1245" t="s">
        <v>61</v>
      </c>
      <c r="E1245" t="s">
        <v>46</v>
      </c>
      <c r="F1245">
        <v>14152</v>
      </c>
      <c r="G1245">
        <v>21902</v>
      </c>
      <c r="H1245">
        <v>1589</v>
      </c>
      <c r="I1245">
        <v>152</v>
      </c>
      <c r="J1245">
        <v>101</v>
      </c>
      <c r="K1245">
        <v>163</v>
      </c>
      <c r="L1245">
        <v>6713</v>
      </c>
      <c r="M1245">
        <v>58</v>
      </c>
      <c r="N1245" s="1">
        <v>0.84375</v>
      </c>
      <c r="O1245" t="s">
        <v>49</v>
      </c>
    </row>
    <row r="1246" spans="1:15" x14ac:dyDescent="0.3">
      <c r="A1246" t="s">
        <v>1284</v>
      </c>
      <c r="B1246">
        <v>20260716</v>
      </c>
      <c r="C1246" t="s">
        <v>44</v>
      </c>
      <c r="D1246" t="s">
        <v>33</v>
      </c>
      <c r="E1246" t="s">
        <v>26</v>
      </c>
      <c r="F1246">
        <v>20149</v>
      </c>
      <c r="G1246">
        <v>25463</v>
      </c>
      <c r="H1246">
        <v>2274</v>
      </c>
      <c r="I1246">
        <v>178</v>
      </c>
      <c r="J1246">
        <v>187</v>
      </c>
      <c r="K1246">
        <v>354</v>
      </c>
      <c r="L1246">
        <v>8552</v>
      </c>
      <c r="M1246">
        <v>235</v>
      </c>
      <c r="N1246" s="1">
        <v>0.76041666666666663</v>
      </c>
      <c r="O1246" t="s">
        <v>47</v>
      </c>
    </row>
    <row r="1247" spans="1:15" x14ac:dyDescent="0.3">
      <c r="A1247" t="s">
        <v>1285</v>
      </c>
      <c r="B1247">
        <v>20250216</v>
      </c>
      <c r="C1247" t="s">
        <v>16</v>
      </c>
      <c r="D1247" t="s">
        <v>68</v>
      </c>
      <c r="E1247" t="s">
        <v>41</v>
      </c>
      <c r="F1247">
        <v>26000</v>
      </c>
      <c r="G1247">
        <v>33841</v>
      </c>
      <c r="H1247">
        <v>2550</v>
      </c>
      <c r="I1247">
        <v>74</v>
      </c>
      <c r="J1247">
        <v>404</v>
      </c>
      <c r="K1247">
        <v>406</v>
      </c>
      <c r="L1247">
        <v>12786</v>
      </c>
      <c r="M1247">
        <v>390</v>
      </c>
      <c r="N1247" s="1">
        <v>0.66666666666666663</v>
      </c>
      <c r="O1247" t="s">
        <v>34</v>
      </c>
    </row>
    <row r="1248" spans="1:15" x14ac:dyDescent="0.3">
      <c r="A1248" t="s">
        <v>1286</v>
      </c>
      <c r="B1248">
        <v>20260516</v>
      </c>
      <c r="C1248" t="s">
        <v>16</v>
      </c>
      <c r="D1248" t="s">
        <v>68</v>
      </c>
      <c r="E1248" t="s">
        <v>51</v>
      </c>
      <c r="F1248">
        <v>31622</v>
      </c>
      <c r="G1248">
        <v>47252</v>
      </c>
      <c r="H1248">
        <v>2466</v>
      </c>
      <c r="I1248">
        <v>217</v>
      </c>
      <c r="J1248">
        <v>381</v>
      </c>
      <c r="K1248">
        <v>195</v>
      </c>
      <c r="L1248">
        <v>0</v>
      </c>
      <c r="M1248">
        <v>446</v>
      </c>
      <c r="N1248" s="1">
        <v>0.69791666666666663</v>
      </c>
      <c r="O1248" t="s">
        <v>30</v>
      </c>
    </row>
    <row r="1249" spans="1:15" x14ac:dyDescent="0.3">
      <c r="A1249" t="s">
        <v>1287</v>
      </c>
      <c r="B1249">
        <v>20251124</v>
      </c>
      <c r="C1249" t="s">
        <v>16</v>
      </c>
      <c r="D1249" t="s">
        <v>29</v>
      </c>
      <c r="E1249" t="s">
        <v>18</v>
      </c>
      <c r="F1249">
        <v>12613</v>
      </c>
      <c r="G1249">
        <v>18384</v>
      </c>
      <c r="H1249">
        <v>622</v>
      </c>
      <c r="I1249">
        <v>18</v>
      </c>
      <c r="J1249">
        <v>47</v>
      </c>
      <c r="K1249">
        <v>14</v>
      </c>
      <c r="L1249">
        <v>0</v>
      </c>
      <c r="M1249">
        <v>31</v>
      </c>
      <c r="N1249" s="1">
        <v>0.86458333333333337</v>
      </c>
      <c r="O1249" t="s">
        <v>19</v>
      </c>
    </row>
    <row r="1250" spans="1:15" x14ac:dyDescent="0.3">
      <c r="A1250" t="s">
        <v>1288</v>
      </c>
      <c r="B1250">
        <v>20260331</v>
      </c>
      <c r="C1250" t="s">
        <v>16</v>
      </c>
      <c r="D1250" t="s">
        <v>21</v>
      </c>
      <c r="E1250" t="s">
        <v>46</v>
      </c>
      <c r="F1250">
        <v>8961</v>
      </c>
      <c r="G1250">
        <v>13428</v>
      </c>
      <c r="H1250">
        <v>1053</v>
      </c>
      <c r="I1250">
        <v>145</v>
      </c>
      <c r="J1250">
        <v>173</v>
      </c>
      <c r="K1250">
        <v>22</v>
      </c>
      <c r="L1250">
        <v>6790</v>
      </c>
      <c r="M1250">
        <v>40</v>
      </c>
      <c r="N1250" s="1">
        <v>0.53125</v>
      </c>
      <c r="O1250" t="s">
        <v>49</v>
      </c>
    </row>
    <row r="1251" spans="1:15" x14ac:dyDescent="0.3">
      <c r="A1251" t="s">
        <v>1289</v>
      </c>
      <c r="B1251">
        <v>20260923</v>
      </c>
      <c r="C1251" t="s">
        <v>16</v>
      </c>
      <c r="D1251" t="s">
        <v>36</v>
      </c>
      <c r="E1251" t="s">
        <v>51</v>
      </c>
      <c r="F1251">
        <v>10351</v>
      </c>
      <c r="G1251">
        <v>11228</v>
      </c>
      <c r="H1251">
        <v>756</v>
      </c>
      <c r="I1251">
        <v>85</v>
      </c>
      <c r="J1251">
        <v>124</v>
      </c>
      <c r="K1251">
        <v>62</v>
      </c>
      <c r="L1251">
        <v>0</v>
      </c>
      <c r="M1251">
        <v>166</v>
      </c>
      <c r="N1251" s="1">
        <v>0.90625</v>
      </c>
      <c r="O1251" t="s">
        <v>38</v>
      </c>
    </row>
    <row r="1252" spans="1:15" x14ac:dyDescent="0.3">
      <c r="A1252" t="s">
        <v>1290</v>
      </c>
      <c r="B1252">
        <v>20260727</v>
      </c>
      <c r="C1252" t="s">
        <v>16</v>
      </c>
      <c r="D1252" t="s">
        <v>61</v>
      </c>
      <c r="E1252" t="s">
        <v>41</v>
      </c>
      <c r="F1252">
        <v>24684</v>
      </c>
      <c r="G1252">
        <v>33474</v>
      </c>
      <c r="H1252">
        <v>645</v>
      </c>
      <c r="I1252">
        <v>52</v>
      </c>
      <c r="J1252">
        <v>112</v>
      </c>
      <c r="K1252">
        <v>46</v>
      </c>
      <c r="L1252">
        <v>8810</v>
      </c>
      <c r="M1252">
        <v>329</v>
      </c>
      <c r="N1252" s="1">
        <v>0.46875</v>
      </c>
      <c r="O1252" t="s">
        <v>42</v>
      </c>
    </row>
    <row r="1253" spans="1:15" x14ac:dyDescent="0.3">
      <c r="A1253" t="s">
        <v>1291</v>
      </c>
      <c r="B1253">
        <v>20250210</v>
      </c>
      <c r="C1253" t="s">
        <v>40</v>
      </c>
      <c r="D1253" t="s">
        <v>33</v>
      </c>
      <c r="E1253" t="s">
        <v>26</v>
      </c>
      <c r="F1253">
        <v>13363</v>
      </c>
      <c r="G1253">
        <v>18697</v>
      </c>
      <c r="H1253">
        <v>686</v>
      </c>
      <c r="I1253">
        <v>23</v>
      </c>
      <c r="J1253">
        <v>115</v>
      </c>
      <c r="K1253">
        <v>50</v>
      </c>
      <c r="L1253">
        <v>8100</v>
      </c>
      <c r="M1253">
        <v>98</v>
      </c>
      <c r="N1253" s="1">
        <v>0.53125</v>
      </c>
      <c r="O1253" t="s">
        <v>47</v>
      </c>
    </row>
    <row r="1254" spans="1:15" x14ac:dyDescent="0.3">
      <c r="A1254" t="s">
        <v>1292</v>
      </c>
      <c r="B1254">
        <v>20260429</v>
      </c>
      <c r="C1254" t="s">
        <v>25</v>
      </c>
      <c r="D1254" t="s">
        <v>21</v>
      </c>
      <c r="E1254" t="s">
        <v>46</v>
      </c>
      <c r="F1254">
        <v>26030</v>
      </c>
      <c r="G1254">
        <v>36235</v>
      </c>
      <c r="H1254">
        <v>2707</v>
      </c>
      <c r="I1254">
        <v>182</v>
      </c>
      <c r="J1254">
        <v>400</v>
      </c>
      <c r="K1254">
        <v>176</v>
      </c>
      <c r="L1254">
        <v>13849</v>
      </c>
      <c r="M1254">
        <v>101</v>
      </c>
      <c r="N1254" s="1">
        <v>0.55208333333333337</v>
      </c>
      <c r="O1254" t="s">
        <v>47</v>
      </c>
    </row>
    <row r="1255" spans="1:15" x14ac:dyDescent="0.3">
      <c r="A1255" t="s">
        <v>1293</v>
      </c>
      <c r="B1255">
        <v>20250128</v>
      </c>
      <c r="C1255" t="s">
        <v>16</v>
      </c>
      <c r="D1255" t="s">
        <v>17</v>
      </c>
      <c r="E1255" t="s">
        <v>26</v>
      </c>
      <c r="F1255">
        <v>7280</v>
      </c>
      <c r="G1255">
        <v>10568</v>
      </c>
      <c r="H1255">
        <v>563</v>
      </c>
      <c r="I1255">
        <v>67</v>
      </c>
      <c r="J1255">
        <v>40</v>
      </c>
      <c r="K1255">
        <v>63</v>
      </c>
      <c r="L1255">
        <v>5451</v>
      </c>
      <c r="M1255">
        <v>115</v>
      </c>
      <c r="N1255" s="1">
        <v>0.45833333333333331</v>
      </c>
      <c r="O1255" t="s">
        <v>38</v>
      </c>
    </row>
    <row r="1256" spans="1:15" x14ac:dyDescent="0.3">
      <c r="A1256" t="s">
        <v>1294</v>
      </c>
      <c r="B1256">
        <v>20260112</v>
      </c>
      <c r="C1256" t="s">
        <v>25</v>
      </c>
      <c r="D1256" t="s">
        <v>21</v>
      </c>
      <c r="E1256" t="s">
        <v>26</v>
      </c>
      <c r="F1256">
        <v>10582</v>
      </c>
      <c r="G1256">
        <v>14499</v>
      </c>
      <c r="H1256">
        <v>942</v>
      </c>
      <c r="I1256">
        <v>32</v>
      </c>
      <c r="J1256">
        <v>169</v>
      </c>
      <c r="K1256">
        <v>32</v>
      </c>
      <c r="L1256">
        <v>4195</v>
      </c>
      <c r="M1256">
        <v>153</v>
      </c>
      <c r="N1256" s="1">
        <v>0.33333333333333331</v>
      </c>
      <c r="O1256" t="s">
        <v>27</v>
      </c>
    </row>
    <row r="1257" spans="1:15" x14ac:dyDescent="0.3">
      <c r="A1257" t="s">
        <v>1295</v>
      </c>
      <c r="B1257">
        <v>20251219</v>
      </c>
      <c r="C1257" t="s">
        <v>16</v>
      </c>
      <c r="D1257" t="s">
        <v>21</v>
      </c>
      <c r="E1257" t="s">
        <v>41</v>
      </c>
      <c r="F1257">
        <v>48314</v>
      </c>
      <c r="G1257">
        <v>76877</v>
      </c>
      <c r="H1257">
        <v>1222</v>
      </c>
      <c r="I1257">
        <v>93</v>
      </c>
      <c r="J1257">
        <v>178</v>
      </c>
      <c r="K1257">
        <v>51</v>
      </c>
      <c r="L1257">
        <v>29219</v>
      </c>
      <c r="M1257">
        <v>316</v>
      </c>
      <c r="N1257" s="1">
        <v>0.89583333333333337</v>
      </c>
      <c r="O1257" t="s">
        <v>38</v>
      </c>
    </row>
    <row r="1258" spans="1:15" x14ac:dyDescent="0.3">
      <c r="A1258" t="s">
        <v>1296</v>
      </c>
      <c r="B1258">
        <v>20260713</v>
      </c>
      <c r="C1258" t="s">
        <v>32</v>
      </c>
      <c r="D1258" t="s">
        <v>68</v>
      </c>
      <c r="E1258" t="s">
        <v>41</v>
      </c>
      <c r="F1258">
        <v>5261</v>
      </c>
      <c r="G1258">
        <v>7289</v>
      </c>
      <c r="H1258">
        <v>173</v>
      </c>
      <c r="I1258">
        <v>23</v>
      </c>
      <c r="J1258">
        <v>33</v>
      </c>
      <c r="K1258">
        <v>21</v>
      </c>
      <c r="L1258">
        <v>2913</v>
      </c>
      <c r="M1258">
        <v>88</v>
      </c>
      <c r="N1258" s="1">
        <v>0.67708333333333337</v>
      </c>
      <c r="O1258" t="s">
        <v>30</v>
      </c>
    </row>
    <row r="1259" spans="1:15" x14ac:dyDescent="0.3">
      <c r="A1259" t="s">
        <v>1297</v>
      </c>
      <c r="B1259">
        <v>20260604</v>
      </c>
      <c r="C1259" t="s">
        <v>44</v>
      </c>
      <c r="D1259" t="s">
        <v>17</v>
      </c>
      <c r="E1259" t="s">
        <v>22</v>
      </c>
      <c r="F1259">
        <v>33101</v>
      </c>
      <c r="G1259">
        <v>47366</v>
      </c>
      <c r="H1259">
        <v>1679</v>
      </c>
      <c r="I1259">
        <v>225</v>
      </c>
      <c r="J1259">
        <v>142</v>
      </c>
      <c r="K1259">
        <v>52</v>
      </c>
      <c r="L1259">
        <v>0</v>
      </c>
      <c r="M1259">
        <v>434</v>
      </c>
      <c r="N1259" s="1">
        <v>0.41666666666666669</v>
      </c>
      <c r="O1259" t="s">
        <v>42</v>
      </c>
    </row>
    <row r="1260" spans="1:15" x14ac:dyDescent="0.3">
      <c r="A1260" t="s">
        <v>1298</v>
      </c>
      <c r="B1260">
        <v>20251124</v>
      </c>
      <c r="C1260" t="s">
        <v>44</v>
      </c>
      <c r="D1260" t="s">
        <v>17</v>
      </c>
      <c r="E1260" t="s">
        <v>18</v>
      </c>
      <c r="F1260">
        <v>56059</v>
      </c>
      <c r="G1260">
        <v>66138</v>
      </c>
      <c r="H1260">
        <v>4500</v>
      </c>
      <c r="I1260">
        <v>334</v>
      </c>
      <c r="J1260">
        <v>585</v>
      </c>
      <c r="K1260">
        <v>534</v>
      </c>
      <c r="L1260">
        <v>0</v>
      </c>
      <c r="M1260">
        <v>974</v>
      </c>
      <c r="N1260" s="1">
        <v>0.48958333333333331</v>
      </c>
      <c r="O1260" t="s">
        <v>19</v>
      </c>
    </row>
    <row r="1261" spans="1:15" x14ac:dyDescent="0.3">
      <c r="A1261" t="s">
        <v>1299</v>
      </c>
      <c r="B1261">
        <v>20250711</v>
      </c>
      <c r="C1261" t="s">
        <v>32</v>
      </c>
      <c r="D1261" t="s">
        <v>21</v>
      </c>
      <c r="E1261" t="s">
        <v>26</v>
      </c>
      <c r="F1261">
        <v>18173</v>
      </c>
      <c r="G1261">
        <v>29497</v>
      </c>
      <c r="H1261">
        <v>1078</v>
      </c>
      <c r="I1261">
        <v>61</v>
      </c>
      <c r="J1261">
        <v>188</v>
      </c>
      <c r="K1261">
        <v>109</v>
      </c>
      <c r="L1261">
        <v>9052</v>
      </c>
      <c r="M1261">
        <v>287</v>
      </c>
      <c r="N1261" s="1">
        <v>0.65625</v>
      </c>
      <c r="O1261" t="s">
        <v>23</v>
      </c>
    </row>
    <row r="1262" spans="1:15" x14ac:dyDescent="0.3">
      <c r="A1262" t="s">
        <v>1300</v>
      </c>
      <c r="B1262">
        <v>20260804</v>
      </c>
      <c r="C1262" t="s">
        <v>16</v>
      </c>
      <c r="D1262" t="s">
        <v>33</v>
      </c>
      <c r="E1262" t="s">
        <v>26</v>
      </c>
      <c r="F1262">
        <v>22588</v>
      </c>
      <c r="G1262">
        <v>34851</v>
      </c>
      <c r="H1262">
        <v>2331</v>
      </c>
      <c r="I1262">
        <v>137</v>
      </c>
      <c r="J1262">
        <v>326</v>
      </c>
      <c r="K1262">
        <v>244</v>
      </c>
      <c r="L1262">
        <v>10613</v>
      </c>
      <c r="M1262">
        <v>387</v>
      </c>
      <c r="N1262" s="1">
        <v>0.60416666666666663</v>
      </c>
      <c r="O1262" t="s">
        <v>34</v>
      </c>
    </row>
    <row r="1263" spans="1:15" x14ac:dyDescent="0.3">
      <c r="A1263" t="s">
        <v>1301</v>
      </c>
      <c r="B1263">
        <v>20250427</v>
      </c>
      <c r="C1263" t="s">
        <v>40</v>
      </c>
      <c r="D1263" t="s">
        <v>33</v>
      </c>
      <c r="E1263" t="s">
        <v>26</v>
      </c>
      <c r="F1263">
        <v>26839</v>
      </c>
      <c r="G1263">
        <v>34226</v>
      </c>
      <c r="H1263">
        <v>1885</v>
      </c>
      <c r="I1263">
        <v>130</v>
      </c>
      <c r="J1263">
        <v>87</v>
      </c>
      <c r="K1263">
        <v>175</v>
      </c>
      <c r="L1263">
        <v>17710</v>
      </c>
      <c r="M1263">
        <v>322</v>
      </c>
      <c r="N1263" s="1">
        <v>0.29166666666666669</v>
      </c>
      <c r="O1263" t="s">
        <v>49</v>
      </c>
    </row>
    <row r="1264" spans="1:15" x14ac:dyDescent="0.3">
      <c r="A1264" t="s">
        <v>1302</v>
      </c>
      <c r="B1264">
        <v>20250208</v>
      </c>
      <c r="C1264" t="s">
        <v>44</v>
      </c>
      <c r="D1264" t="s">
        <v>68</v>
      </c>
      <c r="E1264" t="s">
        <v>26</v>
      </c>
      <c r="F1264">
        <v>58290</v>
      </c>
      <c r="G1264">
        <v>81315</v>
      </c>
      <c r="H1264">
        <v>4127</v>
      </c>
      <c r="I1264">
        <v>268</v>
      </c>
      <c r="J1264">
        <v>134</v>
      </c>
      <c r="K1264">
        <v>555</v>
      </c>
      <c r="L1264">
        <v>34978</v>
      </c>
      <c r="M1264">
        <v>1006</v>
      </c>
      <c r="N1264" s="1">
        <v>0.36458333333333331</v>
      </c>
      <c r="O1264" t="s">
        <v>38</v>
      </c>
    </row>
    <row r="1265" spans="1:15" x14ac:dyDescent="0.3">
      <c r="A1265" t="s">
        <v>1303</v>
      </c>
      <c r="B1265">
        <v>20260825</v>
      </c>
      <c r="C1265" t="s">
        <v>16</v>
      </c>
      <c r="D1265" t="s">
        <v>29</v>
      </c>
      <c r="E1265" t="s">
        <v>41</v>
      </c>
      <c r="F1265">
        <v>22927</v>
      </c>
      <c r="G1265">
        <v>35477</v>
      </c>
      <c r="H1265">
        <v>2722</v>
      </c>
      <c r="I1265">
        <v>297</v>
      </c>
      <c r="J1265">
        <v>185</v>
      </c>
      <c r="K1265">
        <v>408</v>
      </c>
      <c r="L1265">
        <v>13199</v>
      </c>
      <c r="M1265">
        <v>143</v>
      </c>
      <c r="N1265" s="1">
        <v>0.94791666666666663</v>
      </c>
      <c r="O1265" t="s">
        <v>49</v>
      </c>
    </row>
    <row r="1266" spans="1:15" x14ac:dyDescent="0.3">
      <c r="A1266" t="s">
        <v>1304</v>
      </c>
      <c r="B1266">
        <v>20250629</v>
      </c>
      <c r="C1266" t="s">
        <v>40</v>
      </c>
      <c r="D1266" t="s">
        <v>61</v>
      </c>
      <c r="E1266" t="s">
        <v>46</v>
      </c>
      <c r="F1266">
        <v>25013</v>
      </c>
      <c r="G1266">
        <v>37692</v>
      </c>
      <c r="H1266">
        <v>1253</v>
      </c>
      <c r="I1266">
        <v>65</v>
      </c>
      <c r="J1266">
        <v>134</v>
      </c>
      <c r="K1266">
        <v>105</v>
      </c>
      <c r="L1266">
        <v>10577</v>
      </c>
      <c r="M1266">
        <v>130</v>
      </c>
      <c r="N1266" s="1">
        <v>0.75</v>
      </c>
      <c r="O1266" t="s">
        <v>47</v>
      </c>
    </row>
    <row r="1267" spans="1:15" x14ac:dyDescent="0.3">
      <c r="A1267" t="s">
        <v>1305</v>
      </c>
      <c r="B1267">
        <v>20251216</v>
      </c>
      <c r="C1267" t="s">
        <v>44</v>
      </c>
      <c r="D1267" t="s">
        <v>29</v>
      </c>
      <c r="E1267" t="s">
        <v>41</v>
      </c>
      <c r="F1267">
        <v>94382</v>
      </c>
      <c r="G1267">
        <v>155719</v>
      </c>
      <c r="H1267">
        <v>11302</v>
      </c>
      <c r="I1267">
        <v>306</v>
      </c>
      <c r="J1267">
        <v>913</v>
      </c>
      <c r="K1267">
        <v>692</v>
      </c>
      <c r="L1267">
        <v>57666</v>
      </c>
      <c r="M1267">
        <v>1643</v>
      </c>
      <c r="N1267" s="1">
        <v>0.53125</v>
      </c>
      <c r="O1267" t="s">
        <v>23</v>
      </c>
    </row>
    <row r="1268" spans="1:15" x14ac:dyDescent="0.3">
      <c r="A1268" t="s">
        <v>1306</v>
      </c>
      <c r="B1268">
        <v>20260226</v>
      </c>
      <c r="C1268" t="s">
        <v>44</v>
      </c>
      <c r="D1268" t="s">
        <v>61</v>
      </c>
      <c r="E1268" t="s">
        <v>22</v>
      </c>
      <c r="F1268">
        <v>11048</v>
      </c>
      <c r="G1268">
        <v>14452</v>
      </c>
      <c r="H1268">
        <v>1261</v>
      </c>
      <c r="I1268">
        <v>89</v>
      </c>
      <c r="J1268">
        <v>180</v>
      </c>
      <c r="K1268">
        <v>131</v>
      </c>
      <c r="L1268">
        <v>0</v>
      </c>
      <c r="M1268">
        <v>139</v>
      </c>
      <c r="N1268" s="1">
        <v>0.70833333333333337</v>
      </c>
      <c r="O1268" t="s">
        <v>42</v>
      </c>
    </row>
    <row r="1269" spans="1:15" x14ac:dyDescent="0.3">
      <c r="A1269" t="s">
        <v>1307</v>
      </c>
      <c r="B1269">
        <v>20251214</v>
      </c>
      <c r="C1269" t="s">
        <v>32</v>
      </c>
      <c r="D1269" t="s">
        <v>68</v>
      </c>
      <c r="E1269" t="s">
        <v>18</v>
      </c>
      <c r="F1269">
        <v>6862</v>
      </c>
      <c r="G1269">
        <v>9715</v>
      </c>
      <c r="H1269">
        <v>496</v>
      </c>
      <c r="I1269">
        <v>38</v>
      </c>
      <c r="J1269">
        <v>69</v>
      </c>
      <c r="K1269">
        <v>27</v>
      </c>
      <c r="L1269">
        <v>0</v>
      </c>
      <c r="M1269">
        <v>120</v>
      </c>
      <c r="N1269" s="1">
        <v>0.33333333333333331</v>
      </c>
      <c r="O1269" t="s">
        <v>19</v>
      </c>
    </row>
    <row r="1270" spans="1:15" x14ac:dyDescent="0.3">
      <c r="A1270" t="s">
        <v>1308</v>
      </c>
      <c r="B1270">
        <v>20250806</v>
      </c>
      <c r="C1270" t="s">
        <v>44</v>
      </c>
      <c r="D1270" t="s">
        <v>61</v>
      </c>
      <c r="E1270" t="s">
        <v>46</v>
      </c>
      <c r="F1270">
        <v>56950</v>
      </c>
      <c r="G1270">
        <v>66226</v>
      </c>
      <c r="H1270">
        <v>2509</v>
      </c>
      <c r="I1270">
        <v>247</v>
      </c>
      <c r="J1270">
        <v>199</v>
      </c>
      <c r="K1270">
        <v>114</v>
      </c>
      <c r="L1270">
        <v>34025</v>
      </c>
      <c r="M1270">
        <v>952</v>
      </c>
      <c r="N1270" s="1">
        <v>0.46875</v>
      </c>
      <c r="O1270" t="s">
        <v>53</v>
      </c>
    </row>
    <row r="1271" spans="1:15" x14ac:dyDescent="0.3">
      <c r="A1271" t="s">
        <v>1309</v>
      </c>
      <c r="B1271">
        <v>20251201</v>
      </c>
      <c r="C1271" t="s">
        <v>40</v>
      </c>
      <c r="D1271" t="s">
        <v>29</v>
      </c>
      <c r="E1271" t="s">
        <v>41</v>
      </c>
      <c r="F1271">
        <v>17637</v>
      </c>
      <c r="G1271">
        <v>23181</v>
      </c>
      <c r="H1271">
        <v>1068</v>
      </c>
      <c r="I1271">
        <v>118</v>
      </c>
      <c r="J1271">
        <v>85</v>
      </c>
      <c r="K1271">
        <v>128</v>
      </c>
      <c r="L1271">
        <v>8944</v>
      </c>
      <c r="M1271">
        <v>113</v>
      </c>
      <c r="N1271" s="1">
        <v>0.4375</v>
      </c>
      <c r="O1271" t="s">
        <v>47</v>
      </c>
    </row>
    <row r="1272" spans="1:15" x14ac:dyDescent="0.3">
      <c r="A1272" t="s">
        <v>1310</v>
      </c>
      <c r="B1272">
        <v>20250617</v>
      </c>
      <c r="C1272" t="s">
        <v>40</v>
      </c>
      <c r="D1272" t="s">
        <v>21</v>
      </c>
      <c r="E1272" t="s">
        <v>18</v>
      </c>
      <c r="F1272">
        <v>15627</v>
      </c>
      <c r="G1272">
        <v>24404</v>
      </c>
      <c r="H1272">
        <v>1106</v>
      </c>
      <c r="I1272">
        <v>52</v>
      </c>
      <c r="J1272">
        <v>187</v>
      </c>
      <c r="K1272">
        <v>38</v>
      </c>
      <c r="L1272">
        <v>0</v>
      </c>
      <c r="M1272">
        <v>159</v>
      </c>
      <c r="N1272" s="1">
        <v>0.38541666666666669</v>
      </c>
      <c r="O1272" t="s">
        <v>53</v>
      </c>
    </row>
    <row r="1273" spans="1:15" x14ac:dyDescent="0.3">
      <c r="A1273" t="s">
        <v>1311</v>
      </c>
      <c r="B1273">
        <v>20250331</v>
      </c>
      <c r="C1273" t="s">
        <v>32</v>
      </c>
      <c r="D1273" t="s">
        <v>68</v>
      </c>
      <c r="E1273" t="s">
        <v>18</v>
      </c>
      <c r="F1273">
        <v>2745</v>
      </c>
      <c r="G1273">
        <v>3331</v>
      </c>
      <c r="H1273">
        <v>163</v>
      </c>
      <c r="I1273">
        <v>20</v>
      </c>
      <c r="J1273">
        <v>13</v>
      </c>
      <c r="K1273">
        <v>7</v>
      </c>
      <c r="L1273">
        <v>0</v>
      </c>
      <c r="M1273">
        <v>6</v>
      </c>
      <c r="N1273" s="1">
        <v>0.6875</v>
      </c>
      <c r="O1273" t="s">
        <v>30</v>
      </c>
    </row>
    <row r="1274" spans="1:15" x14ac:dyDescent="0.3">
      <c r="A1274" t="s">
        <v>1312</v>
      </c>
      <c r="B1274">
        <v>20260407</v>
      </c>
      <c r="C1274" t="s">
        <v>16</v>
      </c>
      <c r="D1274" t="s">
        <v>17</v>
      </c>
      <c r="E1274" t="s">
        <v>51</v>
      </c>
      <c r="F1274">
        <v>29300</v>
      </c>
      <c r="G1274">
        <v>42741</v>
      </c>
      <c r="H1274">
        <v>2608</v>
      </c>
      <c r="I1274">
        <v>251</v>
      </c>
      <c r="J1274">
        <v>214</v>
      </c>
      <c r="K1274">
        <v>192</v>
      </c>
      <c r="L1274">
        <v>0</v>
      </c>
      <c r="M1274">
        <v>50</v>
      </c>
      <c r="N1274" s="1">
        <v>0.69791666666666663</v>
      </c>
      <c r="O1274" t="s">
        <v>42</v>
      </c>
    </row>
    <row r="1275" spans="1:15" x14ac:dyDescent="0.3">
      <c r="A1275" t="s">
        <v>1313</v>
      </c>
      <c r="B1275">
        <v>20260522</v>
      </c>
      <c r="C1275" t="s">
        <v>32</v>
      </c>
      <c r="D1275" t="s">
        <v>36</v>
      </c>
      <c r="E1275" t="s">
        <v>46</v>
      </c>
      <c r="F1275">
        <v>15597</v>
      </c>
      <c r="G1275">
        <v>23620</v>
      </c>
      <c r="H1275">
        <v>1388</v>
      </c>
      <c r="I1275">
        <v>135</v>
      </c>
      <c r="J1275">
        <v>105</v>
      </c>
      <c r="K1275">
        <v>62</v>
      </c>
      <c r="L1275">
        <v>9610</v>
      </c>
      <c r="M1275">
        <v>207</v>
      </c>
      <c r="N1275" s="1">
        <v>0.84375</v>
      </c>
      <c r="O1275" t="s">
        <v>49</v>
      </c>
    </row>
    <row r="1276" spans="1:15" x14ac:dyDescent="0.3">
      <c r="A1276" t="s">
        <v>1314</v>
      </c>
      <c r="B1276">
        <v>20250817</v>
      </c>
      <c r="C1276" t="s">
        <v>16</v>
      </c>
      <c r="D1276" t="s">
        <v>21</v>
      </c>
      <c r="E1276" t="s">
        <v>46</v>
      </c>
      <c r="F1276">
        <v>28172</v>
      </c>
      <c r="G1276">
        <v>30838</v>
      </c>
      <c r="H1276">
        <v>1278</v>
      </c>
      <c r="I1276">
        <v>81</v>
      </c>
      <c r="J1276">
        <v>150</v>
      </c>
      <c r="K1276">
        <v>194</v>
      </c>
      <c r="L1276">
        <v>23911</v>
      </c>
      <c r="M1276">
        <v>215</v>
      </c>
      <c r="N1276" s="1">
        <v>0.82291666666666663</v>
      </c>
      <c r="O1276" t="s">
        <v>49</v>
      </c>
    </row>
    <row r="1277" spans="1:15" x14ac:dyDescent="0.3">
      <c r="A1277" t="s">
        <v>1315</v>
      </c>
      <c r="B1277">
        <v>20250907</v>
      </c>
      <c r="C1277" t="s">
        <v>32</v>
      </c>
      <c r="D1277" t="s">
        <v>21</v>
      </c>
      <c r="E1277" t="s">
        <v>22</v>
      </c>
      <c r="F1277">
        <v>13762</v>
      </c>
      <c r="G1277">
        <v>14984</v>
      </c>
      <c r="H1277">
        <v>836</v>
      </c>
      <c r="I1277">
        <v>55</v>
      </c>
      <c r="J1277">
        <v>122</v>
      </c>
      <c r="K1277">
        <v>120</v>
      </c>
      <c r="L1277">
        <v>0</v>
      </c>
      <c r="M1277">
        <v>128</v>
      </c>
      <c r="N1277" s="1">
        <v>0.65625</v>
      </c>
      <c r="O1277" t="s">
        <v>49</v>
      </c>
    </row>
    <row r="1278" spans="1:15" x14ac:dyDescent="0.3">
      <c r="A1278" t="s">
        <v>1316</v>
      </c>
      <c r="B1278">
        <v>20260725</v>
      </c>
      <c r="C1278" t="s">
        <v>25</v>
      </c>
      <c r="D1278" t="s">
        <v>36</v>
      </c>
      <c r="E1278" t="s">
        <v>18</v>
      </c>
      <c r="F1278">
        <v>13546</v>
      </c>
      <c r="G1278">
        <v>14853</v>
      </c>
      <c r="H1278">
        <v>425</v>
      </c>
      <c r="I1278">
        <v>23</v>
      </c>
      <c r="J1278">
        <v>34</v>
      </c>
      <c r="K1278">
        <v>58</v>
      </c>
      <c r="L1278">
        <v>0</v>
      </c>
      <c r="M1278">
        <v>25</v>
      </c>
      <c r="N1278" s="1">
        <v>0.78125</v>
      </c>
      <c r="O1278" t="s">
        <v>27</v>
      </c>
    </row>
    <row r="1279" spans="1:15" x14ac:dyDescent="0.3">
      <c r="A1279" t="s">
        <v>1317</v>
      </c>
      <c r="B1279">
        <v>20260228</v>
      </c>
      <c r="C1279" t="s">
        <v>16</v>
      </c>
      <c r="D1279" t="s">
        <v>21</v>
      </c>
      <c r="E1279" t="s">
        <v>46</v>
      </c>
      <c r="F1279">
        <v>10783</v>
      </c>
      <c r="G1279">
        <v>11487</v>
      </c>
      <c r="H1279">
        <v>617</v>
      </c>
      <c r="I1279">
        <v>76</v>
      </c>
      <c r="J1279">
        <v>42</v>
      </c>
      <c r="K1279">
        <v>80</v>
      </c>
      <c r="L1279">
        <v>4145</v>
      </c>
      <c r="M1279">
        <v>157</v>
      </c>
      <c r="N1279" s="1">
        <v>0.41666666666666669</v>
      </c>
      <c r="O1279" t="s">
        <v>34</v>
      </c>
    </row>
    <row r="1280" spans="1:15" x14ac:dyDescent="0.3">
      <c r="A1280" t="s">
        <v>1318</v>
      </c>
      <c r="B1280">
        <v>20260911</v>
      </c>
      <c r="C1280" t="s">
        <v>32</v>
      </c>
      <c r="D1280" t="s">
        <v>68</v>
      </c>
      <c r="E1280" t="s">
        <v>41</v>
      </c>
      <c r="F1280">
        <v>42056</v>
      </c>
      <c r="G1280">
        <v>44602</v>
      </c>
      <c r="H1280">
        <v>4660</v>
      </c>
      <c r="I1280">
        <v>131</v>
      </c>
      <c r="J1280">
        <v>185</v>
      </c>
      <c r="K1280">
        <v>545</v>
      </c>
      <c r="L1280">
        <v>35363</v>
      </c>
      <c r="M1280">
        <v>601</v>
      </c>
      <c r="N1280" s="1">
        <v>0.85416666666666663</v>
      </c>
      <c r="O1280" t="s">
        <v>47</v>
      </c>
    </row>
    <row r="1281" spans="1:15" x14ac:dyDescent="0.3">
      <c r="A1281" t="s">
        <v>1319</v>
      </c>
      <c r="B1281">
        <v>20250925</v>
      </c>
      <c r="C1281" t="s">
        <v>16</v>
      </c>
      <c r="D1281" t="s">
        <v>33</v>
      </c>
      <c r="E1281" t="s">
        <v>18</v>
      </c>
      <c r="F1281">
        <v>22652</v>
      </c>
      <c r="G1281">
        <v>24497</v>
      </c>
      <c r="H1281">
        <v>1343</v>
      </c>
      <c r="I1281">
        <v>87</v>
      </c>
      <c r="J1281">
        <v>154</v>
      </c>
      <c r="K1281">
        <v>132</v>
      </c>
      <c r="L1281">
        <v>0</v>
      </c>
      <c r="M1281">
        <v>128</v>
      </c>
      <c r="N1281" s="1">
        <v>0.52083333333333337</v>
      </c>
      <c r="O1281" t="s">
        <v>47</v>
      </c>
    </row>
    <row r="1282" spans="1:15" x14ac:dyDescent="0.3">
      <c r="A1282" t="s">
        <v>1320</v>
      </c>
      <c r="B1282">
        <v>20250425</v>
      </c>
      <c r="C1282" t="s">
        <v>25</v>
      </c>
      <c r="D1282" t="s">
        <v>33</v>
      </c>
      <c r="E1282" t="s">
        <v>51</v>
      </c>
      <c r="F1282">
        <v>8269</v>
      </c>
      <c r="G1282">
        <v>10822</v>
      </c>
      <c r="H1282">
        <v>455</v>
      </c>
      <c r="I1282">
        <v>28</v>
      </c>
      <c r="J1282">
        <v>24</v>
      </c>
      <c r="K1282">
        <v>46</v>
      </c>
      <c r="L1282">
        <v>0</v>
      </c>
      <c r="M1282">
        <v>48</v>
      </c>
      <c r="N1282" s="1">
        <v>0.44791666666666669</v>
      </c>
      <c r="O1282" t="s">
        <v>19</v>
      </c>
    </row>
    <row r="1283" spans="1:15" x14ac:dyDescent="0.3">
      <c r="A1283" t="s">
        <v>1321</v>
      </c>
      <c r="B1283">
        <v>20250123</v>
      </c>
      <c r="C1283" t="s">
        <v>16</v>
      </c>
      <c r="D1283" t="s">
        <v>36</v>
      </c>
      <c r="E1283" t="s">
        <v>46</v>
      </c>
      <c r="F1283">
        <v>39179</v>
      </c>
      <c r="G1283">
        <v>54802</v>
      </c>
      <c r="H1283">
        <v>2686</v>
      </c>
      <c r="I1283">
        <v>358</v>
      </c>
      <c r="J1283">
        <v>327</v>
      </c>
      <c r="K1283">
        <v>72</v>
      </c>
      <c r="L1283">
        <v>29046</v>
      </c>
      <c r="M1283">
        <v>419</v>
      </c>
      <c r="N1283" s="1">
        <v>0.54166666666666663</v>
      </c>
      <c r="O1283" t="s">
        <v>53</v>
      </c>
    </row>
    <row r="1284" spans="1:15" x14ac:dyDescent="0.3">
      <c r="A1284" t="s">
        <v>1322</v>
      </c>
      <c r="B1284">
        <v>20251208</v>
      </c>
      <c r="C1284" t="s">
        <v>40</v>
      </c>
      <c r="D1284" t="s">
        <v>61</v>
      </c>
      <c r="E1284" t="s">
        <v>46</v>
      </c>
      <c r="F1284">
        <v>51563</v>
      </c>
      <c r="G1284">
        <v>80460</v>
      </c>
      <c r="H1284">
        <v>1536</v>
      </c>
      <c r="I1284">
        <v>208</v>
      </c>
      <c r="J1284">
        <v>81</v>
      </c>
      <c r="K1284">
        <v>112</v>
      </c>
      <c r="L1284">
        <v>27802</v>
      </c>
      <c r="M1284">
        <v>424</v>
      </c>
      <c r="N1284" s="1">
        <v>0.89583333333333337</v>
      </c>
      <c r="O1284" t="s">
        <v>49</v>
      </c>
    </row>
    <row r="1285" spans="1:15" x14ac:dyDescent="0.3">
      <c r="A1285" t="s">
        <v>1323</v>
      </c>
      <c r="B1285">
        <v>20260623</v>
      </c>
      <c r="C1285" t="s">
        <v>40</v>
      </c>
      <c r="E1285" t="s">
        <v>51</v>
      </c>
      <c r="F1285">
        <v>5845</v>
      </c>
      <c r="G1285">
        <v>9197</v>
      </c>
      <c r="H1285">
        <v>559</v>
      </c>
      <c r="I1285">
        <v>53</v>
      </c>
      <c r="J1285">
        <v>102</v>
      </c>
      <c r="K1285">
        <v>81</v>
      </c>
      <c r="L1285">
        <v>0</v>
      </c>
      <c r="M1285">
        <v>58</v>
      </c>
      <c r="N1285" s="1">
        <v>0.52083333333333337</v>
      </c>
      <c r="O1285" t="s">
        <v>34</v>
      </c>
    </row>
    <row r="1286" spans="1:15" x14ac:dyDescent="0.3">
      <c r="A1286" t="s">
        <v>1324</v>
      </c>
      <c r="B1286">
        <v>20250720</v>
      </c>
      <c r="C1286" t="s">
        <v>16</v>
      </c>
      <c r="D1286" t="s">
        <v>21</v>
      </c>
      <c r="E1286" t="s">
        <v>46</v>
      </c>
      <c r="F1286">
        <v>14577</v>
      </c>
      <c r="G1286">
        <v>15846</v>
      </c>
      <c r="H1286">
        <v>422</v>
      </c>
      <c r="I1286">
        <v>13</v>
      </c>
      <c r="J1286">
        <v>41</v>
      </c>
      <c r="K1286">
        <v>19</v>
      </c>
      <c r="L1286">
        <v>11210</v>
      </c>
      <c r="M1286">
        <v>95</v>
      </c>
      <c r="N1286" s="1">
        <v>0.51041666666666663</v>
      </c>
      <c r="O1286" t="s">
        <v>34</v>
      </c>
    </row>
    <row r="1287" spans="1:15" x14ac:dyDescent="0.3">
      <c r="A1287" t="s">
        <v>1325</v>
      </c>
      <c r="B1287">
        <v>20260224</v>
      </c>
      <c r="C1287" t="s">
        <v>25</v>
      </c>
      <c r="D1287" t="s">
        <v>21</v>
      </c>
      <c r="E1287" t="s">
        <v>46</v>
      </c>
      <c r="F1287">
        <v>21221</v>
      </c>
      <c r="G1287">
        <v>28447</v>
      </c>
      <c r="H1287">
        <v>1573</v>
      </c>
      <c r="I1287">
        <v>67</v>
      </c>
      <c r="J1287">
        <v>248</v>
      </c>
      <c r="K1287">
        <v>75</v>
      </c>
      <c r="L1287">
        <v>15404</v>
      </c>
      <c r="M1287">
        <v>337</v>
      </c>
      <c r="N1287" s="1">
        <v>0.6875</v>
      </c>
      <c r="O1287" t="s">
        <v>30</v>
      </c>
    </row>
    <row r="1288" spans="1:15" x14ac:dyDescent="0.3">
      <c r="A1288" t="s">
        <v>1326</v>
      </c>
      <c r="B1288">
        <v>20260827</v>
      </c>
      <c r="C1288" t="s">
        <v>40</v>
      </c>
      <c r="D1288" t="s">
        <v>21</v>
      </c>
      <c r="E1288" t="s">
        <v>18</v>
      </c>
      <c r="F1288">
        <v>40085</v>
      </c>
      <c r="G1288">
        <v>51088</v>
      </c>
      <c r="H1288">
        <v>3935</v>
      </c>
      <c r="I1288">
        <v>253</v>
      </c>
      <c r="J1288">
        <v>363</v>
      </c>
      <c r="K1288">
        <v>582</v>
      </c>
      <c r="L1288">
        <v>0</v>
      </c>
      <c r="M1288">
        <v>180</v>
      </c>
      <c r="N1288" s="1">
        <v>0.625</v>
      </c>
      <c r="O1288" t="s">
        <v>53</v>
      </c>
    </row>
    <row r="1289" spans="1:15" x14ac:dyDescent="0.3">
      <c r="A1289" t="s">
        <v>1327</v>
      </c>
      <c r="B1289">
        <v>20251126</v>
      </c>
      <c r="C1289" t="s">
        <v>25</v>
      </c>
      <c r="D1289" t="s">
        <v>61</v>
      </c>
      <c r="E1289" t="s">
        <v>51</v>
      </c>
      <c r="F1289">
        <v>10304</v>
      </c>
      <c r="G1289">
        <v>15857</v>
      </c>
      <c r="H1289">
        <v>865</v>
      </c>
      <c r="I1289">
        <v>84</v>
      </c>
      <c r="J1289">
        <v>48</v>
      </c>
      <c r="K1289">
        <v>19</v>
      </c>
      <c r="L1289">
        <v>0</v>
      </c>
      <c r="M1289">
        <v>48</v>
      </c>
      <c r="N1289" s="1">
        <v>0.91666666666666663</v>
      </c>
      <c r="O1289" t="s">
        <v>34</v>
      </c>
    </row>
    <row r="1290" spans="1:15" x14ac:dyDescent="0.3">
      <c r="A1290" t="s">
        <v>1328</v>
      </c>
      <c r="B1290">
        <v>20260726</v>
      </c>
      <c r="C1290" t="s">
        <v>40</v>
      </c>
      <c r="D1290" t="s">
        <v>21</v>
      </c>
      <c r="E1290" t="s">
        <v>18</v>
      </c>
      <c r="F1290">
        <v>4552</v>
      </c>
      <c r="G1290">
        <v>5597</v>
      </c>
      <c r="H1290">
        <v>428</v>
      </c>
      <c r="I1290">
        <v>51</v>
      </c>
      <c r="J1290">
        <v>67</v>
      </c>
      <c r="K1290">
        <v>56</v>
      </c>
      <c r="L1290">
        <v>0</v>
      </c>
      <c r="M1290">
        <v>13</v>
      </c>
      <c r="N1290" s="1">
        <v>0.58333333333333337</v>
      </c>
      <c r="O1290" t="s">
        <v>19</v>
      </c>
    </row>
    <row r="1291" spans="1:15" x14ac:dyDescent="0.3">
      <c r="A1291" t="s">
        <v>1329</v>
      </c>
      <c r="B1291">
        <v>20250906</v>
      </c>
      <c r="C1291" t="s">
        <v>44</v>
      </c>
      <c r="D1291" t="s">
        <v>29</v>
      </c>
      <c r="E1291" t="s">
        <v>18</v>
      </c>
      <c r="F1291">
        <v>62043</v>
      </c>
      <c r="G1291">
        <v>101780</v>
      </c>
      <c r="H1291">
        <v>2761</v>
      </c>
      <c r="I1291">
        <v>273</v>
      </c>
      <c r="J1291">
        <v>385</v>
      </c>
      <c r="K1291">
        <v>295</v>
      </c>
      <c r="L1291">
        <v>0</v>
      </c>
      <c r="M1291">
        <v>92</v>
      </c>
      <c r="N1291" s="1">
        <v>0.94791666666666663</v>
      </c>
      <c r="O1291" t="s">
        <v>42</v>
      </c>
    </row>
    <row r="1292" spans="1:15" x14ac:dyDescent="0.3">
      <c r="A1292" t="s">
        <v>1330</v>
      </c>
      <c r="B1292">
        <v>20260704</v>
      </c>
      <c r="C1292" t="s">
        <v>32</v>
      </c>
      <c r="D1292" t="s">
        <v>36</v>
      </c>
      <c r="E1292" t="s">
        <v>26</v>
      </c>
      <c r="F1292">
        <v>4372</v>
      </c>
      <c r="G1292">
        <v>5165</v>
      </c>
      <c r="H1292">
        <v>423</v>
      </c>
      <c r="I1292">
        <v>52</v>
      </c>
      <c r="J1292">
        <v>25</v>
      </c>
      <c r="K1292">
        <v>55</v>
      </c>
      <c r="L1292">
        <v>2563</v>
      </c>
      <c r="M1292">
        <v>7</v>
      </c>
      <c r="N1292" s="1">
        <v>0.375</v>
      </c>
      <c r="O1292" t="s">
        <v>30</v>
      </c>
    </row>
    <row r="1293" spans="1:15" x14ac:dyDescent="0.3">
      <c r="A1293" t="s">
        <v>1331</v>
      </c>
      <c r="B1293">
        <v>20250928</v>
      </c>
      <c r="C1293" t="s">
        <v>16</v>
      </c>
      <c r="D1293" t="s">
        <v>61</v>
      </c>
      <c r="E1293" t="s">
        <v>22</v>
      </c>
      <c r="F1293">
        <v>11618</v>
      </c>
      <c r="G1293">
        <v>17429</v>
      </c>
      <c r="H1293">
        <v>1036</v>
      </c>
      <c r="I1293">
        <v>138</v>
      </c>
      <c r="J1293">
        <v>37</v>
      </c>
      <c r="K1293">
        <v>35</v>
      </c>
      <c r="L1293">
        <v>0</v>
      </c>
      <c r="M1293">
        <v>127</v>
      </c>
      <c r="N1293" s="1">
        <v>0.45833333333333331</v>
      </c>
      <c r="O1293" t="s">
        <v>23</v>
      </c>
    </row>
    <row r="1294" spans="1:15" x14ac:dyDescent="0.3">
      <c r="A1294" t="s">
        <v>1332</v>
      </c>
      <c r="B1294">
        <v>20260503</v>
      </c>
      <c r="C1294" t="s">
        <v>40</v>
      </c>
      <c r="D1294" t="s">
        <v>17</v>
      </c>
      <c r="E1294" t="s">
        <v>18</v>
      </c>
      <c r="F1294">
        <v>15466</v>
      </c>
      <c r="G1294">
        <v>25393</v>
      </c>
      <c r="H1294">
        <v>1442</v>
      </c>
      <c r="I1294">
        <v>90</v>
      </c>
      <c r="J1294">
        <v>153</v>
      </c>
      <c r="K1294">
        <v>202</v>
      </c>
      <c r="L1294">
        <v>0</v>
      </c>
      <c r="M1294">
        <v>148</v>
      </c>
      <c r="N1294" s="1">
        <v>0.39583333333333331</v>
      </c>
      <c r="O1294" t="s">
        <v>38</v>
      </c>
    </row>
    <row r="1295" spans="1:15" x14ac:dyDescent="0.3">
      <c r="A1295" t="s">
        <v>1333</v>
      </c>
      <c r="B1295">
        <v>20260115</v>
      </c>
      <c r="C1295" t="s">
        <v>32</v>
      </c>
      <c r="D1295" t="s">
        <v>33</v>
      </c>
      <c r="E1295" t="s">
        <v>41</v>
      </c>
      <c r="F1295">
        <v>6919</v>
      </c>
      <c r="G1295">
        <v>9769</v>
      </c>
      <c r="H1295">
        <v>518</v>
      </c>
      <c r="I1295">
        <v>61</v>
      </c>
      <c r="J1295">
        <v>78</v>
      </c>
      <c r="K1295">
        <v>29</v>
      </c>
      <c r="L1295">
        <v>4866</v>
      </c>
      <c r="M1295">
        <v>38</v>
      </c>
      <c r="N1295" s="1">
        <v>0.40625</v>
      </c>
      <c r="O1295" t="s">
        <v>23</v>
      </c>
    </row>
    <row r="1296" spans="1:15" x14ac:dyDescent="0.3">
      <c r="A1296" t="s">
        <v>1334</v>
      </c>
      <c r="B1296">
        <v>20251014</v>
      </c>
      <c r="C1296" t="s">
        <v>25</v>
      </c>
      <c r="D1296" t="s">
        <v>36</v>
      </c>
      <c r="E1296" t="s">
        <v>18</v>
      </c>
      <c r="F1296">
        <v>3526</v>
      </c>
      <c r="G1296">
        <v>4208</v>
      </c>
      <c r="H1296">
        <v>159</v>
      </c>
      <c r="I1296">
        <v>6</v>
      </c>
      <c r="J1296">
        <v>28</v>
      </c>
      <c r="K1296">
        <v>10</v>
      </c>
      <c r="L1296">
        <v>0</v>
      </c>
      <c r="M1296">
        <v>17</v>
      </c>
      <c r="N1296" s="1">
        <v>0.875</v>
      </c>
      <c r="O1296" t="s">
        <v>30</v>
      </c>
    </row>
    <row r="1297" spans="1:15" x14ac:dyDescent="0.3">
      <c r="A1297" t="s">
        <v>1335</v>
      </c>
      <c r="B1297">
        <v>20260226</v>
      </c>
      <c r="C1297" t="s">
        <v>16</v>
      </c>
      <c r="D1297" t="s">
        <v>33</v>
      </c>
      <c r="E1297" t="s">
        <v>26</v>
      </c>
      <c r="F1297">
        <v>15558</v>
      </c>
      <c r="G1297">
        <v>22421</v>
      </c>
      <c r="H1297">
        <v>670</v>
      </c>
      <c r="I1297">
        <v>43</v>
      </c>
      <c r="J1297">
        <v>97</v>
      </c>
      <c r="K1297">
        <v>31</v>
      </c>
      <c r="L1297">
        <v>6542</v>
      </c>
      <c r="M1297">
        <v>157</v>
      </c>
      <c r="N1297" s="1">
        <v>0.52083333333333337</v>
      </c>
      <c r="O1297" t="s">
        <v>38</v>
      </c>
    </row>
    <row r="1298" spans="1:15" x14ac:dyDescent="0.3">
      <c r="A1298" t="s">
        <v>1336</v>
      </c>
      <c r="B1298">
        <v>20260406</v>
      </c>
      <c r="C1298" t="s">
        <v>25</v>
      </c>
      <c r="D1298" t="s">
        <v>68</v>
      </c>
      <c r="E1298" t="s">
        <v>51</v>
      </c>
      <c r="F1298">
        <v>14145</v>
      </c>
      <c r="G1298">
        <v>20260</v>
      </c>
      <c r="H1298">
        <v>520</v>
      </c>
      <c r="I1298">
        <v>44</v>
      </c>
      <c r="J1298">
        <v>30</v>
      </c>
      <c r="K1298">
        <v>28</v>
      </c>
      <c r="L1298">
        <v>0</v>
      </c>
      <c r="M1298">
        <v>47</v>
      </c>
      <c r="N1298" s="1">
        <v>0.38541666666666669</v>
      </c>
      <c r="O1298" t="s">
        <v>47</v>
      </c>
    </row>
    <row r="1299" spans="1:15" x14ac:dyDescent="0.3">
      <c r="A1299" t="s">
        <v>1337</v>
      </c>
      <c r="B1299">
        <v>20260920</v>
      </c>
      <c r="C1299" t="s">
        <v>44</v>
      </c>
      <c r="D1299" t="s">
        <v>21</v>
      </c>
      <c r="E1299" t="s">
        <v>51</v>
      </c>
      <c r="F1299">
        <v>22367</v>
      </c>
      <c r="G1299">
        <v>32325</v>
      </c>
      <c r="H1299">
        <v>2186</v>
      </c>
      <c r="I1299">
        <v>126</v>
      </c>
      <c r="J1299">
        <v>419</v>
      </c>
      <c r="K1299">
        <v>49</v>
      </c>
      <c r="L1299">
        <v>0</v>
      </c>
      <c r="M1299">
        <v>379</v>
      </c>
      <c r="N1299" s="1">
        <v>0.35416666666666669</v>
      </c>
      <c r="O1299" t="s">
        <v>47</v>
      </c>
    </row>
    <row r="1300" spans="1:15" x14ac:dyDescent="0.3">
      <c r="A1300" t="s">
        <v>1338</v>
      </c>
      <c r="B1300">
        <v>20250428</v>
      </c>
      <c r="C1300" t="s">
        <v>16</v>
      </c>
      <c r="D1300" t="s">
        <v>68</v>
      </c>
      <c r="E1300" t="s">
        <v>51</v>
      </c>
      <c r="F1300">
        <v>28767</v>
      </c>
      <c r="G1300">
        <v>35761</v>
      </c>
      <c r="H1300">
        <v>2876</v>
      </c>
      <c r="I1300">
        <v>116</v>
      </c>
      <c r="J1300">
        <v>332</v>
      </c>
      <c r="K1300">
        <v>399</v>
      </c>
      <c r="L1300">
        <v>0</v>
      </c>
      <c r="M1300">
        <v>336</v>
      </c>
      <c r="N1300" s="1">
        <v>0.53125</v>
      </c>
      <c r="O1300" t="s">
        <v>38</v>
      </c>
    </row>
    <row r="1301" spans="1:15" x14ac:dyDescent="0.3">
      <c r="A1301" t="s">
        <v>1339</v>
      </c>
      <c r="B1301">
        <v>20250816</v>
      </c>
      <c r="C1301" t="s">
        <v>16</v>
      </c>
      <c r="D1301" t="s">
        <v>36</v>
      </c>
      <c r="E1301" t="s">
        <v>26</v>
      </c>
      <c r="F1301">
        <v>18801</v>
      </c>
      <c r="G1301">
        <v>29009</v>
      </c>
      <c r="H1301">
        <v>586</v>
      </c>
      <c r="I1301">
        <v>31</v>
      </c>
      <c r="J1301">
        <v>42</v>
      </c>
      <c r="K1301">
        <v>62</v>
      </c>
      <c r="L1301">
        <v>10864</v>
      </c>
      <c r="M1301">
        <v>215</v>
      </c>
      <c r="N1301" s="1">
        <v>0.82291666666666663</v>
      </c>
      <c r="O1301" t="s">
        <v>42</v>
      </c>
    </row>
    <row r="1302" spans="1:15" x14ac:dyDescent="0.3">
      <c r="A1302" t="s">
        <v>1340</v>
      </c>
      <c r="B1302">
        <v>20260905</v>
      </c>
      <c r="C1302" t="s">
        <v>40</v>
      </c>
      <c r="D1302" t="s">
        <v>36</v>
      </c>
      <c r="E1302" t="s">
        <v>46</v>
      </c>
      <c r="F1302">
        <v>49571</v>
      </c>
      <c r="G1302">
        <v>65245</v>
      </c>
      <c r="H1302">
        <v>3644</v>
      </c>
      <c r="I1302">
        <v>180</v>
      </c>
      <c r="J1302">
        <v>308</v>
      </c>
      <c r="K1302">
        <v>233</v>
      </c>
      <c r="L1302">
        <v>20972</v>
      </c>
      <c r="M1302">
        <v>267</v>
      </c>
      <c r="N1302" s="1">
        <v>0.30208333333333331</v>
      </c>
      <c r="O1302" t="s">
        <v>23</v>
      </c>
    </row>
    <row r="1303" spans="1:15" x14ac:dyDescent="0.3">
      <c r="A1303" t="s">
        <v>1341</v>
      </c>
      <c r="B1303">
        <v>20250802</v>
      </c>
      <c r="C1303" t="s">
        <v>40</v>
      </c>
      <c r="D1303" t="s">
        <v>29</v>
      </c>
      <c r="E1303" t="s">
        <v>22</v>
      </c>
      <c r="F1303">
        <v>25504</v>
      </c>
      <c r="G1303">
        <v>28188</v>
      </c>
      <c r="H1303">
        <v>2795</v>
      </c>
      <c r="I1303">
        <v>178</v>
      </c>
      <c r="J1303">
        <v>368</v>
      </c>
      <c r="K1303">
        <v>411</v>
      </c>
      <c r="L1303">
        <v>0</v>
      </c>
      <c r="M1303">
        <v>380</v>
      </c>
      <c r="N1303" s="1">
        <v>0.65625</v>
      </c>
      <c r="O1303" t="s">
        <v>34</v>
      </c>
    </row>
    <row r="1304" spans="1:15" x14ac:dyDescent="0.3">
      <c r="A1304" t="s">
        <v>1342</v>
      </c>
      <c r="B1304">
        <v>20250924</v>
      </c>
      <c r="C1304" t="s">
        <v>16</v>
      </c>
      <c r="D1304" t="s">
        <v>61</v>
      </c>
      <c r="E1304" t="s">
        <v>22</v>
      </c>
      <c r="F1304">
        <v>7843</v>
      </c>
      <c r="G1304">
        <v>8548</v>
      </c>
      <c r="H1304">
        <v>715</v>
      </c>
      <c r="I1304">
        <v>95</v>
      </c>
      <c r="J1304">
        <v>52</v>
      </c>
      <c r="K1304">
        <v>44</v>
      </c>
      <c r="L1304">
        <v>0</v>
      </c>
      <c r="M1304">
        <v>40</v>
      </c>
      <c r="N1304" s="1">
        <v>0.60416666666666663</v>
      </c>
      <c r="O1304" t="s">
        <v>49</v>
      </c>
    </row>
    <row r="1305" spans="1:15" x14ac:dyDescent="0.3">
      <c r="A1305" t="s">
        <v>1343</v>
      </c>
      <c r="B1305">
        <v>20260905</v>
      </c>
      <c r="C1305" t="s">
        <v>16</v>
      </c>
      <c r="D1305" t="s">
        <v>29</v>
      </c>
      <c r="E1305" t="s">
        <v>18</v>
      </c>
      <c r="F1305">
        <v>17801</v>
      </c>
      <c r="G1305">
        <v>26899</v>
      </c>
      <c r="H1305">
        <v>1110</v>
      </c>
      <c r="I1305">
        <v>99</v>
      </c>
      <c r="J1305">
        <v>163</v>
      </c>
      <c r="K1305">
        <v>131</v>
      </c>
      <c r="L1305">
        <v>0</v>
      </c>
      <c r="M1305">
        <v>278</v>
      </c>
      <c r="N1305" s="1">
        <v>0.76041666666666663</v>
      </c>
      <c r="O1305" t="s">
        <v>34</v>
      </c>
    </row>
    <row r="1306" spans="1:15" x14ac:dyDescent="0.3">
      <c r="A1306" t="s">
        <v>1344</v>
      </c>
      <c r="B1306">
        <v>20260329</v>
      </c>
      <c r="C1306" t="s">
        <v>25</v>
      </c>
      <c r="D1306" t="s">
        <v>21</v>
      </c>
      <c r="E1306" t="s">
        <v>41</v>
      </c>
      <c r="F1306">
        <v>8474</v>
      </c>
      <c r="G1306">
        <v>10075</v>
      </c>
      <c r="H1306">
        <v>338</v>
      </c>
      <c r="I1306">
        <v>45</v>
      </c>
      <c r="J1306">
        <v>54</v>
      </c>
      <c r="K1306">
        <v>14</v>
      </c>
      <c r="L1306">
        <v>2974</v>
      </c>
      <c r="M1306">
        <v>31</v>
      </c>
      <c r="N1306" s="1">
        <v>0.82291666666666663</v>
      </c>
      <c r="O1306" t="s">
        <v>53</v>
      </c>
    </row>
    <row r="1307" spans="1:15" x14ac:dyDescent="0.3">
      <c r="A1307" t="s">
        <v>1345</v>
      </c>
      <c r="B1307">
        <v>20250112</v>
      </c>
      <c r="C1307" t="s">
        <v>16</v>
      </c>
      <c r="D1307" t="s">
        <v>21</v>
      </c>
      <c r="E1307" t="s">
        <v>41</v>
      </c>
      <c r="F1307">
        <v>106522</v>
      </c>
      <c r="G1307">
        <v>114734</v>
      </c>
      <c r="H1307">
        <v>11396</v>
      </c>
      <c r="I1307">
        <v>485</v>
      </c>
      <c r="J1307">
        <v>2113</v>
      </c>
      <c r="K1307">
        <v>593</v>
      </c>
      <c r="L1307">
        <v>89243</v>
      </c>
      <c r="M1307">
        <v>407</v>
      </c>
      <c r="N1307" s="1">
        <v>0.6875</v>
      </c>
      <c r="O1307" t="s">
        <v>38</v>
      </c>
    </row>
    <row r="1308" spans="1:15" x14ac:dyDescent="0.3">
      <c r="A1308" t="s">
        <v>1346</v>
      </c>
      <c r="B1308">
        <v>20260131</v>
      </c>
      <c r="C1308" t="s">
        <v>40</v>
      </c>
      <c r="D1308" t="s">
        <v>29</v>
      </c>
      <c r="E1308" t="s">
        <v>41</v>
      </c>
      <c r="F1308">
        <v>29956</v>
      </c>
      <c r="G1308">
        <v>45655</v>
      </c>
      <c r="H1308">
        <v>2284</v>
      </c>
      <c r="I1308">
        <v>125</v>
      </c>
      <c r="J1308">
        <v>290</v>
      </c>
      <c r="K1308">
        <v>298</v>
      </c>
      <c r="L1308">
        <v>14292</v>
      </c>
      <c r="M1308">
        <v>161</v>
      </c>
      <c r="N1308" s="1">
        <v>0.76041666666666663</v>
      </c>
      <c r="O1308" t="s">
        <v>47</v>
      </c>
    </row>
    <row r="1309" spans="1:15" x14ac:dyDescent="0.3">
      <c r="A1309" t="s">
        <v>1347</v>
      </c>
      <c r="B1309">
        <v>20250314</v>
      </c>
      <c r="C1309" t="s">
        <v>32</v>
      </c>
      <c r="D1309" t="s">
        <v>36</v>
      </c>
      <c r="E1309" t="s">
        <v>18</v>
      </c>
      <c r="F1309">
        <v>6236</v>
      </c>
      <c r="G1309">
        <v>6819</v>
      </c>
      <c r="H1309">
        <v>716</v>
      </c>
      <c r="I1309">
        <v>78</v>
      </c>
      <c r="J1309">
        <v>28</v>
      </c>
      <c r="K1309">
        <v>38</v>
      </c>
      <c r="L1309">
        <v>0</v>
      </c>
      <c r="M1309">
        <v>87</v>
      </c>
      <c r="N1309" s="1">
        <v>0.46875</v>
      </c>
      <c r="O1309" t="s">
        <v>23</v>
      </c>
    </row>
    <row r="1310" spans="1:15" x14ac:dyDescent="0.3">
      <c r="A1310" t="s">
        <v>1348</v>
      </c>
      <c r="B1310">
        <v>20260527</v>
      </c>
      <c r="C1310" t="s">
        <v>25</v>
      </c>
      <c r="D1310" t="s">
        <v>17</v>
      </c>
      <c r="E1310" t="s">
        <v>46</v>
      </c>
      <c r="F1310">
        <v>9637</v>
      </c>
      <c r="G1310">
        <v>10859</v>
      </c>
      <c r="H1310">
        <v>366</v>
      </c>
      <c r="I1310">
        <v>42</v>
      </c>
      <c r="J1310">
        <v>28</v>
      </c>
      <c r="K1310">
        <v>47</v>
      </c>
      <c r="L1310">
        <v>4781</v>
      </c>
      <c r="M1310">
        <v>129</v>
      </c>
      <c r="N1310" s="1">
        <v>0.67708333333333337</v>
      </c>
      <c r="O1310" t="s">
        <v>49</v>
      </c>
    </row>
    <row r="1311" spans="1:15" x14ac:dyDescent="0.3">
      <c r="A1311" t="s">
        <v>1349</v>
      </c>
      <c r="B1311">
        <v>20260201</v>
      </c>
      <c r="C1311" t="s">
        <v>40</v>
      </c>
      <c r="D1311" t="s">
        <v>21</v>
      </c>
      <c r="E1311" t="s">
        <v>46</v>
      </c>
      <c r="F1311">
        <v>13347</v>
      </c>
      <c r="G1311">
        <v>14094</v>
      </c>
      <c r="H1311">
        <v>1328</v>
      </c>
      <c r="I1311">
        <v>56</v>
      </c>
      <c r="J1311">
        <v>186</v>
      </c>
      <c r="K1311">
        <v>171</v>
      </c>
      <c r="L1311">
        <v>11658</v>
      </c>
      <c r="M1311">
        <v>165</v>
      </c>
      <c r="N1311" s="1">
        <v>0.89583333333333337</v>
      </c>
      <c r="O1311" t="s">
        <v>34</v>
      </c>
    </row>
    <row r="1312" spans="1:15" x14ac:dyDescent="0.3">
      <c r="A1312" t="s">
        <v>1350</v>
      </c>
      <c r="B1312">
        <v>20260816</v>
      </c>
      <c r="C1312" t="s">
        <v>32</v>
      </c>
      <c r="D1312" t="s">
        <v>36</v>
      </c>
      <c r="E1312" t="s">
        <v>22</v>
      </c>
      <c r="F1312">
        <v>10029</v>
      </c>
      <c r="G1312">
        <v>13687</v>
      </c>
      <c r="H1312">
        <v>563</v>
      </c>
      <c r="I1312">
        <v>31</v>
      </c>
      <c r="J1312">
        <v>43</v>
      </c>
      <c r="K1312">
        <v>14</v>
      </c>
      <c r="L1312">
        <v>0</v>
      </c>
      <c r="M1312">
        <v>174</v>
      </c>
      <c r="N1312" s="1">
        <v>0.32291666666666669</v>
      </c>
      <c r="O1312" t="s">
        <v>23</v>
      </c>
    </row>
    <row r="1313" spans="1:15" x14ac:dyDescent="0.3">
      <c r="A1313" t="s">
        <v>1351</v>
      </c>
      <c r="B1313">
        <v>20260811</v>
      </c>
      <c r="C1313" t="s">
        <v>32</v>
      </c>
      <c r="D1313" t="s">
        <v>33</v>
      </c>
      <c r="E1313" t="s">
        <v>18</v>
      </c>
      <c r="F1313">
        <v>9082</v>
      </c>
      <c r="G1313">
        <v>14761</v>
      </c>
      <c r="H1313">
        <v>248</v>
      </c>
      <c r="I1313">
        <v>29</v>
      </c>
      <c r="J1313">
        <v>36</v>
      </c>
      <c r="K1313">
        <v>9</v>
      </c>
      <c r="L1313">
        <v>0</v>
      </c>
      <c r="M1313">
        <v>152</v>
      </c>
      <c r="N1313" s="1">
        <v>0.29166666666666669</v>
      </c>
      <c r="O1313" t="s">
        <v>34</v>
      </c>
    </row>
    <row r="1314" spans="1:15" x14ac:dyDescent="0.3">
      <c r="A1314" t="s">
        <v>1352</v>
      </c>
      <c r="B1314">
        <v>20260404</v>
      </c>
      <c r="C1314" t="s">
        <v>16</v>
      </c>
      <c r="D1314" t="s">
        <v>29</v>
      </c>
      <c r="E1314" t="s">
        <v>18</v>
      </c>
      <c r="F1314">
        <v>23096</v>
      </c>
      <c r="G1314">
        <v>34927</v>
      </c>
      <c r="H1314">
        <v>1821</v>
      </c>
      <c r="I1314">
        <v>152</v>
      </c>
      <c r="J1314">
        <v>259</v>
      </c>
      <c r="K1314">
        <v>261</v>
      </c>
      <c r="M1314">
        <v>284</v>
      </c>
      <c r="N1314" s="1">
        <v>0.88541666666666663</v>
      </c>
      <c r="O1314" t="s">
        <v>49</v>
      </c>
    </row>
    <row r="1315" spans="1:15" x14ac:dyDescent="0.3">
      <c r="A1315" t="s">
        <v>1353</v>
      </c>
      <c r="B1315">
        <v>20250227</v>
      </c>
      <c r="C1315" t="s">
        <v>44</v>
      </c>
      <c r="D1315" t="s">
        <v>29</v>
      </c>
      <c r="E1315" t="s">
        <v>41</v>
      </c>
      <c r="F1315">
        <v>59495</v>
      </c>
      <c r="G1315">
        <v>70707</v>
      </c>
      <c r="H1315">
        <v>2697</v>
      </c>
      <c r="I1315">
        <v>321</v>
      </c>
      <c r="J1315">
        <v>502</v>
      </c>
      <c r="K1315">
        <v>120</v>
      </c>
      <c r="L1315">
        <v>32107</v>
      </c>
      <c r="M1315">
        <v>716</v>
      </c>
      <c r="N1315" s="1">
        <v>0.6875</v>
      </c>
      <c r="O1315" t="s">
        <v>42</v>
      </c>
    </row>
    <row r="1316" spans="1:15" x14ac:dyDescent="0.3">
      <c r="A1316" t="s">
        <v>1354</v>
      </c>
      <c r="B1316">
        <v>20260121</v>
      </c>
      <c r="C1316" t="s">
        <v>40</v>
      </c>
      <c r="D1316" t="s">
        <v>21</v>
      </c>
      <c r="E1316" t="s">
        <v>46</v>
      </c>
      <c r="F1316">
        <v>19382</v>
      </c>
      <c r="G1316">
        <v>27308</v>
      </c>
      <c r="H1316">
        <v>1028</v>
      </c>
      <c r="I1316">
        <v>30</v>
      </c>
      <c r="J1316">
        <v>146</v>
      </c>
      <c r="K1316">
        <v>150</v>
      </c>
      <c r="L1316">
        <v>9694</v>
      </c>
      <c r="M1316">
        <v>159</v>
      </c>
      <c r="N1316" s="1">
        <v>0.84375</v>
      </c>
      <c r="O1316" t="s">
        <v>53</v>
      </c>
    </row>
    <row r="1317" spans="1:15" x14ac:dyDescent="0.3">
      <c r="A1317" t="s">
        <v>1355</v>
      </c>
      <c r="B1317">
        <v>20251209</v>
      </c>
      <c r="C1317" t="s">
        <v>32</v>
      </c>
      <c r="D1317" t="s">
        <v>33</v>
      </c>
      <c r="E1317" t="s">
        <v>18</v>
      </c>
      <c r="F1317">
        <v>7282</v>
      </c>
      <c r="G1317">
        <v>9023</v>
      </c>
      <c r="H1317">
        <v>841</v>
      </c>
      <c r="I1317">
        <v>52</v>
      </c>
      <c r="J1317">
        <v>133</v>
      </c>
      <c r="K1317">
        <v>110</v>
      </c>
      <c r="L1317">
        <v>0</v>
      </c>
      <c r="M1317">
        <v>46</v>
      </c>
      <c r="N1317" s="1">
        <v>0.71875</v>
      </c>
      <c r="O1317" t="s">
        <v>49</v>
      </c>
    </row>
    <row r="1318" spans="1:15" x14ac:dyDescent="0.3">
      <c r="A1318" t="s">
        <v>1356</v>
      </c>
      <c r="B1318">
        <v>20250122</v>
      </c>
      <c r="C1318" t="s">
        <v>44</v>
      </c>
      <c r="D1318" t="s">
        <v>21</v>
      </c>
      <c r="E1318" t="s">
        <v>22</v>
      </c>
      <c r="F1318">
        <v>32401</v>
      </c>
      <c r="G1318">
        <v>39278</v>
      </c>
      <c r="H1318">
        <v>1364</v>
      </c>
      <c r="I1318">
        <v>162</v>
      </c>
      <c r="J1318">
        <v>262</v>
      </c>
      <c r="K1318">
        <v>45</v>
      </c>
      <c r="L1318">
        <v>0</v>
      </c>
      <c r="M1318">
        <v>208</v>
      </c>
      <c r="N1318" s="1">
        <v>0.44791666666666669</v>
      </c>
      <c r="O1318" t="s">
        <v>49</v>
      </c>
    </row>
    <row r="1319" spans="1:15" x14ac:dyDescent="0.3">
      <c r="A1319" t="s">
        <v>1357</v>
      </c>
      <c r="B1319">
        <v>20260226</v>
      </c>
      <c r="C1319" t="s">
        <v>25</v>
      </c>
      <c r="D1319" t="s">
        <v>21</v>
      </c>
      <c r="E1319" t="s">
        <v>22</v>
      </c>
      <c r="F1319">
        <v>4778</v>
      </c>
      <c r="G1319">
        <v>5960</v>
      </c>
      <c r="H1319">
        <v>143</v>
      </c>
      <c r="I1319">
        <v>12</v>
      </c>
      <c r="J1319">
        <v>21</v>
      </c>
      <c r="K1319">
        <v>15</v>
      </c>
      <c r="L1319">
        <v>0</v>
      </c>
      <c r="M1319">
        <v>73</v>
      </c>
      <c r="N1319" s="1">
        <v>0.94791666666666663</v>
      </c>
      <c r="O1319" t="s">
        <v>47</v>
      </c>
    </row>
    <row r="1320" spans="1:15" x14ac:dyDescent="0.3">
      <c r="A1320" t="s">
        <v>1358</v>
      </c>
      <c r="B1320">
        <v>20260308</v>
      </c>
      <c r="C1320" t="s">
        <v>25</v>
      </c>
      <c r="D1320" t="s">
        <v>36</v>
      </c>
      <c r="E1320" t="s">
        <v>18</v>
      </c>
      <c r="F1320">
        <v>6001</v>
      </c>
      <c r="G1320">
        <v>8610</v>
      </c>
      <c r="H1320">
        <v>593</v>
      </c>
      <c r="I1320">
        <v>66</v>
      </c>
      <c r="J1320">
        <v>75</v>
      </c>
      <c r="K1320">
        <v>62</v>
      </c>
      <c r="L1320">
        <v>0</v>
      </c>
      <c r="M1320">
        <v>83</v>
      </c>
      <c r="N1320" s="1">
        <v>0.89583333333333337</v>
      </c>
      <c r="O1320" t="s">
        <v>38</v>
      </c>
    </row>
    <row r="1321" spans="1:15" x14ac:dyDescent="0.3">
      <c r="A1321" t="s">
        <v>1359</v>
      </c>
      <c r="B1321">
        <v>20250606</v>
      </c>
      <c r="C1321" t="s">
        <v>44</v>
      </c>
      <c r="D1321" t="s">
        <v>36</v>
      </c>
      <c r="E1321" t="s">
        <v>51</v>
      </c>
      <c r="F1321">
        <v>30366</v>
      </c>
      <c r="G1321">
        <v>42117</v>
      </c>
      <c r="H1321">
        <v>2387</v>
      </c>
      <c r="I1321">
        <v>278</v>
      </c>
      <c r="J1321">
        <v>97</v>
      </c>
      <c r="K1321">
        <v>52</v>
      </c>
      <c r="L1321">
        <v>0</v>
      </c>
      <c r="M1321">
        <v>331</v>
      </c>
      <c r="N1321" s="1">
        <v>0.30208333333333331</v>
      </c>
      <c r="O1321" t="s">
        <v>49</v>
      </c>
    </row>
    <row r="1322" spans="1:15" x14ac:dyDescent="0.3">
      <c r="A1322" t="s">
        <v>1360</v>
      </c>
      <c r="B1322">
        <v>20260609</v>
      </c>
      <c r="C1322" t="s">
        <v>44</v>
      </c>
      <c r="D1322" t="s">
        <v>33</v>
      </c>
      <c r="E1322" t="s">
        <v>46</v>
      </c>
      <c r="F1322">
        <v>80510</v>
      </c>
      <c r="G1322">
        <v>128081</v>
      </c>
      <c r="H1322">
        <v>3856</v>
      </c>
      <c r="I1322">
        <v>158</v>
      </c>
      <c r="J1322">
        <v>713</v>
      </c>
      <c r="K1322">
        <v>595</v>
      </c>
      <c r="L1322">
        <v>40238</v>
      </c>
      <c r="M1322">
        <v>1258</v>
      </c>
      <c r="N1322" s="1">
        <v>0.6875</v>
      </c>
      <c r="O1322" t="s">
        <v>27</v>
      </c>
    </row>
    <row r="1323" spans="1:15" x14ac:dyDescent="0.3">
      <c r="A1323" t="s">
        <v>1361</v>
      </c>
      <c r="B1323">
        <v>20260207</v>
      </c>
      <c r="C1323" t="s">
        <v>25</v>
      </c>
      <c r="D1323" t="s">
        <v>36</v>
      </c>
      <c r="E1323" t="s">
        <v>18</v>
      </c>
      <c r="F1323">
        <v>10710</v>
      </c>
      <c r="G1323">
        <v>16152</v>
      </c>
      <c r="H1323">
        <v>990</v>
      </c>
      <c r="I1323">
        <v>101</v>
      </c>
      <c r="J1323">
        <v>40</v>
      </c>
      <c r="K1323">
        <v>86</v>
      </c>
      <c r="L1323">
        <v>0</v>
      </c>
      <c r="M1323">
        <v>176</v>
      </c>
      <c r="N1323" s="1">
        <v>0.32291666666666669</v>
      </c>
      <c r="O1323" t="s">
        <v>47</v>
      </c>
    </row>
    <row r="1324" spans="1:15" x14ac:dyDescent="0.3">
      <c r="A1324" t="s">
        <v>1362</v>
      </c>
      <c r="B1324">
        <v>20251011</v>
      </c>
      <c r="C1324" t="s">
        <v>25</v>
      </c>
      <c r="D1324" t="s">
        <v>17</v>
      </c>
      <c r="E1324" t="s">
        <v>51</v>
      </c>
      <c r="F1324">
        <v>15360</v>
      </c>
      <c r="G1324">
        <v>16635</v>
      </c>
      <c r="H1324">
        <v>1056</v>
      </c>
      <c r="I1324">
        <v>116</v>
      </c>
      <c r="J1324">
        <v>38</v>
      </c>
      <c r="K1324">
        <v>136</v>
      </c>
      <c r="L1324">
        <v>0</v>
      </c>
      <c r="M1324">
        <v>184</v>
      </c>
      <c r="N1324" s="1">
        <v>0.67708333333333337</v>
      </c>
      <c r="O1324" t="s">
        <v>53</v>
      </c>
    </row>
    <row r="1325" spans="1:15" x14ac:dyDescent="0.3">
      <c r="A1325" t="s">
        <v>1363</v>
      </c>
      <c r="B1325">
        <v>20260829</v>
      </c>
      <c r="C1325" t="s">
        <v>25</v>
      </c>
      <c r="D1325" t="s">
        <v>17</v>
      </c>
      <c r="E1325" t="s">
        <v>18</v>
      </c>
      <c r="F1325">
        <v>7709</v>
      </c>
      <c r="G1325">
        <v>10683</v>
      </c>
      <c r="H1325">
        <v>838</v>
      </c>
      <c r="I1325">
        <v>65</v>
      </c>
      <c r="J1325">
        <v>115</v>
      </c>
      <c r="K1325">
        <v>86</v>
      </c>
      <c r="L1325">
        <v>0</v>
      </c>
      <c r="M1325">
        <v>20</v>
      </c>
      <c r="N1325" s="1">
        <v>0.44791666666666669</v>
      </c>
      <c r="O1325" t="s">
        <v>42</v>
      </c>
    </row>
    <row r="1326" spans="1:15" x14ac:dyDescent="0.3">
      <c r="A1326" t="s">
        <v>1364</v>
      </c>
      <c r="B1326">
        <v>20251130</v>
      </c>
      <c r="C1326" t="s">
        <v>32</v>
      </c>
      <c r="D1326" t="s">
        <v>33</v>
      </c>
      <c r="E1326" t="s">
        <v>41</v>
      </c>
      <c r="F1326">
        <v>15184</v>
      </c>
      <c r="G1326">
        <v>18665</v>
      </c>
      <c r="H1326">
        <v>1665</v>
      </c>
      <c r="I1326">
        <v>203</v>
      </c>
      <c r="J1326">
        <v>197</v>
      </c>
      <c r="K1326">
        <v>252</v>
      </c>
      <c r="L1326">
        <v>12073</v>
      </c>
      <c r="M1326">
        <v>165</v>
      </c>
      <c r="N1326" s="1">
        <v>0.39583333333333331</v>
      </c>
      <c r="O1326" t="s">
        <v>23</v>
      </c>
    </row>
    <row r="1327" spans="1:15" x14ac:dyDescent="0.3">
      <c r="A1327" t="s">
        <v>1365</v>
      </c>
      <c r="B1327">
        <v>20250101</v>
      </c>
      <c r="C1327" t="s">
        <v>16</v>
      </c>
      <c r="D1327" t="s">
        <v>33</v>
      </c>
      <c r="E1327" t="s">
        <v>41</v>
      </c>
      <c r="F1327">
        <v>76706</v>
      </c>
      <c r="G1327">
        <v>114020</v>
      </c>
      <c r="H1327">
        <v>2189</v>
      </c>
      <c r="I1327">
        <v>268</v>
      </c>
      <c r="J1327">
        <v>129</v>
      </c>
      <c r="K1327">
        <v>262</v>
      </c>
      <c r="L1327">
        <v>27884</v>
      </c>
      <c r="M1327">
        <v>504</v>
      </c>
      <c r="N1327" s="1">
        <v>0.875</v>
      </c>
      <c r="O1327" t="s">
        <v>23</v>
      </c>
    </row>
    <row r="1328" spans="1:15" x14ac:dyDescent="0.3">
      <c r="A1328" t="s">
        <v>1366</v>
      </c>
      <c r="B1328">
        <v>20260630</v>
      </c>
      <c r="C1328" t="s">
        <v>44</v>
      </c>
      <c r="D1328" t="s">
        <v>21</v>
      </c>
      <c r="E1328" t="s">
        <v>22</v>
      </c>
      <c r="F1328">
        <v>23358</v>
      </c>
      <c r="G1328">
        <v>27961</v>
      </c>
      <c r="H1328">
        <v>1105</v>
      </c>
      <c r="I1328">
        <v>139</v>
      </c>
      <c r="K1328">
        <v>52</v>
      </c>
      <c r="L1328">
        <v>0</v>
      </c>
      <c r="M1328">
        <v>88</v>
      </c>
      <c r="N1328" s="1">
        <v>0.85416666666666663</v>
      </c>
      <c r="O1328" t="s">
        <v>49</v>
      </c>
    </row>
    <row r="1329" spans="1:15" x14ac:dyDescent="0.3">
      <c r="A1329" t="s">
        <v>1367</v>
      </c>
      <c r="B1329">
        <v>20260729</v>
      </c>
      <c r="C1329" t="s">
        <v>16</v>
      </c>
      <c r="D1329" t="s">
        <v>68</v>
      </c>
      <c r="E1329" t="s">
        <v>46</v>
      </c>
      <c r="F1329">
        <v>24094</v>
      </c>
      <c r="G1329">
        <v>35024</v>
      </c>
      <c r="H1329">
        <v>1457</v>
      </c>
      <c r="I1329">
        <v>42</v>
      </c>
      <c r="J1329">
        <v>193</v>
      </c>
      <c r="K1329">
        <v>130</v>
      </c>
      <c r="L1329">
        <v>13667</v>
      </c>
      <c r="M1329">
        <v>168</v>
      </c>
      <c r="N1329" s="1">
        <v>0.64583333333333337</v>
      </c>
      <c r="O1329" t="s">
        <v>42</v>
      </c>
    </row>
    <row r="1330" spans="1:15" x14ac:dyDescent="0.3">
      <c r="A1330" t="s">
        <v>1368</v>
      </c>
      <c r="B1330">
        <v>20260318</v>
      </c>
      <c r="C1330" t="s">
        <v>40</v>
      </c>
      <c r="D1330" t="s">
        <v>33</v>
      </c>
      <c r="E1330" t="s">
        <v>22</v>
      </c>
      <c r="F1330">
        <v>8772</v>
      </c>
      <c r="G1330">
        <v>10057</v>
      </c>
      <c r="H1330">
        <v>750</v>
      </c>
      <c r="I1330">
        <v>89</v>
      </c>
      <c r="J1330">
        <v>55</v>
      </c>
      <c r="K1330">
        <v>29</v>
      </c>
      <c r="L1330">
        <v>0</v>
      </c>
      <c r="M1330">
        <v>77</v>
      </c>
      <c r="N1330" s="1">
        <v>0.59375</v>
      </c>
      <c r="O1330" t="s">
        <v>53</v>
      </c>
    </row>
    <row r="1331" spans="1:15" x14ac:dyDescent="0.3">
      <c r="A1331" t="s">
        <v>1369</v>
      </c>
      <c r="B1331">
        <v>20250603</v>
      </c>
      <c r="C1331" t="s">
        <v>16</v>
      </c>
      <c r="D1331" t="s">
        <v>61</v>
      </c>
      <c r="E1331" t="s">
        <v>18</v>
      </c>
      <c r="F1331">
        <v>36223</v>
      </c>
      <c r="G1331">
        <v>56142</v>
      </c>
      <c r="H1331">
        <v>3135</v>
      </c>
      <c r="I1331">
        <v>365</v>
      </c>
      <c r="J1331">
        <v>296</v>
      </c>
      <c r="K1331">
        <v>143</v>
      </c>
      <c r="L1331">
        <v>0</v>
      </c>
      <c r="M1331">
        <v>523</v>
      </c>
      <c r="N1331" s="1">
        <v>0.77083333333333337</v>
      </c>
      <c r="O1331" t="s">
        <v>19</v>
      </c>
    </row>
    <row r="1332" spans="1:15" x14ac:dyDescent="0.3">
      <c r="A1332" t="s">
        <v>1370</v>
      </c>
      <c r="B1332">
        <v>20260915</v>
      </c>
      <c r="C1332" t="s">
        <v>25</v>
      </c>
      <c r="D1332" t="s">
        <v>33</v>
      </c>
      <c r="E1332" t="s">
        <v>18</v>
      </c>
      <c r="F1332">
        <v>5474</v>
      </c>
      <c r="G1332">
        <v>5835</v>
      </c>
      <c r="H1332">
        <v>524</v>
      </c>
      <c r="I1332">
        <v>24</v>
      </c>
      <c r="J1332">
        <v>38</v>
      </c>
      <c r="K1332">
        <v>24</v>
      </c>
      <c r="L1332">
        <v>0</v>
      </c>
      <c r="M1332">
        <v>72</v>
      </c>
      <c r="N1332" s="1">
        <v>0.66666666666666663</v>
      </c>
      <c r="O1332" t="s">
        <v>38</v>
      </c>
    </row>
    <row r="1333" spans="1:15" x14ac:dyDescent="0.3">
      <c r="A1333" t="s">
        <v>1371</v>
      </c>
      <c r="B1333">
        <v>20250722</v>
      </c>
      <c r="C1333" t="s">
        <v>44</v>
      </c>
      <c r="D1333" t="s">
        <v>17</v>
      </c>
      <c r="E1333" t="s">
        <v>46</v>
      </c>
      <c r="F1333">
        <v>40573</v>
      </c>
      <c r="G1333">
        <v>54341</v>
      </c>
      <c r="H1333">
        <v>2542</v>
      </c>
      <c r="I1333">
        <v>125</v>
      </c>
      <c r="K1333">
        <v>355</v>
      </c>
      <c r="L1333">
        <v>16730</v>
      </c>
      <c r="M1333">
        <v>456</v>
      </c>
      <c r="N1333" s="1">
        <v>0.76041666666666663</v>
      </c>
      <c r="O1333" t="s">
        <v>30</v>
      </c>
    </row>
    <row r="1334" spans="1:15" x14ac:dyDescent="0.3">
      <c r="A1334" t="s">
        <v>1372</v>
      </c>
      <c r="B1334">
        <v>20251122</v>
      </c>
      <c r="C1334" t="s">
        <v>16</v>
      </c>
      <c r="D1334" t="s">
        <v>36</v>
      </c>
      <c r="E1334" t="s">
        <v>46</v>
      </c>
      <c r="F1334">
        <v>59045</v>
      </c>
      <c r="G1334">
        <v>76689</v>
      </c>
      <c r="H1334">
        <v>2964</v>
      </c>
      <c r="I1334">
        <v>407</v>
      </c>
      <c r="J1334">
        <v>413</v>
      </c>
      <c r="K1334">
        <v>354</v>
      </c>
      <c r="L1334">
        <v>38764</v>
      </c>
      <c r="M1334">
        <v>737</v>
      </c>
      <c r="N1334" s="1">
        <v>0.38541666666666669</v>
      </c>
      <c r="O1334" t="s">
        <v>42</v>
      </c>
    </row>
    <row r="1335" spans="1:15" x14ac:dyDescent="0.3">
      <c r="A1335" t="s">
        <v>1373</v>
      </c>
      <c r="B1335">
        <v>20260323</v>
      </c>
      <c r="C1335" t="s">
        <v>44</v>
      </c>
      <c r="D1335" t="s">
        <v>33</v>
      </c>
      <c r="E1335" t="s">
        <v>26</v>
      </c>
      <c r="F1335">
        <v>37336</v>
      </c>
      <c r="G1335">
        <v>48094</v>
      </c>
      <c r="H1335">
        <v>2077</v>
      </c>
      <c r="I1335">
        <v>121</v>
      </c>
      <c r="J1335">
        <v>355</v>
      </c>
      <c r="K1335">
        <v>257</v>
      </c>
      <c r="L1335">
        <v>31920</v>
      </c>
      <c r="M1335">
        <v>349</v>
      </c>
      <c r="N1335" s="1">
        <v>0.55208333333333337</v>
      </c>
      <c r="O1335" t="s">
        <v>23</v>
      </c>
    </row>
    <row r="1336" spans="1:15" x14ac:dyDescent="0.3">
      <c r="A1336" t="s">
        <v>1374</v>
      </c>
      <c r="B1336">
        <v>20260105</v>
      </c>
      <c r="C1336" t="s">
        <v>16</v>
      </c>
      <c r="D1336" t="s">
        <v>17</v>
      </c>
      <c r="E1336" t="s">
        <v>46</v>
      </c>
      <c r="F1336">
        <v>17280</v>
      </c>
      <c r="G1336">
        <v>27733</v>
      </c>
      <c r="H1336">
        <v>1340</v>
      </c>
      <c r="I1336">
        <v>65</v>
      </c>
      <c r="J1336">
        <v>80</v>
      </c>
      <c r="K1336">
        <v>99</v>
      </c>
      <c r="L1336">
        <v>9022</v>
      </c>
      <c r="M1336">
        <v>233</v>
      </c>
      <c r="N1336" s="1">
        <v>0.625</v>
      </c>
      <c r="O1336" t="s">
        <v>30</v>
      </c>
    </row>
    <row r="1337" spans="1:15" x14ac:dyDescent="0.3">
      <c r="A1337" t="s">
        <v>1375</v>
      </c>
      <c r="B1337">
        <v>20250608</v>
      </c>
      <c r="C1337" t="s">
        <v>32</v>
      </c>
      <c r="D1337" t="s">
        <v>61</v>
      </c>
      <c r="E1337" t="s">
        <v>18</v>
      </c>
      <c r="F1337">
        <v>8786</v>
      </c>
      <c r="G1337">
        <v>10009</v>
      </c>
      <c r="H1337">
        <v>1011</v>
      </c>
      <c r="I1337">
        <v>118</v>
      </c>
      <c r="J1337">
        <v>73</v>
      </c>
      <c r="K1337">
        <v>118</v>
      </c>
      <c r="L1337">
        <v>0</v>
      </c>
      <c r="M1337">
        <v>99</v>
      </c>
      <c r="N1337" s="1">
        <v>0.72916666666666663</v>
      </c>
      <c r="O1337" t="s">
        <v>47</v>
      </c>
    </row>
    <row r="1338" spans="1:15" x14ac:dyDescent="0.3">
      <c r="A1338" t="s">
        <v>1376</v>
      </c>
      <c r="B1338">
        <v>20260629</v>
      </c>
      <c r="C1338" t="s">
        <v>32</v>
      </c>
      <c r="D1338" t="s">
        <v>17</v>
      </c>
      <c r="E1338" t="s">
        <v>41</v>
      </c>
      <c r="F1338">
        <v>6432</v>
      </c>
      <c r="G1338">
        <v>7315</v>
      </c>
      <c r="H1338">
        <v>498</v>
      </c>
      <c r="I1338">
        <v>61</v>
      </c>
      <c r="J1338">
        <v>88</v>
      </c>
      <c r="K1338">
        <v>14</v>
      </c>
      <c r="L1338">
        <v>4352</v>
      </c>
      <c r="M1338">
        <v>55</v>
      </c>
      <c r="N1338" s="1">
        <v>0.57291666666666663</v>
      </c>
      <c r="O1338" t="s">
        <v>49</v>
      </c>
    </row>
    <row r="1339" spans="1:15" x14ac:dyDescent="0.3">
      <c r="A1339" t="s">
        <v>1377</v>
      </c>
      <c r="B1339">
        <v>20250529</v>
      </c>
      <c r="C1339" t="s">
        <v>40</v>
      </c>
      <c r="D1339" t="s">
        <v>17</v>
      </c>
      <c r="E1339" t="s">
        <v>41</v>
      </c>
      <c r="F1339">
        <v>26635</v>
      </c>
      <c r="G1339">
        <v>30511</v>
      </c>
      <c r="H1339">
        <v>1055</v>
      </c>
      <c r="I1339">
        <v>130</v>
      </c>
      <c r="J1339">
        <v>94</v>
      </c>
      <c r="K1339">
        <v>96</v>
      </c>
      <c r="L1339">
        <v>10406</v>
      </c>
      <c r="M1339">
        <v>316</v>
      </c>
      <c r="N1339" s="1">
        <v>0.51041666666666663</v>
      </c>
      <c r="O1339" t="s">
        <v>47</v>
      </c>
    </row>
    <row r="1340" spans="1:15" x14ac:dyDescent="0.3">
      <c r="A1340" t="s">
        <v>1378</v>
      </c>
      <c r="B1340">
        <v>20251219</v>
      </c>
      <c r="C1340" t="s">
        <v>16</v>
      </c>
      <c r="D1340" t="s">
        <v>21</v>
      </c>
      <c r="E1340" t="s">
        <v>46</v>
      </c>
      <c r="F1340">
        <v>37361</v>
      </c>
      <c r="G1340">
        <v>50053</v>
      </c>
      <c r="H1340">
        <v>2840</v>
      </c>
      <c r="I1340">
        <v>101</v>
      </c>
      <c r="J1340">
        <v>497</v>
      </c>
      <c r="K1340">
        <v>432</v>
      </c>
      <c r="L1340">
        <v>17023</v>
      </c>
      <c r="M1340">
        <v>540</v>
      </c>
      <c r="N1340" s="1">
        <v>0.80208333333333337</v>
      </c>
      <c r="O1340" t="s">
        <v>53</v>
      </c>
    </row>
    <row r="1341" spans="1:15" x14ac:dyDescent="0.3">
      <c r="A1341" t="s">
        <v>1379</v>
      </c>
      <c r="B1341">
        <v>20250510</v>
      </c>
      <c r="C1341" t="s">
        <v>16</v>
      </c>
      <c r="D1341" t="s">
        <v>68</v>
      </c>
      <c r="E1341" t="s">
        <v>26</v>
      </c>
      <c r="F1341">
        <v>25301</v>
      </c>
      <c r="G1341">
        <v>40540</v>
      </c>
      <c r="H1341">
        <v>1946</v>
      </c>
      <c r="I1341">
        <v>68</v>
      </c>
      <c r="J1341">
        <v>326</v>
      </c>
      <c r="K1341">
        <v>139</v>
      </c>
      <c r="L1341">
        <v>20563</v>
      </c>
      <c r="M1341">
        <v>73</v>
      </c>
      <c r="N1341" s="1">
        <v>0.30208333333333331</v>
      </c>
      <c r="O1341" t="s">
        <v>38</v>
      </c>
    </row>
    <row r="1342" spans="1:15" x14ac:dyDescent="0.3">
      <c r="A1342" t="s">
        <v>1380</v>
      </c>
      <c r="B1342">
        <v>20250103</v>
      </c>
      <c r="C1342" t="s">
        <v>25</v>
      </c>
      <c r="E1342" t="s">
        <v>18</v>
      </c>
      <c r="F1342">
        <v>9610</v>
      </c>
      <c r="G1342">
        <v>12223</v>
      </c>
      <c r="H1342">
        <v>759</v>
      </c>
      <c r="I1342">
        <v>36</v>
      </c>
      <c r="J1342">
        <v>123</v>
      </c>
      <c r="K1342">
        <v>74</v>
      </c>
      <c r="L1342">
        <v>0</v>
      </c>
      <c r="M1342">
        <v>110</v>
      </c>
      <c r="N1342" s="1">
        <v>0.32291666666666669</v>
      </c>
      <c r="O1342" t="s">
        <v>42</v>
      </c>
    </row>
    <row r="1343" spans="1:15" x14ac:dyDescent="0.3">
      <c r="A1343" t="s">
        <v>1381</v>
      </c>
      <c r="B1343">
        <v>20250103</v>
      </c>
      <c r="C1343" t="s">
        <v>40</v>
      </c>
      <c r="D1343" t="s">
        <v>68</v>
      </c>
      <c r="E1343" t="s">
        <v>18</v>
      </c>
      <c r="F1343">
        <v>16400</v>
      </c>
      <c r="G1343">
        <v>26337</v>
      </c>
      <c r="H1343">
        <v>1915</v>
      </c>
      <c r="I1343">
        <v>51</v>
      </c>
      <c r="J1343">
        <v>265</v>
      </c>
      <c r="K1343">
        <v>203</v>
      </c>
      <c r="L1343">
        <v>0</v>
      </c>
      <c r="M1343">
        <v>126</v>
      </c>
      <c r="N1343" s="1">
        <v>0.82291666666666663</v>
      </c>
      <c r="O1343" t="s">
        <v>42</v>
      </c>
    </row>
    <row r="1344" spans="1:15" x14ac:dyDescent="0.3">
      <c r="A1344" t="s">
        <v>1382</v>
      </c>
      <c r="B1344">
        <v>20260601</v>
      </c>
      <c r="C1344" t="s">
        <v>44</v>
      </c>
      <c r="D1344" t="s">
        <v>68</v>
      </c>
      <c r="E1344" t="s">
        <v>26</v>
      </c>
      <c r="F1344">
        <v>19842</v>
      </c>
      <c r="G1344">
        <v>23905</v>
      </c>
      <c r="H1344">
        <v>776</v>
      </c>
      <c r="I1344">
        <v>103</v>
      </c>
      <c r="J1344">
        <v>153</v>
      </c>
      <c r="K1344">
        <v>28</v>
      </c>
      <c r="L1344">
        <v>14912</v>
      </c>
      <c r="M1344">
        <v>193</v>
      </c>
      <c r="N1344" s="1">
        <v>0.63541666666666663</v>
      </c>
      <c r="O1344" t="s">
        <v>23</v>
      </c>
    </row>
    <row r="1345" spans="1:15" x14ac:dyDescent="0.3">
      <c r="A1345" t="s">
        <v>1383</v>
      </c>
      <c r="B1345">
        <v>20250728</v>
      </c>
      <c r="C1345" t="s">
        <v>44</v>
      </c>
      <c r="D1345" t="s">
        <v>36</v>
      </c>
      <c r="E1345" t="s">
        <v>18</v>
      </c>
      <c r="F1345">
        <v>81872</v>
      </c>
      <c r="G1345">
        <v>91062</v>
      </c>
      <c r="H1345">
        <v>2340</v>
      </c>
      <c r="I1345">
        <v>77</v>
      </c>
      <c r="J1345">
        <v>319</v>
      </c>
      <c r="K1345">
        <v>360</v>
      </c>
      <c r="L1345">
        <v>0</v>
      </c>
      <c r="M1345">
        <v>183</v>
      </c>
      <c r="N1345" s="1">
        <v>0.65625</v>
      </c>
      <c r="O1345" t="s">
        <v>53</v>
      </c>
    </row>
    <row r="1346" spans="1:15" x14ac:dyDescent="0.3">
      <c r="A1346" t="s">
        <v>1384</v>
      </c>
      <c r="B1346">
        <v>20260724</v>
      </c>
      <c r="C1346" t="s">
        <v>32</v>
      </c>
      <c r="D1346" t="s">
        <v>61</v>
      </c>
      <c r="E1346" t="s">
        <v>41</v>
      </c>
      <c r="F1346">
        <v>4149</v>
      </c>
      <c r="G1346">
        <v>6400</v>
      </c>
      <c r="H1346">
        <v>471</v>
      </c>
      <c r="I1346">
        <v>53</v>
      </c>
      <c r="J1346">
        <v>27</v>
      </c>
      <c r="K1346">
        <v>56</v>
      </c>
      <c r="L1346">
        <v>1508</v>
      </c>
      <c r="M1346">
        <v>49</v>
      </c>
      <c r="N1346" s="1">
        <v>0.73958333333333337</v>
      </c>
      <c r="O1346" t="s">
        <v>30</v>
      </c>
    </row>
    <row r="1347" spans="1:15" x14ac:dyDescent="0.3">
      <c r="A1347" t="s">
        <v>1385</v>
      </c>
      <c r="B1347">
        <v>20251105</v>
      </c>
      <c r="C1347" t="s">
        <v>44</v>
      </c>
      <c r="D1347" t="s">
        <v>17</v>
      </c>
      <c r="E1347" t="s">
        <v>18</v>
      </c>
      <c r="F1347">
        <v>62112</v>
      </c>
      <c r="G1347">
        <v>85520</v>
      </c>
      <c r="H1347">
        <v>5390</v>
      </c>
      <c r="I1347">
        <v>142</v>
      </c>
      <c r="J1347">
        <v>286</v>
      </c>
      <c r="K1347">
        <v>610</v>
      </c>
      <c r="L1347">
        <v>0</v>
      </c>
      <c r="M1347">
        <v>609</v>
      </c>
      <c r="N1347" s="1">
        <v>0.9375</v>
      </c>
      <c r="O1347" t="s">
        <v>42</v>
      </c>
    </row>
    <row r="1348" spans="1:15" x14ac:dyDescent="0.3">
      <c r="A1348" t="s">
        <v>1386</v>
      </c>
      <c r="B1348">
        <v>20251007</v>
      </c>
      <c r="C1348" t="s">
        <v>44</v>
      </c>
      <c r="D1348" t="s">
        <v>21</v>
      </c>
      <c r="E1348" t="s">
        <v>46</v>
      </c>
      <c r="F1348">
        <v>29710</v>
      </c>
      <c r="G1348">
        <v>33130</v>
      </c>
      <c r="H1348">
        <v>2392</v>
      </c>
      <c r="I1348">
        <v>69</v>
      </c>
      <c r="J1348">
        <v>106</v>
      </c>
      <c r="K1348">
        <v>178</v>
      </c>
      <c r="L1348">
        <v>13727</v>
      </c>
      <c r="M1348">
        <v>452</v>
      </c>
      <c r="N1348" s="1">
        <v>0.4375</v>
      </c>
      <c r="O1348" t="s">
        <v>38</v>
      </c>
    </row>
    <row r="1349" spans="1:15" x14ac:dyDescent="0.3">
      <c r="A1349" t="s">
        <v>1387</v>
      </c>
      <c r="B1349">
        <v>20250827</v>
      </c>
      <c r="C1349" t="s">
        <v>25</v>
      </c>
      <c r="D1349" t="s">
        <v>33</v>
      </c>
      <c r="E1349" t="s">
        <v>26</v>
      </c>
      <c r="F1349">
        <v>18354</v>
      </c>
      <c r="G1349">
        <v>20663</v>
      </c>
      <c r="H1349">
        <v>1029</v>
      </c>
      <c r="I1349">
        <v>142</v>
      </c>
      <c r="J1349">
        <v>138</v>
      </c>
      <c r="K1349">
        <v>58</v>
      </c>
      <c r="L1349">
        <v>7725</v>
      </c>
      <c r="M1349">
        <v>219</v>
      </c>
      <c r="N1349" s="1">
        <v>0.61458333333333337</v>
      </c>
      <c r="O1349" t="s">
        <v>27</v>
      </c>
    </row>
    <row r="1350" spans="1:15" x14ac:dyDescent="0.3">
      <c r="A1350" t="s">
        <v>1388</v>
      </c>
      <c r="B1350">
        <v>20251215</v>
      </c>
      <c r="C1350" t="s">
        <v>16</v>
      </c>
      <c r="D1350" t="s">
        <v>29</v>
      </c>
      <c r="E1350" t="s">
        <v>18</v>
      </c>
      <c r="F1350">
        <v>16617</v>
      </c>
      <c r="G1350">
        <v>26718</v>
      </c>
      <c r="H1350">
        <v>1018</v>
      </c>
      <c r="I1350">
        <v>91</v>
      </c>
      <c r="J1350">
        <v>55</v>
      </c>
      <c r="K1350">
        <v>29</v>
      </c>
      <c r="L1350">
        <v>0</v>
      </c>
      <c r="M1350">
        <v>262</v>
      </c>
      <c r="N1350" s="1">
        <v>0.55208333333333337</v>
      </c>
      <c r="O1350" t="s">
        <v>53</v>
      </c>
    </row>
    <row r="1351" spans="1:15" x14ac:dyDescent="0.3">
      <c r="A1351" t="s">
        <v>1389</v>
      </c>
      <c r="B1351">
        <v>20250313</v>
      </c>
      <c r="C1351" t="s">
        <v>40</v>
      </c>
      <c r="D1351" t="s">
        <v>36</v>
      </c>
      <c r="E1351" t="s">
        <v>26</v>
      </c>
      <c r="F1351">
        <v>2721</v>
      </c>
      <c r="G1351">
        <v>3333</v>
      </c>
      <c r="H1351">
        <v>305</v>
      </c>
      <c r="I1351">
        <v>18</v>
      </c>
      <c r="J1351">
        <v>12</v>
      </c>
      <c r="K1351">
        <v>9</v>
      </c>
      <c r="L1351">
        <v>1987</v>
      </c>
      <c r="M1351">
        <v>35</v>
      </c>
      <c r="N1351" s="1">
        <v>0.63541666666666663</v>
      </c>
      <c r="O1351" t="s">
        <v>49</v>
      </c>
    </row>
    <row r="1352" spans="1:15" x14ac:dyDescent="0.3">
      <c r="A1352" t="s">
        <v>1390</v>
      </c>
      <c r="B1352">
        <v>20250204</v>
      </c>
      <c r="C1352" t="s">
        <v>44</v>
      </c>
      <c r="D1352" t="s">
        <v>36</v>
      </c>
      <c r="E1352" t="s">
        <v>18</v>
      </c>
      <c r="F1352">
        <v>34716</v>
      </c>
      <c r="G1352">
        <v>49642</v>
      </c>
      <c r="H1352">
        <v>1125</v>
      </c>
      <c r="I1352">
        <v>60</v>
      </c>
      <c r="J1352">
        <v>180</v>
      </c>
      <c r="K1352">
        <v>112</v>
      </c>
      <c r="L1352">
        <v>0</v>
      </c>
      <c r="M1352">
        <v>89</v>
      </c>
      <c r="N1352" s="1">
        <v>0.42708333333333331</v>
      </c>
      <c r="O1352" t="s">
        <v>19</v>
      </c>
    </row>
    <row r="1353" spans="1:15" x14ac:dyDescent="0.3">
      <c r="A1353" t="s">
        <v>1391</v>
      </c>
      <c r="B1353">
        <v>20251101</v>
      </c>
      <c r="C1353" t="s">
        <v>16</v>
      </c>
      <c r="D1353" t="s">
        <v>29</v>
      </c>
      <c r="E1353" t="s">
        <v>51</v>
      </c>
      <c r="F1353">
        <v>10627</v>
      </c>
      <c r="G1353">
        <v>16721</v>
      </c>
      <c r="H1353">
        <v>1102</v>
      </c>
      <c r="I1353">
        <v>55</v>
      </c>
      <c r="J1353">
        <v>211</v>
      </c>
      <c r="K1353">
        <v>65</v>
      </c>
      <c r="L1353">
        <v>0</v>
      </c>
      <c r="M1353">
        <v>83</v>
      </c>
      <c r="N1353" s="1">
        <v>0.89583333333333337</v>
      </c>
      <c r="O1353" t="s">
        <v>19</v>
      </c>
    </row>
    <row r="1354" spans="1:15" x14ac:dyDescent="0.3">
      <c r="A1354" t="s">
        <v>1392</v>
      </c>
      <c r="B1354">
        <v>20260331</v>
      </c>
      <c r="C1354" t="s">
        <v>40</v>
      </c>
      <c r="D1354" t="s">
        <v>21</v>
      </c>
      <c r="E1354" t="s">
        <v>51</v>
      </c>
      <c r="F1354">
        <v>21389</v>
      </c>
      <c r="G1354">
        <v>26619</v>
      </c>
      <c r="H1354">
        <v>2290</v>
      </c>
      <c r="I1354">
        <v>79</v>
      </c>
      <c r="J1354">
        <v>181</v>
      </c>
      <c r="K1354">
        <v>284</v>
      </c>
      <c r="L1354">
        <v>0</v>
      </c>
      <c r="M1354">
        <v>273</v>
      </c>
      <c r="N1354" s="1">
        <v>0.32291666666666669</v>
      </c>
      <c r="O1354" t="s">
        <v>23</v>
      </c>
    </row>
    <row r="1355" spans="1:15" x14ac:dyDescent="0.3">
      <c r="A1355" t="s">
        <v>1393</v>
      </c>
      <c r="B1355">
        <v>20260926</v>
      </c>
      <c r="C1355" t="s">
        <v>44</v>
      </c>
      <c r="D1355" t="s">
        <v>36</v>
      </c>
      <c r="E1355" t="s">
        <v>46</v>
      </c>
      <c r="F1355">
        <v>62894</v>
      </c>
      <c r="G1355">
        <v>75303</v>
      </c>
      <c r="H1355">
        <v>4837</v>
      </c>
      <c r="I1355">
        <v>490</v>
      </c>
      <c r="J1355">
        <v>857</v>
      </c>
      <c r="K1355">
        <v>363</v>
      </c>
      <c r="L1355">
        <v>50493</v>
      </c>
      <c r="M1355">
        <v>824</v>
      </c>
      <c r="N1355" s="1">
        <v>0.84375</v>
      </c>
      <c r="O1355" t="s">
        <v>30</v>
      </c>
    </row>
    <row r="1356" spans="1:15" x14ac:dyDescent="0.3">
      <c r="A1356" t="s">
        <v>1394</v>
      </c>
      <c r="B1356">
        <v>20250602</v>
      </c>
      <c r="C1356" t="s">
        <v>16</v>
      </c>
      <c r="D1356" t="s">
        <v>68</v>
      </c>
      <c r="E1356" t="s">
        <v>26</v>
      </c>
      <c r="F1356">
        <v>70074</v>
      </c>
      <c r="G1356">
        <v>104810</v>
      </c>
      <c r="H1356">
        <v>3151</v>
      </c>
      <c r="I1356">
        <v>401</v>
      </c>
      <c r="J1356">
        <v>153</v>
      </c>
      <c r="K1356">
        <v>226</v>
      </c>
      <c r="L1356">
        <v>48941</v>
      </c>
      <c r="M1356">
        <v>917</v>
      </c>
      <c r="N1356" s="1">
        <v>0.9375</v>
      </c>
      <c r="O1356" t="s">
        <v>34</v>
      </c>
    </row>
    <row r="1357" spans="1:15" x14ac:dyDescent="0.3">
      <c r="A1357" t="s">
        <v>1395</v>
      </c>
      <c r="B1357">
        <v>20250921</v>
      </c>
      <c r="C1357" t="s">
        <v>16</v>
      </c>
      <c r="D1357" t="s">
        <v>68</v>
      </c>
      <c r="E1357" t="s">
        <v>41</v>
      </c>
      <c r="F1357">
        <v>15006</v>
      </c>
      <c r="G1357">
        <v>24043</v>
      </c>
      <c r="H1357">
        <v>724</v>
      </c>
      <c r="J1357">
        <v>101</v>
      </c>
      <c r="K1357">
        <v>34</v>
      </c>
      <c r="L1357">
        <v>11139</v>
      </c>
      <c r="M1357">
        <v>159</v>
      </c>
      <c r="N1357" s="1">
        <v>0.875</v>
      </c>
      <c r="O1357" t="s">
        <v>34</v>
      </c>
    </row>
    <row r="1358" spans="1:15" x14ac:dyDescent="0.3">
      <c r="A1358" t="s">
        <v>1396</v>
      </c>
      <c r="B1358">
        <v>20250409</v>
      </c>
      <c r="C1358" t="s">
        <v>40</v>
      </c>
      <c r="D1358" t="s">
        <v>21</v>
      </c>
      <c r="E1358" t="s">
        <v>46</v>
      </c>
      <c r="F1358">
        <v>28084</v>
      </c>
      <c r="G1358">
        <v>36026</v>
      </c>
      <c r="H1358">
        <v>1676</v>
      </c>
      <c r="I1358">
        <v>197</v>
      </c>
      <c r="J1358">
        <v>153</v>
      </c>
      <c r="K1358">
        <v>170</v>
      </c>
      <c r="L1358">
        <v>19048</v>
      </c>
      <c r="M1358">
        <v>479</v>
      </c>
      <c r="N1358" s="1">
        <v>0.32291666666666669</v>
      </c>
      <c r="O1358" t="s">
        <v>34</v>
      </c>
    </row>
    <row r="1359" spans="1:15" x14ac:dyDescent="0.3">
      <c r="A1359" t="s">
        <v>1397</v>
      </c>
      <c r="B1359">
        <v>20251025</v>
      </c>
      <c r="C1359" t="s">
        <v>25</v>
      </c>
      <c r="D1359" t="s">
        <v>29</v>
      </c>
      <c r="E1359" t="s">
        <v>46</v>
      </c>
      <c r="F1359">
        <v>8505</v>
      </c>
      <c r="G1359">
        <v>10233</v>
      </c>
      <c r="H1359">
        <v>431</v>
      </c>
      <c r="J1359">
        <v>50</v>
      </c>
      <c r="K1359">
        <v>30</v>
      </c>
      <c r="L1359">
        <v>7385</v>
      </c>
      <c r="M1359">
        <v>12</v>
      </c>
      <c r="N1359" s="1">
        <v>0.84375</v>
      </c>
      <c r="O1359" t="s">
        <v>19</v>
      </c>
    </row>
    <row r="1360" spans="1:15" x14ac:dyDescent="0.3">
      <c r="A1360" t="s">
        <v>1398</v>
      </c>
      <c r="B1360">
        <v>20260518</v>
      </c>
      <c r="C1360" t="s">
        <v>32</v>
      </c>
      <c r="D1360" t="s">
        <v>33</v>
      </c>
      <c r="E1360" t="s">
        <v>46</v>
      </c>
      <c r="F1360">
        <v>34314</v>
      </c>
      <c r="G1360">
        <v>51772</v>
      </c>
      <c r="H1360">
        <v>1920</v>
      </c>
      <c r="I1360">
        <v>161</v>
      </c>
      <c r="J1360">
        <v>282</v>
      </c>
      <c r="K1360">
        <v>47</v>
      </c>
      <c r="L1360">
        <v>29273</v>
      </c>
      <c r="M1360">
        <v>299</v>
      </c>
      <c r="N1360" s="1">
        <v>0.92708333333333337</v>
      </c>
      <c r="O1360" t="s">
        <v>23</v>
      </c>
    </row>
    <row r="1361" spans="1:15" x14ac:dyDescent="0.3">
      <c r="A1361" t="s">
        <v>1399</v>
      </c>
      <c r="B1361">
        <v>20250808</v>
      </c>
      <c r="C1361" t="s">
        <v>16</v>
      </c>
      <c r="D1361" t="s">
        <v>33</v>
      </c>
      <c r="E1361" t="s">
        <v>41</v>
      </c>
      <c r="F1361">
        <v>15266</v>
      </c>
      <c r="G1361">
        <v>21358</v>
      </c>
      <c r="H1361">
        <v>395</v>
      </c>
      <c r="I1361">
        <v>19</v>
      </c>
      <c r="J1361">
        <v>62</v>
      </c>
      <c r="K1361">
        <v>21</v>
      </c>
      <c r="L1361">
        <v>8410</v>
      </c>
      <c r="M1361">
        <v>209</v>
      </c>
      <c r="N1361" s="1">
        <v>0.78125</v>
      </c>
      <c r="O1361" t="s">
        <v>49</v>
      </c>
    </row>
    <row r="1362" spans="1:15" x14ac:dyDescent="0.3">
      <c r="A1362" t="s">
        <v>1400</v>
      </c>
      <c r="B1362">
        <v>20251101</v>
      </c>
      <c r="C1362" t="s">
        <v>16</v>
      </c>
      <c r="D1362" t="s">
        <v>17</v>
      </c>
      <c r="E1362" t="s">
        <v>51</v>
      </c>
      <c r="F1362">
        <v>12061</v>
      </c>
      <c r="G1362">
        <v>16066</v>
      </c>
      <c r="H1362">
        <v>794</v>
      </c>
      <c r="I1362">
        <v>40</v>
      </c>
      <c r="J1362">
        <v>48</v>
      </c>
      <c r="K1362">
        <v>90</v>
      </c>
      <c r="L1362">
        <v>0</v>
      </c>
      <c r="M1362">
        <v>56</v>
      </c>
      <c r="N1362" s="1">
        <v>0.63541666666666663</v>
      </c>
      <c r="O1362" t="s">
        <v>30</v>
      </c>
    </row>
    <row r="1363" spans="1:15" x14ac:dyDescent="0.3">
      <c r="A1363" t="s">
        <v>1401</v>
      </c>
      <c r="B1363">
        <v>20250317</v>
      </c>
      <c r="C1363" t="s">
        <v>44</v>
      </c>
      <c r="D1363" t="s">
        <v>33</v>
      </c>
      <c r="E1363" t="s">
        <v>46</v>
      </c>
      <c r="F1363">
        <v>76673</v>
      </c>
      <c r="G1363">
        <v>81524</v>
      </c>
      <c r="H1363">
        <v>4842</v>
      </c>
      <c r="I1363">
        <v>362</v>
      </c>
      <c r="J1363">
        <v>809</v>
      </c>
      <c r="K1363">
        <v>341</v>
      </c>
      <c r="L1363">
        <v>51580</v>
      </c>
      <c r="M1363">
        <v>971</v>
      </c>
      <c r="N1363" s="1">
        <v>0.59375</v>
      </c>
      <c r="O1363" t="s">
        <v>47</v>
      </c>
    </row>
    <row r="1364" spans="1:15" x14ac:dyDescent="0.3">
      <c r="A1364" t="s">
        <v>1402</v>
      </c>
      <c r="B1364">
        <v>20250725</v>
      </c>
      <c r="C1364" t="s">
        <v>16</v>
      </c>
      <c r="D1364" t="s">
        <v>17</v>
      </c>
      <c r="E1364" t="s">
        <v>18</v>
      </c>
      <c r="F1364">
        <v>10594</v>
      </c>
      <c r="G1364">
        <v>16546</v>
      </c>
      <c r="H1364">
        <v>499</v>
      </c>
      <c r="I1364">
        <v>63</v>
      </c>
      <c r="J1364">
        <v>40</v>
      </c>
      <c r="K1364">
        <v>17</v>
      </c>
      <c r="L1364">
        <v>0</v>
      </c>
      <c r="M1364">
        <v>185</v>
      </c>
      <c r="N1364" s="1">
        <v>0.39583333333333331</v>
      </c>
      <c r="O1364" t="s">
        <v>19</v>
      </c>
    </row>
    <row r="1365" spans="1:15" x14ac:dyDescent="0.3">
      <c r="A1365" t="s">
        <v>1403</v>
      </c>
      <c r="B1365">
        <v>20250626</v>
      </c>
      <c r="C1365" t="s">
        <v>44</v>
      </c>
      <c r="D1365" t="s">
        <v>29</v>
      </c>
      <c r="E1365" t="s">
        <v>26</v>
      </c>
      <c r="F1365">
        <v>10661</v>
      </c>
      <c r="G1365">
        <v>15581</v>
      </c>
      <c r="H1365">
        <v>1190</v>
      </c>
      <c r="I1365">
        <v>39</v>
      </c>
      <c r="J1365">
        <v>129</v>
      </c>
      <c r="K1365">
        <v>42</v>
      </c>
      <c r="L1365">
        <v>7850</v>
      </c>
      <c r="M1365">
        <v>188</v>
      </c>
      <c r="N1365" s="1">
        <v>0.30208333333333331</v>
      </c>
      <c r="O1365" t="s">
        <v>49</v>
      </c>
    </row>
    <row r="1366" spans="1:15" x14ac:dyDescent="0.3">
      <c r="A1366" t="s">
        <v>1404</v>
      </c>
      <c r="B1366">
        <v>20250323</v>
      </c>
      <c r="C1366" t="s">
        <v>16</v>
      </c>
      <c r="D1366" t="s">
        <v>17</v>
      </c>
      <c r="E1366" t="s">
        <v>46</v>
      </c>
      <c r="F1366">
        <v>27076</v>
      </c>
      <c r="G1366">
        <v>34702</v>
      </c>
      <c r="H1366">
        <v>1658</v>
      </c>
      <c r="I1366">
        <v>211</v>
      </c>
      <c r="J1366">
        <v>126</v>
      </c>
      <c r="K1366">
        <v>33</v>
      </c>
      <c r="L1366">
        <v>23337</v>
      </c>
      <c r="M1366">
        <v>159</v>
      </c>
      <c r="N1366" s="1">
        <v>0.77083333333333337</v>
      </c>
      <c r="O1366" t="s">
        <v>34</v>
      </c>
    </row>
    <row r="1367" spans="1:15" x14ac:dyDescent="0.3">
      <c r="A1367" t="s">
        <v>1405</v>
      </c>
      <c r="B1367">
        <v>20260513</v>
      </c>
      <c r="C1367" t="s">
        <v>25</v>
      </c>
      <c r="D1367" t="s">
        <v>17</v>
      </c>
      <c r="E1367" t="s">
        <v>46</v>
      </c>
      <c r="F1367">
        <v>18418</v>
      </c>
      <c r="G1367">
        <v>29660</v>
      </c>
      <c r="H1367">
        <v>914</v>
      </c>
      <c r="I1367">
        <v>31</v>
      </c>
      <c r="J1367">
        <v>74</v>
      </c>
      <c r="K1367">
        <v>121</v>
      </c>
      <c r="L1367">
        <v>13445</v>
      </c>
      <c r="M1367">
        <v>113</v>
      </c>
      <c r="N1367" s="1">
        <v>0.69791666666666663</v>
      </c>
      <c r="O1367" t="s">
        <v>53</v>
      </c>
    </row>
    <row r="1368" spans="1:15" x14ac:dyDescent="0.3">
      <c r="A1368" t="s">
        <v>1406</v>
      </c>
      <c r="B1368">
        <v>20250910</v>
      </c>
      <c r="C1368" t="s">
        <v>44</v>
      </c>
      <c r="D1368" t="s">
        <v>29</v>
      </c>
      <c r="E1368" t="s">
        <v>18</v>
      </c>
      <c r="F1368">
        <v>27349</v>
      </c>
      <c r="G1368">
        <v>37850</v>
      </c>
      <c r="H1368">
        <v>2527</v>
      </c>
      <c r="I1368">
        <v>125</v>
      </c>
      <c r="J1368">
        <v>363</v>
      </c>
      <c r="K1368">
        <v>293</v>
      </c>
      <c r="L1368">
        <v>0</v>
      </c>
      <c r="M1368">
        <v>345</v>
      </c>
      <c r="N1368" s="1">
        <v>0.64583333333333337</v>
      </c>
      <c r="O1368" t="s">
        <v>53</v>
      </c>
    </row>
    <row r="1369" spans="1:15" x14ac:dyDescent="0.3">
      <c r="A1369" t="s">
        <v>1407</v>
      </c>
      <c r="B1369">
        <v>20260807</v>
      </c>
      <c r="C1369" t="s">
        <v>25</v>
      </c>
      <c r="D1369" t="s">
        <v>68</v>
      </c>
      <c r="E1369" t="s">
        <v>51</v>
      </c>
      <c r="F1369">
        <v>16949</v>
      </c>
      <c r="G1369">
        <v>25783</v>
      </c>
      <c r="H1369">
        <v>910</v>
      </c>
      <c r="I1369">
        <v>53</v>
      </c>
      <c r="J1369">
        <v>79</v>
      </c>
      <c r="K1369">
        <v>67</v>
      </c>
      <c r="L1369">
        <v>0</v>
      </c>
      <c r="M1369">
        <v>86</v>
      </c>
      <c r="N1369" s="1">
        <v>0.77083333333333337</v>
      </c>
      <c r="O1369" t="s">
        <v>53</v>
      </c>
    </row>
    <row r="1370" spans="1:15" x14ac:dyDescent="0.3">
      <c r="A1370" t="s">
        <v>1408</v>
      </c>
      <c r="B1370">
        <v>20260223</v>
      </c>
      <c r="C1370" t="s">
        <v>25</v>
      </c>
      <c r="D1370" t="s">
        <v>36</v>
      </c>
      <c r="E1370" t="s">
        <v>41</v>
      </c>
      <c r="F1370">
        <v>10355</v>
      </c>
      <c r="G1370">
        <v>14540</v>
      </c>
      <c r="H1370">
        <v>1094</v>
      </c>
      <c r="I1370">
        <v>95</v>
      </c>
      <c r="J1370">
        <v>150</v>
      </c>
      <c r="K1370">
        <v>129</v>
      </c>
      <c r="L1370">
        <v>9296</v>
      </c>
      <c r="M1370">
        <v>52</v>
      </c>
      <c r="N1370" s="1">
        <v>0.67708333333333337</v>
      </c>
      <c r="O1370" t="s">
        <v>34</v>
      </c>
    </row>
    <row r="1371" spans="1:15" x14ac:dyDescent="0.3">
      <c r="A1371" t="s">
        <v>1409</v>
      </c>
      <c r="B1371">
        <v>20251114</v>
      </c>
      <c r="C1371" t="s">
        <v>16</v>
      </c>
      <c r="D1371" t="s">
        <v>33</v>
      </c>
      <c r="E1371" t="s">
        <v>41</v>
      </c>
      <c r="F1371">
        <v>55694</v>
      </c>
      <c r="G1371">
        <v>84393</v>
      </c>
      <c r="H1371">
        <v>4512</v>
      </c>
      <c r="I1371">
        <v>274</v>
      </c>
      <c r="J1371">
        <v>578</v>
      </c>
      <c r="K1371">
        <v>172</v>
      </c>
      <c r="L1371">
        <v>20112</v>
      </c>
      <c r="M1371">
        <v>617</v>
      </c>
      <c r="N1371" s="1">
        <v>0.75</v>
      </c>
      <c r="O1371" t="s">
        <v>30</v>
      </c>
    </row>
    <row r="1372" spans="1:15" x14ac:dyDescent="0.3">
      <c r="A1372" t="s">
        <v>1410</v>
      </c>
      <c r="B1372">
        <v>20260421</v>
      </c>
      <c r="C1372" t="s">
        <v>40</v>
      </c>
      <c r="D1372" t="s">
        <v>36</v>
      </c>
      <c r="E1372" t="s">
        <v>22</v>
      </c>
      <c r="F1372">
        <v>13285</v>
      </c>
      <c r="G1372">
        <v>18117</v>
      </c>
      <c r="H1372">
        <v>1451</v>
      </c>
      <c r="I1372">
        <v>159</v>
      </c>
      <c r="J1372">
        <v>103</v>
      </c>
      <c r="K1372">
        <v>161</v>
      </c>
      <c r="L1372">
        <v>0</v>
      </c>
      <c r="M1372">
        <v>27</v>
      </c>
      <c r="N1372" s="1">
        <v>0.47916666666666669</v>
      </c>
      <c r="O1372" t="s">
        <v>42</v>
      </c>
    </row>
    <row r="1373" spans="1:15" x14ac:dyDescent="0.3">
      <c r="A1373" t="s">
        <v>1411</v>
      </c>
      <c r="B1373">
        <v>20250711</v>
      </c>
      <c r="C1373" t="s">
        <v>16</v>
      </c>
      <c r="D1373" t="s">
        <v>36</v>
      </c>
      <c r="E1373" t="s">
        <v>46</v>
      </c>
      <c r="F1373">
        <v>24765</v>
      </c>
      <c r="G1373">
        <v>39968</v>
      </c>
      <c r="H1373">
        <v>2355</v>
      </c>
      <c r="I1373">
        <v>243</v>
      </c>
      <c r="J1373">
        <v>458</v>
      </c>
      <c r="K1373">
        <v>128</v>
      </c>
      <c r="L1373">
        <v>12995</v>
      </c>
      <c r="M1373">
        <v>427</v>
      </c>
      <c r="N1373" s="1">
        <v>0.64583333333333337</v>
      </c>
      <c r="O1373" t="s">
        <v>19</v>
      </c>
    </row>
    <row r="1374" spans="1:15" x14ac:dyDescent="0.3">
      <c r="A1374" t="s">
        <v>1412</v>
      </c>
      <c r="B1374">
        <v>20260727</v>
      </c>
      <c r="C1374" t="s">
        <v>40</v>
      </c>
      <c r="D1374" t="s">
        <v>36</v>
      </c>
      <c r="E1374" t="s">
        <v>51</v>
      </c>
      <c r="F1374">
        <v>25049</v>
      </c>
      <c r="G1374">
        <v>40194</v>
      </c>
      <c r="H1374">
        <v>1789</v>
      </c>
      <c r="I1374">
        <v>164</v>
      </c>
      <c r="J1374">
        <v>53</v>
      </c>
      <c r="K1374">
        <v>241</v>
      </c>
      <c r="L1374">
        <v>0</v>
      </c>
      <c r="M1374">
        <v>27</v>
      </c>
      <c r="N1374" s="1">
        <v>0.55208333333333337</v>
      </c>
      <c r="O1374" t="s">
        <v>38</v>
      </c>
    </row>
    <row r="1375" spans="1:15" x14ac:dyDescent="0.3">
      <c r="A1375" t="s">
        <v>1413</v>
      </c>
      <c r="B1375">
        <v>20260601</v>
      </c>
      <c r="C1375" t="s">
        <v>16</v>
      </c>
      <c r="D1375" t="s">
        <v>33</v>
      </c>
      <c r="E1375" t="s">
        <v>18</v>
      </c>
      <c r="F1375">
        <v>36724</v>
      </c>
      <c r="G1375">
        <v>41109</v>
      </c>
      <c r="H1375">
        <v>927</v>
      </c>
      <c r="I1375">
        <v>125</v>
      </c>
      <c r="J1375">
        <v>83</v>
      </c>
      <c r="K1375">
        <v>89</v>
      </c>
      <c r="L1375">
        <v>0</v>
      </c>
      <c r="M1375">
        <v>511</v>
      </c>
      <c r="N1375" s="1">
        <v>0.85416666666666663</v>
      </c>
      <c r="O1375" t="s">
        <v>34</v>
      </c>
    </row>
    <row r="1376" spans="1:15" x14ac:dyDescent="0.3">
      <c r="A1376" t="s">
        <v>1414</v>
      </c>
      <c r="B1376">
        <v>20260721</v>
      </c>
      <c r="C1376" t="s">
        <v>32</v>
      </c>
      <c r="D1376" t="s">
        <v>21</v>
      </c>
      <c r="E1376" t="s">
        <v>41</v>
      </c>
      <c r="F1376">
        <v>9130</v>
      </c>
      <c r="G1376">
        <v>14906</v>
      </c>
      <c r="H1376">
        <v>441</v>
      </c>
      <c r="I1376">
        <v>14</v>
      </c>
      <c r="J1376">
        <v>27</v>
      </c>
      <c r="K1376">
        <v>49</v>
      </c>
      <c r="L1376">
        <v>3681</v>
      </c>
      <c r="M1376">
        <v>87</v>
      </c>
      <c r="N1376" s="1">
        <v>0.44791666666666669</v>
      </c>
      <c r="O1376" t="s">
        <v>42</v>
      </c>
    </row>
    <row r="1377" spans="1:15" x14ac:dyDescent="0.3">
      <c r="A1377" t="s">
        <v>1415</v>
      </c>
      <c r="B1377">
        <v>20260322</v>
      </c>
      <c r="C1377" t="s">
        <v>16</v>
      </c>
      <c r="D1377" t="s">
        <v>61</v>
      </c>
      <c r="E1377" t="s">
        <v>18</v>
      </c>
      <c r="F1377">
        <v>17609</v>
      </c>
      <c r="G1377">
        <v>23707</v>
      </c>
      <c r="H1377">
        <v>1398</v>
      </c>
      <c r="I1377">
        <v>102</v>
      </c>
      <c r="J1377">
        <v>51</v>
      </c>
      <c r="K1377">
        <v>78</v>
      </c>
      <c r="L1377">
        <v>0</v>
      </c>
      <c r="M1377">
        <v>127</v>
      </c>
      <c r="N1377" s="1">
        <v>0.8125</v>
      </c>
      <c r="O1377" t="s">
        <v>30</v>
      </c>
    </row>
    <row r="1378" spans="1:15" x14ac:dyDescent="0.3">
      <c r="A1378" t="s">
        <v>1416</v>
      </c>
      <c r="B1378">
        <v>20260122</v>
      </c>
      <c r="C1378" t="s">
        <v>44</v>
      </c>
      <c r="D1378" t="s">
        <v>33</v>
      </c>
      <c r="E1378" t="s">
        <v>41</v>
      </c>
      <c r="F1378">
        <v>82136</v>
      </c>
      <c r="G1378">
        <v>120530</v>
      </c>
      <c r="H1378">
        <v>7226</v>
      </c>
      <c r="I1378">
        <v>192</v>
      </c>
      <c r="J1378">
        <v>589</v>
      </c>
      <c r="K1378">
        <v>798</v>
      </c>
      <c r="L1378">
        <v>55096</v>
      </c>
      <c r="M1378">
        <v>512</v>
      </c>
      <c r="N1378" s="1">
        <v>0.64583333333333337</v>
      </c>
      <c r="O1378" t="s">
        <v>19</v>
      </c>
    </row>
    <row r="1379" spans="1:15" x14ac:dyDescent="0.3">
      <c r="A1379" t="s">
        <v>1417</v>
      </c>
      <c r="B1379">
        <v>20250817</v>
      </c>
      <c r="C1379" t="s">
        <v>16</v>
      </c>
      <c r="D1379" t="s">
        <v>36</v>
      </c>
      <c r="E1379" t="s">
        <v>22</v>
      </c>
      <c r="F1379">
        <v>11171</v>
      </c>
      <c r="G1379">
        <v>13748</v>
      </c>
      <c r="H1379">
        <v>1325</v>
      </c>
      <c r="I1379">
        <v>167</v>
      </c>
      <c r="J1379">
        <v>148</v>
      </c>
      <c r="K1379">
        <v>80</v>
      </c>
      <c r="L1379">
        <v>0</v>
      </c>
      <c r="M1379">
        <v>12</v>
      </c>
      <c r="N1379" s="1">
        <v>0.51041666666666663</v>
      </c>
      <c r="O1379" t="s">
        <v>42</v>
      </c>
    </row>
    <row r="1380" spans="1:15" x14ac:dyDescent="0.3">
      <c r="A1380" t="s">
        <v>1418</v>
      </c>
      <c r="B1380">
        <v>20251210</v>
      </c>
      <c r="C1380" t="s">
        <v>44</v>
      </c>
      <c r="D1380" t="s">
        <v>29</v>
      </c>
      <c r="E1380" t="s">
        <v>41</v>
      </c>
      <c r="F1380">
        <v>75945</v>
      </c>
      <c r="G1380">
        <v>101889</v>
      </c>
      <c r="H1380">
        <v>5942</v>
      </c>
      <c r="I1380">
        <v>730</v>
      </c>
      <c r="J1380">
        <v>481</v>
      </c>
      <c r="K1380">
        <v>625</v>
      </c>
      <c r="L1380">
        <v>64110</v>
      </c>
      <c r="M1380">
        <v>1165</v>
      </c>
      <c r="N1380" s="1">
        <v>0.54166666666666663</v>
      </c>
      <c r="O1380" t="s">
        <v>19</v>
      </c>
    </row>
    <row r="1381" spans="1:15" x14ac:dyDescent="0.3">
      <c r="A1381" t="s">
        <v>1419</v>
      </c>
      <c r="B1381">
        <v>20260521</v>
      </c>
      <c r="C1381" t="s">
        <v>16</v>
      </c>
      <c r="D1381" t="s">
        <v>61</v>
      </c>
      <c r="E1381" t="s">
        <v>22</v>
      </c>
      <c r="F1381">
        <v>7754</v>
      </c>
      <c r="G1381">
        <v>11903</v>
      </c>
      <c r="H1381">
        <v>427</v>
      </c>
      <c r="I1381">
        <v>25</v>
      </c>
      <c r="J1381">
        <v>32</v>
      </c>
      <c r="K1381">
        <v>56</v>
      </c>
      <c r="L1381">
        <v>0</v>
      </c>
      <c r="M1381">
        <v>13</v>
      </c>
      <c r="N1381" s="1">
        <v>0.39583333333333331</v>
      </c>
      <c r="O1381" t="s">
        <v>38</v>
      </c>
    </row>
    <row r="1382" spans="1:15" x14ac:dyDescent="0.3">
      <c r="A1382" t="s">
        <v>1420</v>
      </c>
      <c r="B1382">
        <v>20250603</v>
      </c>
      <c r="C1382" t="s">
        <v>16</v>
      </c>
      <c r="D1382" t="s">
        <v>61</v>
      </c>
      <c r="E1382" t="s">
        <v>46</v>
      </c>
      <c r="F1382">
        <v>55862</v>
      </c>
      <c r="G1382">
        <v>59690</v>
      </c>
      <c r="H1382">
        <v>1787</v>
      </c>
      <c r="I1382">
        <v>167</v>
      </c>
      <c r="J1382">
        <v>298</v>
      </c>
      <c r="K1382">
        <v>257</v>
      </c>
      <c r="L1382">
        <v>30962</v>
      </c>
      <c r="M1382">
        <v>733</v>
      </c>
      <c r="N1382" s="1">
        <v>0.78125</v>
      </c>
      <c r="O1382" t="s">
        <v>34</v>
      </c>
    </row>
    <row r="1383" spans="1:15" x14ac:dyDescent="0.3">
      <c r="A1383" t="s">
        <v>1421</v>
      </c>
      <c r="B1383">
        <v>20260704</v>
      </c>
      <c r="C1383" t="s">
        <v>40</v>
      </c>
      <c r="D1383" t="s">
        <v>29</v>
      </c>
      <c r="E1383" t="s">
        <v>41</v>
      </c>
      <c r="F1383">
        <v>34520</v>
      </c>
      <c r="G1383">
        <v>54327</v>
      </c>
      <c r="H1383">
        <v>3384</v>
      </c>
      <c r="I1383">
        <v>365</v>
      </c>
      <c r="J1383">
        <v>327</v>
      </c>
      <c r="K1383">
        <v>362</v>
      </c>
      <c r="L1383">
        <v>25319</v>
      </c>
      <c r="M1383">
        <v>604</v>
      </c>
      <c r="N1383" s="1">
        <v>0.55208333333333337</v>
      </c>
      <c r="O1383" t="s">
        <v>30</v>
      </c>
    </row>
    <row r="1384" spans="1:15" x14ac:dyDescent="0.3">
      <c r="A1384" t="s">
        <v>1422</v>
      </c>
      <c r="B1384">
        <v>20250222</v>
      </c>
      <c r="C1384" t="s">
        <v>32</v>
      </c>
      <c r="D1384" t="s">
        <v>33</v>
      </c>
      <c r="E1384" t="s">
        <v>41</v>
      </c>
      <c r="F1384">
        <v>14655</v>
      </c>
      <c r="G1384">
        <v>19834</v>
      </c>
      <c r="H1384">
        <v>468</v>
      </c>
      <c r="I1384">
        <v>57</v>
      </c>
      <c r="J1384">
        <v>43</v>
      </c>
      <c r="K1384">
        <v>64</v>
      </c>
      <c r="L1384">
        <v>9455</v>
      </c>
      <c r="M1384">
        <v>29</v>
      </c>
      <c r="N1384" s="1">
        <v>0.30208333333333331</v>
      </c>
      <c r="O1384" t="s">
        <v>34</v>
      </c>
    </row>
    <row r="1385" spans="1:15" x14ac:dyDescent="0.3">
      <c r="A1385" t="s">
        <v>1423</v>
      </c>
      <c r="B1385">
        <v>20250107</v>
      </c>
      <c r="C1385" t="s">
        <v>16</v>
      </c>
      <c r="D1385" t="s">
        <v>17</v>
      </c>
      <c r="E1385" t="s">
        <v>46</v>
      </c>
      <c r="F1385">
        <v>48546</v>
      </c>
      <c r="G1385">
        <v>78852</v>
      </c>
      <c r="H1385">
        <v>3728</v>
      </c>
      <c r="I1385">
        <v>315</v>
      </c>
      <c r="J1385">
        <v>168</v>
      </c>
      <c r="K1385">
        <v>232</v>
      </c>
      <c r="L1385">
        <v>33575</v>
      </c>
      <c r="M1385">
        <v>628</v>
      </c>
      <c r="N1385" s="1">
        <v>0.92708333333333337</v>
      </c>
      <c r="O1385" t="s">
        <v>47</v>
      </c>
    </row>
    <row r="1386" spans="1:15" x14ac:dyDescent="0.3">
      <c r="A1386" t="s">
        <v>1424</v>
      </c>
      <c r="B1386">
        <v>20250713</v>
      </c>
      <c r="C1386" t="s">
        <v>25</v>
      </c>
      <c r="D1386" t="s">
        <v>29</v>
      </c>
      <c r="E1386" t="s">
        <v>18</v>
      </c>
      <c r="F1386">
        <v>8538</v>
      </c>
      <c r="G1386">
        <v>11748</v>
      </c>
      <c r="H1386">
        <v>911</v>
      </c>
      <c r="I1386">
        <v>36</v>
      </c>
      <c r="J1386">
        <v>83</v>
      </c>
      <c r="K1386">
        <v>99</v>
      </c>
      <c r="L1386">
        <v>0</v>
      </c>
      <c r="M1386">
        <v>81</v>
      </c>
      <c r="N1386" s="1">
        <v>0.66666666666666663</v>
      </c>
      <c r="O1386" t="s">
        <v>38</v>
      </c>
    </row>
    <row r="1387" spans="1:15" x14ac:dyDescent="0.3">
      <c r="A1387" t="s">
        <v>1425</v>
      </c>
      <c r="B1387">
        <v>20260511</v>
      </c>
      <c r="C1387" t="s">
        <v>16</v>
      </c>
      <c r="D1387" t="s">
        <v>33</v>
      </c>
      <c r="E1387" t="s">
        <v>41</v>
      </c>
      <c r="F1387">
        <v>24844</v>
      </c>
      <c r="G1387">
        <v>28820</v>
      </c>
      <c r="H1387">
        <v>1721</v>
      </c>
      <c r="I1387">
        <v>86</v>
      </c>
      <c r="J1387">
        <v>122</v>
      </c>
      <c r="K1387">
        <v>253</v>
      </c>
      <c r="L1387">
        <v>19858</v>
      </c>
      <c r="M1387">
        <v>429</v>
      </c>
      <c r="N1387" s="1">
        <v>0.52083333333333337</v>
      </c>
      <c r="O1387" t="s">
        <v>19</v>
      </c>
    </row>
    <row r="1388" spans="1:15" x14ac:dyDescent="0.3">
      <c r="A1388" t="s">
        <v>1426</v>
      </c>
      <c r="B1388">
        <v>20250524</v>
      </c>
      <c r="C1388" t="s">
        <v>25</v>
      </c>
      <c r="D1388" t="s">
        <v>29</v>
      </c>
      <c r="E1388" t="s">
        <v>41</v>
      </c>
      <c r="F1388">
        <v>13145</v>
      </c>
      <c r="G1388">
        <v>20762</v>
      </c>
      <c r="H1388">
        <v>1556</v>
      </c>
      <c r="I1388">
        <v>168</v>
      </c>
      <c r="J1388">
        <v>120</v>
      </c>
      <c r="K1388">
        <v>195</v>
      </c>
      <c r="L1388">
        <v>9573</v>
      </c>
      <c r="M1388">
        <v>17</v>
      </c>
      <c r="N1388" s="1">
        <v>0.46875</v>
      </c>
      <c r="O1388" t="s">
        <v>27</v>
      </c>
    </row>
    <row r="1389" spans="1:15" x14ac:dyDescent="0.3">
      <c r="A1389" t="s">
        <v>1427</v>
      </c>
      <c r="B1389">
        <v>20260331</v>
      </c>
      <c r="C1389" t="s">
        <v>32</v>
      </c>
      <c r="D1389" t="s">
        <v>33</v>
      </c>
      <c r="E1389" t="s">
        <v>46</v>
      </c>
      <c r="F1389">
        <v>5470</v>
      </c>
      <c r="G1389">
        <v>8753</v>
      </c>
      <c r="H1389">
        <v>180</v>
      </c>
      <c r="I1389">
        <v>11</v>
      </c>
      <c r="J1389">
        <v>23</v>
      </c>
      <c r="K1389">
        <v>20</v>
      </c>
      <c r="L1389">
        <v>3201</v>
      </c>
      <c r="M1389">
        <v>89</v>
      </c>
      <c r="N1389" s="1">
        <v>0.60416666666666663</v>
      </c>
      <c r="O1389" t="s">
        <v>30</v>
      </c>
    </row>
    <row r="1390" spans="1:15" x14ac:dyDescent="0.3">
      <c r="A1390" t="s">
        <v>1428</v>
      </c>
      <c r="B1390">
        <v>20260415</v>
      </c>
      <c r="C1390" t="s">
        <v>44</v>
      </c>
      <c r="D1390" t="s">
        <v>61</v>
      </c>
      <c r="E1390" t="s">
        <v>18</v>
      </c>
      <c r="F1390">
        <v>41782</v>
      </c>
      <c r="G1390">
        <v>45331</v>
      </c>
      <c r="H1390">
        <v>1058</v>
      </c>
      <c r="I1390">
        <v>86</v>
      </c>
      <c r="J1390">
        <v>132</v>
      </c>
      <c r="K1390">
        <v>153</v>
      </c>
      <c r="L1390">
        <v>0</v>
      </c>
      <c r="M1390">
        <v>79</v>
      </c>
      <c r="N1390" s="1">
        <v>0.79166666666666663</v>
      </c>
      <c r="O1390" t="s">
        <v>47</v>
      </c>
    </row>
    <row r="1391" spans="1:15" x14ac:dyDescent="0.3">
      <c r="A1391" t="s">
        <v>1429</v>
      </c>
      <c r="B1391">
        <v>20250112</v>
      </c>
      <c r="C1391" t="s">
        <v>44</v>
      </c>
      <c r="D1391" t="s">
        <v>68</v>
      </c>
      <c r="E1391" t="s">
        <v>46</v>
      </c>
      <c r="F1391">
        <v>149964</v>
      </c>
      <c r="G1391">
        <v>187916</v>
      </c>
      <c r="H1391">
        <v>16742</v>
      </c>
      <c r="I1391">
        <v>816</v>
      </c>
      <c r="J1391">
        <v>576</v>
      </c>
      <c r="K1391">
        <v>1420</v>
      </c>
      <c r="L1391">
        <v>54028</v>
      </c>
      <c r="M1391">
        <v>399</v>
      </c>
      <c r="N1391" s="1">
        <v>0.84375</v>
      </c>
      <c r="O1391" t="s">
        <v>27</v>
      </c>
    </row>
    <row r="1392" spans="1:15" x14ac:dyDescent="0.3">
      <c r="A1392" t="s">
        <v>1430</v>
      </c>
      <c r="B1392">
        <v>20250821</v>
      </c>
      <c r="C1392" t="s">
        <v>25</v>
      </c>
      <c r="D1392" t="s">
        <v>33</v>
      </c>
      <c r="E1392" t="s">
        <v>46</v>
      </c>
      <c r="F1392">
        <v>6726</v>
      </c>
      <c r="G1392">
        <v>10886</v>
      </c>
      <c r="H1392">
        <v>206</v>
      </c>
      <c r="I1392">
        <v>9</v>
      </c>
      <c r="J1392">
        <v>12</v>
      </c>
      <c r="K1392">
        <v>26</v>
      </c>
      <c r="L1392">
        <v>5038</v>
      </c>
      <c r="M1392">
        <v>43</v>
      </c>
      <c r="N1392" s="1">
        <v>0.59375</v>
      </c>
      <c r="O1392" t="s">
        <v>47</v>
      </c>
    </row>
    <row r="1393" spans="1:15" x14ac:dyDescent="0.3">
      <c r="A1393" t="s">
        <v>1431</v>
      </c>
      <c r="B1393">
        <v>20260321</v>
      </c>
      <c r="C1393" t="s">
        <v>44</v>
      </c>
      <c r="D1393" t="s">
        <v>36</v>
      </c>
      <c r="E1393" t="s">
        <v>22</v>
      </c>
      <c r="F1393">
        <v>28125</v>
      </c>
      <c r="G1393">
        <v>44387</v>
      </c>
      <c r="H1393">
        <v>2875</v>
      </c>
      <c r="I1393">
        <v>324</v>
      </c>
      <c r="J1393">
        <v>377</v>
      </c>
      <c r="K1393">
        <v>290</v>
      </c>
      <c r="L1393">
        <v>0</v>
      </c>
      <c r="M1393">
        <v>119</v>
      </c>
      <c r="N1393" s="1">
        <v>0.875</v>
      </c>
      <c r="O1393" t="s">
        <v>23</v>
      </c>
    </row>
    <row r="1394" spans="1:15" x14ac:dyDescent="0.3">
      <c r="A1394" t="s">
        <v>1432</v>
      </c>
      <c r="B1394">
        <v>20260127</v>
      </c>
      <c r="C1394" t="s">
        <v>44</v>
      </c>
      <c r="D1394" t="s">
        <v>61</v>
      </c>
      <c r="E1394" t="s">
        <v>46</v>
      </c>
      <c r="F1394">
        <v>137115</v>
      </c>
      <c r="G1394">
        <v>209167</v>
      </c>
      <c r="H1394">
        <v>10026</v>
      </c>
      <c r="I1394">
        <v>318</v>
      </c>
      <c r="J1394">
        <v>432</v>
      </c>
      <c r="K1394">
        <v>331</v>
      </c>
      <c r="L1394">
        <v>80134</v>
      </c>
      <c r="M1394">
        <v>1145</v>
      </c>
      <c r="N1394" s="1">
        <v>0.77083333333333337</v>
      </c>
      <c r="O1394" t="s">
        <v>27</v>
      </c>
    </row>
    <row r="1395" spans="1:15" x14ac:dyDescent="0.3">
      <c r="A1395" t="s">
        <v>1433</v>
      </c>
      <c r="B1395">
        <v>20250707</v>
      </c>
      <c r="C1395" t="s">
        <v>16</v>
      </c>
      <c r="D1395" t="s">
        <v>68</v>
      </c>
      <c r="E1395" t="s">
        <v>46</v>
      </c>
      <c r="F1395">
        <v>69660</v>
      </c>
      <c r="G1395">
        <v>108290</v>
      </c>
      <c r="H1395">
        <v>7171</v>
      </c>
      <c r="I1395">
        <v>292</v>
      </c>
      <c r="J1395">
        <v>452</v>
      </c>
      <c r="K1395">
        <v>1045</v>
      </c>
      <c r="L1395">
        <v>55256</v>
      </c>
      <c r="M1395">
        <v>234</v>
      </c>
      <c r="N1395" s="1">
        <v>0.52083333333333337</v>
      </c>
      <c r="O1395" t="s">
        <v>38</v>
      </c>
    </row>
    <row r="1396" spans="1:15" x14ac:dyDescent="0.3">
      <c r="A1396" t="s">
        <v>1434</v>
      </c>
      <c r="B1396">
        <v>20260704</v>
      </c>
      <c r="C1396" t="s">
        <v>16</v>
      </c>
      <c r="D1396" t="s">
        <v>33</v>
      </c>
      <c r="E1396" t="s">
        <v>18</v>
      </c>
      <c r="F1396">
        <v>12466</v>
      </c>
      <c r="G1396">
        <v>13660</v>
      </c>
      <c r="H1396">
        <v>1086</v>
      </c>
      <c r="I1396">
        <v>73</v>
      </c>
      <c r="J1396">
        <v>90</v>
      </c>
      <c r="K1396">
        <v>162</v>
      </c>
      <c r="L1396">
        <v>0</v>
      </c>
      <c r="M1396">
        <v>111</v>
      </c>
      <c r="N1396" s="1">
        <v>0.65625</v>
      </c>
      <c r="O1396" t="s">
        <v>38</v>
      </c>
    </row>
    <row r="1397" spans="1:15" x14ac:dyDescent="0.3">
      <c r="A1397" t="s">
        <v>1435</v>
      </c>
      <c r="B1397">
        <v>20260605</v>
      </c>
      <c r="C1397" t="s">
        <v>44</v>
      </c>
      <c r="D1397" t="s">
        <v>61</v>
      </c>
      <c r="E1397" t="s">
        <v>41</v>
      </c>
      <c r="F1397">
        <v>29657</v>
      </c>
      <c r="G1397">
        <v>39805</v>
      </c>
      <c r="H1397">
        <v>3265</v>
      </c>
      <c r="I1397">
        <v>212</v>
      </c>
      <c r="J1397">
        <v>424</v>
      </c>
      <c r="K1397">
        <v>76</v>
      </c>
      <c r="L1397">
        <v>20784</v>
      </c>
      <c r="M1397">
        <v>487</v>
      </c>
      <c r="N1397" s="1">
        <v>0.67708333333333337</v>
      </c>
      <c r="O1397" t="s">
        <v>23</v>
      </c>
    </row>
    <row r="1398" spans="1:15" x14ac:dyDescent="0.3">
      <c r="A1398" t="s">
        <v>1436</v>
      </c>
      <c r="B1398">
        <v>20260128</v>
      </c>
      <c r="C1398" t="s">
        <v>44</v>
      </c>
      <c r="D1398" t="s">
        <v>36</v>
      </c>
      <c r="E1398" t="s">
        <v>51</v>
      </c>
      <c r="F1398">
        <v>31468</v>
      </c>
      <c r="G1398">
        <v>44619</v>
      </c>
      <c r="H1398">
        <v>2496</v>
      </c>
      <c r="I1398">
        <v>208</v>
      </c>
      <c r="J1398">
        <v>157</v>
      </c>
      <c r="K1398">
        <v>166</v>
      </c>
      <c r="L1398">
        <v>0</v>
      </c>
      <c r="M1398">
        <v>317</v>
      </c>
      <c r="N1398" s="1">
        <v>0.625</v>
      </c>
      <c r="O1398" t="s">
        <v>23</v>
      </c>
    </row>
    <row r="1399" spans="1:15" x14ac:dyDescent="0.3">
      <c r="A1399" t="s">
        <v>1437</v>
      </c>
      <c r="B1399">
        <v>20250628</v>
      </c>
      <c r="C1399" t="s">
        <v>16</v>
      </c>
      <c r="D1399" t="s">
        <v>33</v>
      </c>
      <c r="E1399" t="s">
        <v>26</v>
      </c>
      <c r="F1399">
        <v>13791</v>
      </c>
      <c r="G1399">
        <v>21997</v>
      </c>
      <c r="H1399">
        <v>1304</v>
      </c>
      <c r="I1399">
        <v>168</v>
      </c>
      <c r="J1399">
        <v>55</v>
      </c>
      <c r="K1399">
        <v>157</v>
      </c>
      <c r="L1399">
        <v>9355</v>
      </c>
      <c r="M1399">
        <v>125</v>
      </c>
      <c r="N1399" s="1">
        <v>0.42708333333333331</v>
      </c>
      <c r="O1399" t="s">
        <v>38</v>
      </c>
    </row>
    <row r="1400" spans="1:15" x14ac:dyDescent="0.3">
      <c r="A1400" t="s">
        <v>1438</v>
      </c>
      <c r="B1400">
        <v>20260531</v>
      </c>
      <c r="C1400" t="s">
        <v>16</v>
      </c>
      <c r="D1400" t="s">
        <v>17</v>
      </c>
      <c r="E1400" t="s">
        <v>46</v>
      </c>
      <c r="F1400">
        <v>31009</v>
      </c>
      <c r="G1400">
        <v>50981</v>
      </c>
      <c r="H1400">
        <v>2455</v>
      </c>
      <c r="I1400">
        <v>201</v>
      </c>
      <c r="J1400">
        <v>468</v>
      </c>
      <c r="K1400">
        <v>293</v>
      </c>
      <c r="L1400">
        <v>16333</v>
      </c>
      <c r="M1400">
        <v>55</v>
      </c>
      <c r="N1400" s="1">
        <v>0.48958333333333331</v>
      </c>
      <c r="O1400" t="s">
        <v>30</v>
      </c>
    </row>
    <row r="1401" spans="1:15" x14ac:dyDescent="0.3">
      <c r="A1401" t="s">
        <v>1439</v>
      </c>
      <c r="B1401">
        <v>20260522</v>
      </c>
      <c r="C1401" t="s">
        <v>16</v>
      </c>
      <c r="D1401" t="s">
        <v>33</v>
      </c>
      <c r="E1401" t="s">
        <v>51</v>
      </c>
      <c r="F1401">
        <v>28458</v>
      </c>
      <c r="G1401">
        <v>44251</v>
      </c>
      <c r="H1401">
        <v>1308</v>
      </c>
      <c r="I1401">
        <v>33</v>
      </c>
      <c r="J1401">
        <v>250</v>
      </c>
      <c r="K1401">
        <v>116</v>
      </c>
      <c r="L1401">
        <v>0</v>
      </c>
      <c r="M1401">
        <v>383</v>
      </c>
      <c r="N1401" s="1">
        <v>0.79166666666666663</v>
      </c>
      <c r="O1401" t="s">
        <v>19</v>
      </c>
    </row>
    <row r="1402" spans="1:15" x14ac:dyDescent="0.3">
      <c r="A1402" t="s">
        <v>1440</v>
      </c>
      <c r="B1402">
        <v>20260811</v>
      </c>
      <c r="C1402" t="s">
        <v>25</v>
      </c>
      <c r="D1402" t="s">
        <v>36</v>
      </c>
      <c r="E1402" t="s">
        <v>46</v>
      </c>
      <c r="F1402">
        <v>13656</v>
      </c>
      <c r="G1402">
        <v>21580</v>
      </c>
      <c r="H1402">
        <v>1577</v>
      </c>
      <c r="I1402">
        <v>153</v>
      </c>
      <c r="J1402">
        <v>210</v>
      </c>
      <c r="K1402">
        <v>184</v>
      </c>
      <c r="L1402">
        <v>5802</v>
      </c>
      <c r="M1402">
        <v>22</v>
      </c>
      <c r="N1402" s="1">
        <v>0.875</v>
      </c>
      <c r="O1402" t="s">
        <v>34</v>
      </c>
    </row>
    <row r="1403" spans="1:15" x14ac:dyDescent="0.3">
      <c r="A1403" t="s">
        <v>1441</v>
      </c>
      <c r="B1403">
        <v>20260819</v>
      </c>
      <c r="C1403" t="s">
        <v>32</v>
      </c>
      <c r="D1403" t="s">
        <v>21</v>
      </c>
      <c r="E1403" t="s">
        <v>46</v>
      </c>
      <c r="F1403">
        <v>3758</v>
      </c>
      <c r="G1403">
        <v>4442</v>
      </c>
      <c r="H1403">
        <v>198</v>
      </c>
      <c r="I1403">
        <v>25</v>
      </c>
      <c r="J1403">
        <v>18</v>
      </c>
      <c r="K1403">
        <v>24</v>
      </c>
      <c r="L1403">
        <v>3156</v>
      </c>
      <c r="M1403">
        <v>20</v>
      </c>
      <c r="N1403" s="1">
        <v>0.94791666666666663</v>
      </c>
      <c r="O1403" t="s">
        <v>47</v>
      </c>
    </row>
    <row r="1404" spans="1:15" x14ac:dyDescent="0.3">
      <c r="A1404" t="s">
        <v>1442</v>
      </c>
      <c r="B1404">
        <v>20250121</v>
      </c>
      <c r="C1404" t="s">
        <v>25</v>
      </c>
      <c r="D1404" t="s">
        <v>21</v>
      </c>
      <c r="E1404" t="s">
        <v>41</v>
      </c>
      <c r="F1404">
        <v>12598</v>
      </c>
      <c r="G1404">
        <v>14608</v>
      </c>
      <c r="H1404">
        <v>591</v>
      </c>
      <c r="I1404">
        <v>49</v>
      </c>
      <c r="J1404">
        <v>40</v>
      </c>
      <c r="K1404">
        <v>68</v>
      </c>
      <c r="L1404">
        <v>10537</v>
      </c>
      <c r="M1404">
        <v>100</v>
      </c>
      <c r="N1404" s="1">
        <v>0.80208333333333337</v>
      </c>
      <c r="O1404" t="s">
        <v>23</v>
      </c>
    </row>
    <row r="1405" spans="1:15" x14ac:dyDescent="0.3">
      <c r="A1405" t="s">
        <v>1443</v>
      </c>
      <c r="B1405">
        <v>20260302</v>
      </c>
      <c r="C1405" t="s">
        <v>25</v>
      </c>
      <c r="E1405" t="s">
        <v>18</v>
      </c>
      <c r="F1405">
        <v>26967</v>
      </c>
      <c r="G1405">
        <v>41348</v>
      </c>
      <c r="H1405">
        <v>1574</v>
      </c>
      <c r="I1405">
        <v>62</v>
      </c>
      <c r="J1405">
        <v>232</v>
      </c>
      <c r="K1405">
        <v>45</v>
      </c>
      <c r="L1405">
        <v>0</v>
      </c>
      <c r="M1405">
        <v>453</v>
      </c>
      <c r="N1405" s="1">
        <v>0.46875</v>
      </c>
      <c r="O1405" t="s">
        <v>47</v>
      </c>
    </row>
    <row r="1406" spans="1:15" x14ac:dyDescent="0.3">
      <c r="A1406" t="s">
        <v>1444</v>
      </c>
      <c r="B1406">
        <v>20260922</v>
      </c>
      <c r="C1406" t="s">
        <v>25</v>
      </c>
      <c r="D1406" t="s">
        <v>68</v>
      </c>
      <c r="E1406" t="s">
        <v>41</v>
      </c>
      <c r="F1406">
        <v>35970</v>
      </c>
      <c r="G1406">
        <v>49368</v>
      </c>
      <c r="H1406">
        <v>3676</v>
      </c>
      <c r="I1406">
        <v>165</v>
      </c>
      <c r="J1406">
        <v>522</v>
      </c>
      <c r="K1406">
        <v>194</v>
      </c>
      <c r="L1406">
        <v>22509</v>
      </c>
      <c r="M1406">
        <v>504</v>
      </c>
      <c r="N1406" s="1">
        <v>0.36458333333333331</v>
      </c>
      <c r="O1406" t="s">
        <v>49</v>
      </c>
    </row>
    <row r="1407" spans="1:15" x14ac:dyDescent="0.3">
      <c r="A1407" t="s">
        <v>1445</v>
      </c>
      <c r="B1407">
        <v>20250107</v>
      </c>
      <c r="C1407" t="s">
        <v>16</v>
      </c>
      <c r="D1407" t="s">
        <v>33</v>
      </c>
      <c r="E1407" t="s">
        <v>41</v>
      </c>
      <c r="F1407">
        <v>47719</v>
      </c>
      <c r="G1407">
        <v>71912</v>
      </c>
      <c r="H1407">
        <v>1929</v>
      </c>
      <c r="I1407">
        <v>66</v>
      </c>
      <c r="J1407">
        <v>133</v>
      </c>
      <c r="K1407">
        <v>269</v>
      </c>
      <c r="L1407">
        <v>17380</v>
      </c>
      <c r="M1407">
        <v>484</v>
      </c>
      <c r="N1407" s="1">
        <v>0.84375</v>
      </c>
      <c r="O1407" t="s">
        <v>47</v>
      </c>
    </row>
    <row r="1408" spans="1:15" x14ac:dyDescent="0.3">
      <c r="A1408" t="s">
        <v>1446</v>
      </c>
      <c r="B1408">
        <v>20260831</v>
      </c>
      <c r="C1408" t="s">
        <v>16</v>
      </c>
      <c r="D1408" t="s">
        <v>68</v>
      </c>
      <c r="E1408" t="s">
        <v>26</v>
      </c>
      <c r="F1408">
        <v>32069</v>
      </c>
      <c r="G1408">
        <v>35953</v>
      </c>
      <c r="H1408">
        <v>2038</v>
      </c>
      <c r="I1408">
        <v>96</v>
      </c>
      <c r="J1408">
        <v>187</v>
      </c>
      <c r="K1408">
        <v>112</v>
      </c>
      <c r="L1408">
        <v>27485</v>
      </c>
      <c r="M1408">
        <v>381</v>
      </c>
      <c r="N1408" s="1">
        <v>0.58333333333333337</v>
      </c>
      <c r="O1408" t="s">
        <v>42</v>
      </c>
    </row>
    <row r="1409" spans="1:15" x14ac:dyDescent="0.3">
      <c r="A1409" t="s">
        <v>1447</v>
      </c>
      <c r="B1409">
        <v>20250614</v>
      </c>
      <c r="C1409" t="s">
        <v>16</v>
      </c>
      <c r="D1409" t="s">
        <v>21</v>
      </c>
      <c r="E1409" t="s">
        <v>41</v>
      </c>
      <c r="F1409">
        <v>25930</v>
      </c>
      <c r="G1409">
        <v>42143</v>
      </c>
      <c r="H1409">
        <v>2925</v>
      </c>
      <c r="I1409">
        <v>403</v>
      </c>
      <c r="K1409">
        <v>146</v>
      </c>
      <c r="L1409">
        <v>17639</v>
      </c>
      <c r="M1409">
        <v>286</v>
      </c>
      <c r="N1409" s="1">
        <v>0.65625</v>
      </c>
      <c r="O1409" t="s">
        <v>19</v>
      </c>
    </row>
    <row r="1410" spans="1:15" x14ac:dyDescent="0.3">
      <c r="A1410" t="s">
        <v>1448</v>
      </c>
      <c r="B1410">
        <v>20251211</v>
      </c>
      <c r="C1410" t="s">
        <v>44</v>
      </c>
      <c r="D1410" t="s">
        <v>36</v>
      </c>
      <c r="E1410" t="s">
        <v>18</v>
      </c>
      <c r="F1410">
        <v>78678</v>
      </c>
      <c r="G1410">
        <v>94723</v>
      </c>
      <c r="H1410">
        <v>6529</v>
      </c>
      <c r="I1410">
        <v>778</v>
      </c>
      <c r="J1410">
        <v>1027</v>
      </c>
      <c r="K1410">
        <v>516</v>
      </c>
      <c r="L1410">
        <v>0</v>
      </c>
      <c r="M1410">
        <v>545</v>
      </c>
      <c r="N1410" s="1">
        <v>0.34375</v>
      </c>
      <c r="O1410" t="s">
        <v>19</v>
      </c>
    </row>
    <row r="1411" spans="1:15" x14ac:dyDescent="0.3">
      <c r="A1411" t="s">
        <v>1449</v>
      </c>
      <c r="B1411">
        <v>20250717</v>
      </c>
      <c r="C1411" t="s">
        <v>32</v>
      </c>
      <c r="D1411" t="s">
        <v>68</v>
      </c>
      <c r="E1411" t="s">
        <v>41</v>
      </c>
      <c r="F1411">
        <v>5153</v>
      </c>
      <c r="G1411">
        <v>6372</v>
      </c>
      <c r="H1411">
        <v>517</v>
      </c>
      <c r="I1411">
        <v>62</v>
      </c>
      <c r="J1411">
        <v>55</v>
      </c>
      <c r="K1411">
        <v>30</v>
      </c>
      <c r="L1411">
        <v>3821</v>
      </c>
      <c r="M1411">
        <v>74</v>
      </c>
      <c r="N1411" s="1">
        <v>0.40625</v>
      </c>
      <c r="O1411" t="s">
        <v>47</v>
      </c>
    </row>
    <row r="1412" spans="1:15" x14ac:dyDescent="0.3">
      <c r="A1412" t="s">
        <v>1450</v>
      </c>
      <c r="B1412">
        <v>20250202</v>
      </c>
      <c r="C1412" t="s">
        <v>25</v>
      </c>
      <c r="D1412" t="s">
        <v>68</v>
      </c>
      <c r="E1412" t="s">
        <v>41</v>
      </c>
      <c r="F1412">
        <v>14423</v>
      </c>
      <c r="G1412">
        <v>15386</v>
      </c>
      <c r="H1412">
        <v>1491</v>
      </c>
      <c r="I1412">
        <v>63</v>
      </c>
      <c r="J1412">
        <v>103</v>
      </c>
      <c r="K1412">
        <v>98</v>
      </c>
      <c r="L1412">
        <v>11799</v>
      </c>
      <c r="M1412">
        <v>50</v>
      </c>
      <c r="N1412" s="1">
        <v>0.69791666666666663</v>
      </c>
      <c r="O1412" t="s">
        <v>27</v>
      </c>
    </row>
    <row r="1413" spans="1:15" x14ac:dyDescent="0.3">
      <c r="A1413" t="s">
        <v>1451</v>
      </c>
      <c r="B1413">
        <v>20250222</v>
      </c>
      <c r="C1413" t="s">
        <v>16</v>
      </c>
      <c r="D1413" t="s">
        <v>61</v>
      </c>
      <c r="E1413" t="s">
        <v>46</v>
      </c>
      <c r="F1413">
        <v>25323</v>
      </c>
      <c r="G1413">
        <v>31133</v>
      </c>
      <c r="H1413">
        <v>1391</v>
      </c>
      <c r="I1413">
        <v>103</v>
      </c>
      <c r="J1413">
        <v>58</v>
      </c>
      <c r="K1413">
        <v>142</v>
      </c>
      <c r="L1413">
        <v>14343</v>
      </c>
      <c r="M1413">
        <v>140</v>
      </c>
      <c r="N1413" s="1">
        <v>0.67708333333333337</v>
      </c>
      <c r="O1413" t="s">
        <v>53</v>
      </c>
    </row>
    <row r="1414" spans="1:15" x14ac:dyDescent="0.3">
      <c r="A1414" t="s">
        <v>1452</v>
      </c>
      <c r="B1414">
        <v>20250408</v>
      </c>
      <c r="C1414" t="s">
        <v>44</v>
      </c>
      <c r="D1414" t="s">
        <v>33</v>
      </c>
      <c r="E1414" t="s">
        <v>51</v>
      </c>
      <c r="F1414">
        <v>37668</v>
      </c>
      <c r="G1414">
        <v>40327</v>
      </c>
      <c r="H1414">
        <v>1261</v>
      </c>
      <c r="J1414">
        <v>175</v>
      </c>
      <c r="K1414">
        <v>200</v>
      </c>
      <c r="L1414">
        <v>0</v>
      </c>
      <c r="M1414">
        <v>319</v>
      </c>
      <c r="N1414" s="1">
        <v>0.40625</v>
      </c>
      <c r="O1414" t="s">
        <v>53</v>
      </c>
    </row>
    <row r="1415" spans="1:15" x14ac:dyDescent="0.3">
      <c r="A1415" t="s">
        <v>1453</v>
      </c>
      <c r="B1415">
        <v>20250804</v>
      </c>
      <c r="C1415" t="s">
        <v>44</v>
      </c>
      <c r="D1415" t="s">
        <v>17</v>
      </c>
      <c r="E1415" t="s">
        <v>22</v>
      </c>
      <c r="F1415">
        <v>33382</v>
      </c>
      <c r="G1415">
        <v>50778</v>
      </c>
      <c r="H1415">
        <v>1404</v>
      </c>
      <c r="I1415">
        <v>162</v>
      </c>
      <c r="J1415">
        <v>137</v>
      </c>
      <c r="K1415">
        <v>33</v>
      </c>
      <c r="L1415">
        <v>0</v>
      </c>
      <c r="M1415">
        <v>496</v>
      </c>
      <c r="N1415" s="1">
        <v>0.46875</v>
      </c>
      <c r="O1415" t="s">
        <v>47</v>
      </c>
    </row>
    <row r="1416" spans="1:15" x14ac:dyDescent="0.3">
      <c r="A1416" t="s">
        <v>1454</v>
      </c>
      <c r="B1416">
        <v>20250105</v>
      </c>
      <c r="C1416" t="s">
        <v>40</v>
      </c>
      <c r="D1416" t="s">
        <v>36</v>
      </c>
      <c r="E1416" t="s">
        <v>41</v>
      </c>
      <c r="F1416">
        <v>17159</v>
      </c>
      <c r="G1416">
        <v>25538</v>
      </c>
      <c r="H1416">
        <v>1450</v>
      </c>
      <c r="I1416">
        <v>47</v>
      </c>
      <c r="J1416">
        <v>75</v>
      </c>
      <c r="K1416">
        <v>115</v>
      </c>
      <c r="L1416">
        <v>6465</v>
      </c>
      <c r="M1416">
        <v>212</v>
      </c>
      <c r="N1416" s="1">
        <v>0.45833333333333331</v>
      </c>
      <c r="O1416" t="s">
        <v>38</v>
      </c>
    </row>
    <row r="1417" spans="1:15" x14ac:dyDescent="0.3">
      <c r="A1417" t="s">
        <v>1455</v>
      </c>
      <c r="B1417">
        <v>20250701</v>
      </c>
      <c r="C1417" t="s">
        <v>25</v>
      </c>
      <c r="D1417" t="s">
        <v>29</v>
      </c>
      <c r="E1417" t="s">
        <v>46</v>
      </c>
      <c r="F1417">
        <v>8259</v>
      </c>
      <c r="G1417">
        <v>8863</v>
      </c>
      <c r="H1417">
        <v>310</v>
      </c>
      <c r="I1417">
        <v>35</v>
      </c>
      <c r="J1417">
        <v>23</v>
      </c>
      <c r="K1417">
        <v>24</v>
      </c>
      <c r="L1417">
        <v>4594</v>
      </c>
      <c r="M1417">
        <v>49</v>
      </c>
      <c r="N1417" s="1">
        <v>0.70833333333333337</v>
      </c>
      <c r="O1417" t="s">
        <v>19</v>
      </c>
    </row>
    <row r="1418" spans="1:15" x14ac:dyDescent="0.3">
      <c r="A1418" t="s">
        <v>1456</v>
      </c>
      <c r="B1418">
        <v>20250423</v>
      </c>
      <c r="C1418" t="s">
        <v>32</v>
      </c>
      <c r="D1418" t="s">
        <v>68</v>
      </c>
      <c r="E1418" t="s">
        <v>51</v>
      </c>
      <c r="F1418">
        <v>9941</v>
      </c>
      <c r="G1418">
        <v>11635</v>
      </c>
      <c r="H1418">
        <v>635</v>
      </c>
      <c r="I1418">
        <v>50</v>
      </c>
      <c r="J1418">
        <v>24</v>
      </c>
      <c r="K1418">
        <v>38</v>
      </c>
      <c r="L1418">
        <v>0</v>
      </c>
      <c r="M1418">
        <v>24</v>
      </c>
      <c r="N1418" s="1">
        <v>0.47916666666666669</v>
      </c>
      <c r="O1418" t="s">
        <v>42</v>
      </c>
    </row>
    <row r="1419" spans="1:15" x14ac:dyDescent="0.3">
      <c r="A1419" t="s">
        <v>1457</v>
      </c>
      <c r="B1419">
        <v>20250323</v>
      </c>
      <c r="C1419" t="s">
        <v>40</v>
      </c>
      <c r="D1419" t="s">
        <v>33</v>
      </c>
      <c r="E1419" t="s">
        <v>18</v>
      </c>
      <c r="F1419">
        <v>18687</v>
      </c>
      <c r="G1419">
        <v>24226</v>
      </c>
      <c r="H1419">
        <v>1563</v>
      </c>
      <c r="I1419">
        <v>143</v>
      </c>
      <c r="J1419">
        <v>47</v>
      </c>
      <c r="K1419">
        <v>86</v>
      </c>
      <c r="L1419">
        <v>0</v>
      </c>
      <c r="M1419">
        <v>263</v>
      </c>
      <c r="N1419" s="1">
        <v>0.57291666666666663</v>
      </c>
      <c r="O1419" t="s">
        <v>34</v>
      </c>
    </row>
    <row r="1420" spans="1:15" x14ac:dyDescent="0.3">
      <c r="A1420" t="s">
        <v>1458</v>
      </c>
      <c r="B1420">
        <v>20260906</v>
      </c>
      <c r="C1420" t="s">
        <v>16</v>
      </c>
      <c r="D1420" t="s">
        <v>17</v>
      </c>
      <c r="E1420" t="s">
        <v>26</v>
      </c>
      <c r="F1420">
        <v>56558</v>
      </c>
      <c r="G1420">
        <v>92569</v>
      </c>
      <c r="H1420">
        <v>5467</v>
      </c>
      <c r="I1420">
        <v>733</v>
      </c>
      <c r="J1420">
        <v>276</v>
      </c>
      <c r="K1420">
        <v>631</v>
      </c>
      <c r="L1420">
        <v>36413</v>
      </c>
      <c r="M1420">
        <v>320</v>
      </c>
      <c r="N1420" s="1">
        <v>0.47916666666666669</v>
      </c>
      <c r="O1420" t="s">
        <v>23</v>
      </c>
    </row>
    <row r="1421" spans="1:15" x14ac:dyDescent="0.3">
      <c r="A1421" t="s">
        <v>1459</v>
      </c>
      <c r="B1421">
        <v>20250627</v>
      </c>
      <c r="C1421" t="s">
        <v>25</v>
      </c>
      <c r="D1421" t="s">
        <v>33</v>
      </c>
      <c r="E1421" t="s">
        <v>51</v>
      </c>
      <c r="F1421">
        <v>32299</v>
      </c>
      <c r="G1421">
        <v>50055</v>
      </c>
      <c r="H1421">
        <v>3253</v>
      </c>
      <c r="I1421">
        <v>454</v>
      </c>
      <c r="J1421">
        <v>596</v>
      </c>
      <c r="K1421">
        <v>476</v>
      </c>
      <c r="L1421">
        <v>0</v>
      </c>
      <c r="M1421">
        <v>68</v>
      </c>
      <c r="N1421" s="1">
        <v>0.66666666666666663</v>
      </c>
      <c r="O1421" t="s">
        <v>19</v>
      </c>
    </row>
    <row r="1422" spans="1:15" x14ac:dyDescent="0.3">
      <c r="A1422" t="s">
        <v>1460</v>
      </c>
      <c r="B1422">
        <v>20260129</v>
      </c>
      <c r="C1422" t="s">
        <v>32</v>
      </c>
      <c r="D1422" t="s">
        <v>21</v>
      </c>
      <c r="E1422" t="s">
        <v>46</v>
      </c>
      <c r="F1422">
        <v>17896</v>
      </c>
      <c r="G1422">
        <v>22644</v>
      </c>
      <c r="H1422">
        <v>2119</v>
      </c>
      <c r="I1422">
        <v>202</v>
      </c>
      <c r="J1422">
        <v>183</v>
      </c>
      <c r="K1422">
        <v>177</v>
      </c>
      <c r="L1422">
        <v>8795</v>
      </c>
      <c r="M1422">
        <v>87</v>
      </c>
      <c r="N1422" s="1">
        <v>0.72916666666666663</v>
      </c>
      <c r="O1422" t="s">
        <v>47</v>
      </c>
    </row>
    <row r="1423" spans="1:15" x14ac:dyDescent="0.3">
      <c r="A1423" t="s">
        <v>1461</v>
      </c>
      <c r="B1423">
        <v>20260531</v>
      </c>
      <c r="C1423" t="s">
        <v>16</v>
      </c>
      <c r="D1423" t="s">
        <v>33</v>
      </c>
      <c r="E1423" t="s">
        <v>18</v>
      </c>
      <c r="F1423">
        <v>27403</v>
      </c>
      <c r="G1423">
        <v>40983</v>
      </c>
      <c r="H1423">
        <v>2986</v>
      </c>
      <c r="I1423">
        <v>158</v>
      </c>
      <c r="J1423">
        <v>421</v>
      </c>
      <c r="K1423">
        <v>275</v>
      </c>
      <c r="M1423">
        <v>254</v>
      </c>
      <c r="N1423" s="1">
        <v>0.67708333333333337</v>
      </c>
      <c r="O1423" t="s">
        <v>53</v>
      </c>
    </row>
    <row r="1424" spans="1:15" x14ac:dyDescent="0.3">
      <c r="A1424" t="s">
        <v>1462</v>
      </c>
      <c r="B1424">
        <v>20250316</v>
      </c>
      <c r="C1424" t="s">
        <v>16</v>
      </c>
      <c r="D1424" t="s">
        <v>36</v>
      </c>
      <c r="E1424" t="s">
        <v>26</v>
      </c>
      <c r="F1424">
        <v>14110</v>
      </c>
      <c r="G1424">
        <v>15224</v>
      </c>
      <c r="H1424">
        <v>1190</v>
      </c>
      <c r="I1424">
        <v>126</v>
      </c>
      <c r="J1424">
        <v>222</v>
      </c>
      <c r="K1424">
        <v>24</v>
      </c>
      <c r="L1424">
        <v>9870</v>
      </c>
      <c r="M1424">
        <v>177</v>
      </c>
      <c r="N1424" s="1">
        <v>0.625</v>
      </c>
      <c r="O1424" t="s">
        <v>53</v>
      </c>
    </row>
    <row r="1425" spans="1:15" x14ac:dyDescent="0.3">
      <c r="A1425" t="s">
        <v>1463</v>
      </c>
      <c r="B1425">
        <v>20260305</v>
      </c>
      <c r="C1425" t="s">
        <v>16</v>
      </c>
      <c r="D1425" t="s">
        <v>21</v>
      </c>
      <c r="E1425" t="s">
        <v>26</v>
      </c>
      <c r="F1425">
        <v>19555</v>
      </c>
      <c r="G1425">
        <v>20862</v>
      </c>
      <c r="H1425">
        <v>614</v>
      </c>
      <c r="I1425">
        <v>53</v>
      </c>
      <c r="J1425">
        <v>101</v>
      </c>
      <c r="K1425">
        <v>31</v>
      </c>
      <c r="L1425">
        <v>11201</v>
      </c>
      <c r="M1425">
        <v>205</v>
      </c>
      <c r="N1425" s="1">
        <v>0.52083333333333337</v>
      </c>
      <c r="O1425" t="s">
        <v>27</v>
      </c>
    </row>
    <row r="1426" spans="1:15" x14ac:dyDescent="0.3">
      <c r="A1426" t="s">
        <v>1464</v>
      </c>
      <c r="B1426">
        <v>20250519</v>
      </c>
      <c r="C1426" t="s">
        <v>25</v>
      </c>
      <c r="D1426" t="s">
        <v>29</v>
      </c>
      <c r="E1426" t="s">
        <v>22</v>
      </c>
      <c r="F1426">
        <v>8473</v>
      </c>
      <c r="G1426">
        <v>10591</v>
      </c>
      <c r="H1426">
        <v>951</v>
      </c>
      <c r="I1426">
        <v>116</v>
      </c>
      <c r="J1426">
        <v>161</v>
      </c>
      <c r="K1426">
        <v>137</v>
      </c>
      <c r="L1426">
        <v>0</v>
      </c>
      <c r="M1426">
        <v>109</v>
      </c>
      <c r="N1426" s="1">
        <v>0.66666666666666663</v>
      </c>
      <c r="O1426" t="s">
        <v>27</v>
      </c>
    </row>
    <row r="1427" spans="1:15" x14ac:dyDescent="0.3">
      <c r="A1427" t="s">
        <v>1465</v>
      </c>
      <c r="B1427">
        <v>20260303</v>
      </c>
      <c r="C1427" t="s">
        <v>32</v>
      </c>
      <c r="D1427" t="s">
        <v>21</v>
      </c>
      <c r="E1427" t="s">
        <v>51</v>
      </c>
      <c r="F1427">
        <v>43708</v>
      </c>
      <c r="G1427">
        <v>58295</v>
      </c>
      <c r="H1427">
        <v>2451</v>
      </c>
      <c r="I1427">
        <v>215</v>
      </c>
      <c r="K1427">
        <v>371</v>
      </c>
      <c r="L1427">
        <v>0</v>
      </c>
      <c r="M1427">
        <v>471</v>
      </c>
      <c r="N1427" s="1">
        <v>0.90625</v>
      </c>
      <c r="O1427" t="s">
        <v>42</v>
      </c>
    </row>
    <row r="1428" spans="1:15" x14ac:dyDescent="0.3">
      <c r="A1428" t="s">
        <v>1466</v>
      </c>
      <c r="B1428">
        <v>20260331</v>
      </c>
      <c r="C1428" t="s">
        <v>40</v>
      </c>
      <c r="D1428" t="s">
        <v>29</v>
      </c>
      <c r="E1428" t="s">
        <v>26</v>
      </c>
      <c r="F1428">
        <v>4942</v>
      </c>
      <c r="G1428">
        <v>7951</v>
      </c>
      <c r="H1428">
        <v>306</v>
      </c>
      <c r="J1428">
        <v>10</v>
      </c>
      <c r="K1428">
        <v>38</v>
      </c>
      <c r="L1428">
        <v>2443</v>
      </c>
      <c r="M1428">
        <v>5</v>
      </c>
      <c r="N1428" s="1">
        <v>0.3125</v>
      </c>
      <c r="O1428" t="s">
        <v>27</v>
      </c>
    </row>
    <row r="1429" spans="1:15" x14ac:dyDescent="0.3">
      <c r="A1429" t="s">
        <v>1467</v>
      </c>
      <c r="B1429">
        <v>20250316</v>
      </c>
      <c r="C1429" t="s">
        <v>16</v>
      </c>
      <c r="D1429" t="s">
        <v>68</v>
      </c>
      <c r="E1429" t="s">
        <v>46</v>
      </c>
      <c r="F1429">
        <v>24850</v>
      </c>
      <c r="G1429">
        <v>35332</v>
      </c>
      <c r="H1429">
        <v>1518</v>
      </c>
      <c r="I1429">
        <v>171</v>
      </c>
      <c r="J1429">
        <v>222</v>
      </c>
      <c r="K1429">
        <v>78</v>
      </c>
      <c r="L1429">
        <v>15277</v>
      </c>
      <c r="M1429">
        <v>152</v>
      </c>
      <c r="N1429" s="1">
        <v>0.77083333333333337</v>
      </c>
      <c r="O1429" t="s">
        <v>49</v>
      </c>
    </row>
    <row r="1430" spans="1:15" x14ac:dyDescent="0.3">
      <c r="A1430" t="s">
        <v>1468</v>
      </c>
      <c r="B1430">
        <v>20250518</v>
      </c>
      <c r="C1430" t="s">
        <v>44</v>
      </c>
      <c r="D1430" t="s">
        <v>33</v>
      </c>
      <c r="E1430" t="s">
        <v>26</v>
      </c>
      <c r="F1430">
        <v>25929</v>
      </c>
      <c r="G1430">
        <v>27751</v>
      </c>
      <c r="H1430">
        <v>1780</v>
      </c>
      <c r="I1430">
        <v>122</v>
      </c>
      <c r="J1430">
        <v>116</v>
      </c>
      <c r="K1430">
        <v>93</v>
      </c>
      <c r="L1430">
        <v>14528</v>
      </c>
      <c r="M1430">
        <v>31</v>
      </c>
      <c r="N1430" s="1">
        <v>0.59375</v>
      </c>
      <c r="O1430" t="s">
        <v>27</v>
      </c>
    </row>
    <row r="1431" spans="1:15" x14ac:dyDescent="0.3">
      <c r="A1431" t="s">
        <v>1469</v>
      </c>
      <c r="B1431">
        <v>20260526</v>
      </c>
      <c r="C1431" t="s">
        <v>16</v>
      </c>
      <c r="D1431" t="s">
        <v>33</v>
      </c>
      <c r="E1431" t="s">
        <v>18</v>
      </c>
      <c r="F1431">
        <v>11680</v>
      </c>
      <c r="G1431">
        <v>15709</v>
      </c>
      <c r="H1431">
        <v>894</v>
      </c>
      <c r="I1431">
        <v>99</v>
      </c>
      <c r="J1431">
        <v>159</v>
      </c>
      <c r="K1431">
        <v>107</v>
      </c>
      <c r="L1431">
        <v>0</v>
      </c>
      <c r="M1431">
        <v>193</v>
      </c>
      <c r="N1431" s="1">
        <v>0.80208333333333337</v>
      </c>
      <c r="O1431" t="s">
        <v>27</v>
      </c>
    </row>
    <row r="1432" spans="1:15" x14ac:dyDescent="0.3">
      <c r="A1432" t="s">
        <v>1470</v>
      </c>
      <c r="B1432">
        <v>20251012</v>
      </c>
      <c r="C1432" t="s">
        <v>44</v>
      </c>
      <c r="D1432" t="s">
        <v>29</v>
      </c>
      <c r="E1432" t="s">
        <v>51</v>
      </c>
      <c r="F1432">
        <v>22712</v>
      </c>
      <c r="G1432">
        <v>26338</v>
      </c>
      <c r="H1432">
        <v>2534</v>
      </c>
      <c r="I1432">
        <v>253</v>
      </c>
      <c r="J1432">
        <v>183</v>
      </c>
      <c r="K1432">
        <v>219</v>
      </c>
      <c r="L1432">
        <v>0</v>
      </c>
      <c r="M1432">
        <v>219</v>
      </c>
      <c r="N1432" s="1">
        <v>0.41666666666666669</v>
      </c>
      <c r="O1432" t="s">
        <v>47</v>
      </c>
    </row>
    <row r="1433" spans="1:15" x14ac:dyDescent="0.3">
      <c r="A1433" t="s">
        <v>1471</v>
      </c>
      <c r="B1433">
        <v>20251006</v>
      </c>
      <c r="C1433" t="s">
        <v>25</v>
      </c>
      <c r="D1433" t="s">
        <v>68</v>
      </c>
      <c r="E1433" t="s">
        <v>22</v>
      </c>
      <c r="F1433">
        <v>20774</v>
      </c>
      <c r="G1433">
        <v>28339</v>
      </c>
      <c r="H1433">
        <v>1602</v>
      </c>
      <c r="I1433">
        <v>83</v>
      </c>
      <c r="J1433">
        <v>258</v>
      </c>
      <c r="K1433">
        <v>104</v>
      </c>
      <c r="L1433">
        <v>0</v>
      </c>
      <c r="M1433">
        <v>69</v>
      </c>
      <c r="N1433" s="1">
        <v>0.70833333333333337</v>
      </c>
      <c r="O1433" t="s">
        <v>23</v>
      </c>
    </row>
    <row r="1434" spans="1:15" x14ac:dyDescent="0.3">
      <c r="A1434" t="s">
        <v>1472</v>
      </c>
      <c r="B1434">
        <v>20250112</v>
      </c>
      <c r="C1434" t="s">
        <v>16</v>
      </c>
      <c r="D1434" t="s">
        <v>33</v>
      </c>
      <c r="E1434" t="s">
        <v>26</v>
      </c>
      <c r="F1434">
        <v>23597</v>
      </c>
      <c r="G1434">
        <v>30223</v>
      </c>
      <c r="H1434">
        <v>990</v>
      </c>
      <c r="I1434">
        <v>28</v>
      </c>
      <c r="J1434">
        <v>64</v>
      </c>
      <c r="K1434">
        <v>76</v>
      </c>
      <c r="L1434">
        <v>16593</v>
      </c>
      <c r="M1434">
        <v>194</v>
      </c>
      <c r="N1434" s="1">
        <v>0.73958333333333337</v>
      </c>
      <c r="O1434" t="s">
        <v>53</v>
      </c>
    </row>
    <row r="1435" spans="1:15" x14ac:dyDescent="0.3">
      <c r="A1435" t="s">
        <v>1473</v>
      </c>
      <c r="B1435">
        <v>20250923</v>
      </c>
      <c r="C1435" t="s">
        <v>32</v>
      </c>
      <c r="D1435" t="s">
        <v>61</v>
      </c>
      <c r="E1435" t="s">
        <v>22</v>
      </c>
      <c r="F1435">
        <v>10552</v>
      </c>
      <c r="G1435">
        <v>14405</v>
      </c>
      <c r="H1435">
        <v>703</v>
      </c>
      <c r="I1435">
        <v>52</v>
      </c>
      <c r="J1435">
        <v>98</v>
      </c>
      <c r="K1435">
        <v>100</v>
      </c>
      <c r="L1435">
        <v>0</v>
      </c>
      <c r="M1435">
        <v>70</v>
      </c>
      <c r="N1435" s="1">
        <v>0.58333333333333337</v>
      </c>
      <c r="O1435" t="s">
        <v>27</v>
      </c>
    </row>
    <row r="1436" spans="1:15" x14ac:dyDescent="0.3">
      <c r="A1436" t="s">
        <v>1474</v>
      </c>
      <c r="B1436">
        <v>20250510</v>
      </c>
      <c r="C1436" t="s">
        <v>25</v>
      </c>
      <c r="D1436" t="s">
        <v>17</v>
      </c>
      <c r="E1436" t="s">
        <v>41</v>
      </c>
      <c r="F1436">
        <v>12015</v>
      </c>
      <c r="G1436">
        <v>18819</v>
      </c>
      <c r="H1436">
        <v>786</v>
      </c>
      <c r="I1436">
        <v>85</v>
      </c>
      <c r="J1436">
        <v>136</v>
      </c>
      <c r="K1436">
        <v>97</v>
      </c>
      <c r="L1436">
        <v>7713</v>
      </c>
      <c r="M1436">
        <v>62</v>
      </c>
      <c r="N1436" s="1">
        <v>0.72916666666666663</v>
      </c>
      <c r="O1436" t="s">
        <v>42</v>
      </c>
    </row>
    <row r="1437" spans="1:15" x14ac:dyDescent="0.3">
      <c r="A1437" t="s">
        <v>1475</v>
      </c>
      <c r="B1437">
        <v>20250108</v>
      </c>
      <c r="C1437" t="s">
        <v>16</v>
      </c>
      <c r="D1437" t="s">
        <v>17</v>
      </c>
      <c r="E1437" t="s">
        <v>22</v>
      </c>
      <c r="F1437">
        <v>16293</v>
      </c>
      <c r="G1437">
        <v>21999</v>
      </c>
      <c r="H1437">
        <v>1914</v>
      </c>
      <c r="I1437">
        <v>243</v>
      </c>
      <c r="J1437">
        <v>286</v>
      </c>
      <c r="K1437">
        <v>130</v>
      </c>
      <c r="L1437">
        <v>0</v>
      </c>
      <c r="M1437">
        <v>133</v>
      </c>
      <c r="N1437" s="1">
        <v>0.9375</v>
      </c>
      <c r="O1437" t="s">
        <v>34</v>
      </c>
    </row>
    <row r="1438" spans="1:15" x14ac:dyDescent="0.3">
      <c r="A1438" t="s">
        <v>1476</v>
      </c>
      <c r="B1438">
        <v>20250823</v>
      </c>
      <c r="C1438" t="s">
        <v>25</v>
      </c>
      <c r="D1438" t="s">
        <v>17</v>
      </c>
      <c r="E1438" t="s">
        <v>46</v>
      </c>
      <c r="F1438">
        <v>5815</v>
      </c>
      <c r="G1438">
        <v>6189</v>
      </c>
      <c r="H1438">
        <v>171</v>
      </c>
      <c r="I1438">
        <v>6</v>
      </c>
      <c r="J1438">
        <v>31</v>
      </c>
      <c r="K1438">
        <v>8</v>
      </c>
      <c r="L1438">
        <v>2778</v>
      </c>
      <c r="M1438">
        <v>23</v>
      </c>
      <c r="N1438" s="1">
        <v>0.46875</v>
      </c>
      <c r="O1438" t="s">
        <v>23</v>
      </c>
    </row>
    <row r="1439" spans="1:15" x14ac:dyDescent="0.3">
      <c r="A1439" t="s">
        <v>1477</v>
      </c>
      <c r="B1439">
        <v>20250416</v>
      </c>
      <c r="C1439" t="s">
        <v>16</v>
      </c>
      <c r="D1439" t="s">
        <v>21</v>
      </c>
      <c r="E1439" t="s">
        <v>22</v>
      </c>
      <c r="F1439">
        <v>17955</v>
      </c>
      <c r="G1439">
        <v>22464</v>
      </c>
      <c r="H1439">
        <v>1100</v>
      </c>
      <c r="I1439">
        <v>66</v>
      </c>
      <c r="J1439">
        <v>117</v>
      </c>
      <c r="K1439">
        <v>78</v>
      </c>
      <c r="L1439">
        <v>0</v>
      </c>
      <c r="M1439">
        <v>232</v>
      </c>
      <c r="N1439" s="1">
        <v>0.54166666666666663</v>
      </c>
      <c r="O1439" t="s">
        <v>34</v>
      </c>
    </row>
    <row r="1440" spans="1:15" x14ac:dyDescent="0.3">
      <c r="A1440" t="s">
        <v>1478</v>
      </c>
      <c r="B1440">
        <v>20260316</v>
      </c>
      <c r="C1440" t="s">
        <v>16</v>
      </c>
      <c r="D1440" t="s">
        <v>61</v>
      </c>
      <c r="E1440" t="s">
        <v>18</v>
      </c>
      <c r="F1440">
        <v>4375</v>
      </c>
      <c r="G1440">
        <v>5425</v>
      </c>
      <c r="H1440">
        <v>334</v>
      </c>
      <c r="I1440">
        <v>40</v>
      </c>
      <c r="J1440">
        <v>14</v>
      </c>
      <c r="K1440">
        <v>50</v>
      </c>
      <c r="L1440">
        <v>0</v>
      </c>
      <c r="M1440">
        <v>36</v>
      </c>
      <c r="N1440" s="1">
        <v>0.48958333333333331</v>
      </c>
      <c r="O1440" t="s">
        <v>30</v>
      </c>
    </row>
    <row r="1441" spans="1:15" x14ac:dyDescent="0.3">
      <c r="A1441" t="s">
        <v>1479</v>
      </c>
      <c r="B1441">
        <v>20260416</v>
      </c>
      <c r="C1441" t="s">
        <v>40</v>
      </c>
      <c r="D1441" t="s">
        <v>36</v>
      </c>
      <c r="E1441" t="s">
        <v>46</v>
      </c>
      <c r="F1441">
        <v>30156</v>
      </c>
      <c r="G1441">
        <v>44553</v>
      </c>
      <c r="H1441">
        <v>2701</v>
      </c>
      <c r="I1441">
        <v>80</v>
      </c>
      <c r="J1441">
        <v>329</v>
      </c>
      <c r="K1441">
        <v>158</v>
      </c>
      <c r="L1441">
        <v>14669</v>
      </c>
      <c r="M1441">
        <v>30</v>
      </c>
      <c r="N1441" s="1">
        <v>0.41666666666666669</v>
      </c>
      <c r="O1441" t="s">
        <v>38</v>
      </c>
    </row>
    <row r="1442" spans="1:15" x14ac:dyDescent="0.3">
      <c r="A1442" t="s">
        <v>1480</v>
      </c>
      <c r="B1442">
        <v>20250817</v>
      </c>
      <c r="C1442" t="s">
        <v>40</v>
      </c>
      <c r="D1442" t="s">
        <v>17</v>
      </c>
      <c r="E1442" t="s">
        <v>41</v>
      </c>
      <c r="F1442">
        <v>27994</v>
      </c>
      <c r="G1442">
        <v>43730</v>
      </c>
      <c r="H1442">
        <v>3164</v>
      </c>
      <c r="I1442">
        <v>418</v>
      </c>
      <c r="J1442">
        <v>525</v>
      </c>
      <c r="K1442">
        <v>399</v>
      </c>
      <c r="L1442">
        <v>16681</v>
      </c>
      <c r="M1442">
        <v>74</v>
      </c>
      <c r="N1442" s="1">
        <v>0.79166666666666663</v>
      </c>
      <c r="O1442" t="s">
        <v>19</v>
      </c>
    </row>
    <row r="1443" spans="1:15" x14ac:dyDescent="0.3">
      <c r="A1443" t="s">
        <v>1481</v>
      </c>
      <c r="B1443">
        <v>20250721</v>
      </c>
      <c r="C1443" t="s">
        <v>16</v>
      </c>
      <c r="D1443" t="s">
        <v>61</v>
      </c>
      <c r="E1443" t="s">
        <v>18</v>
      </c>
      <c r="F1443">
        <v>22142</v>
      </c>
      <c r="G1443">
        <v>35302</v>
      </c>
      <c r="H1443">
        <v>1422</v>
      </c>
      <c r="I1443">
        <v>61</v>
      </c>
      <c r="J1443">
        <v>190</v>
      </c>
      <c r="K1443">
        <v>101</v>
      </c>
      <c r="L1443">
        <v>0</v>
      </c>
      <c r="M1443">
        <v>272</v>
      </c>
      <c r="N1443" s="1">
        <v>0.55208333333333337</v>
      </c>
      <c r="O1443" t="s">
        <v>34</v>
      </c>
    </row>
    <row r="1444" spans="1:15" x14ac:dyDescent="0.3">
      <c r="A1444" t="s">
        <v>1482</v>
      </c>
      <c r="B1444">
        <v>20250224</v>
      </c>
      <c r="C1444" t="s">
        <v>16</v>
      </c>
      <c r="D1444" t="s">
        <v>33</v>
      </c>
      <c r="E1444" t="s">
        <v>41</v>
      </c>
      <c r="F1444">
        <v>32635</v>
      </c>
      <c r="G1444">
        <v>49011</v>
      </c>
      <c r="H1444">
        <v>2032</v>
      </c>
      <c r="I1444">
        <v>199</v>
      </c>
      <c r="J1444">
        <v>268</v>
      </c>
      <c r="K1444">
        <v>104</v>
      </c>
      <c r="L1444">
        <v>25965</v>
      </c>
      <c r="M1444">
        <v>394</v>
      </c>
      <c r="N1444" s="1">
        <v>0.42708333333333331</v>
      </c>
      <c r="O1444" t="s">
        <v>23</v>
      </c>
    </row>
    <row r="1445" spans="1:15" x14ac:dyDescent="0.3">
      <c r="A1445" t="s">
        <v>1483</v>
      </c>
      <c r="B1445">
        <v>20250413</v>
      </c>
      <c r="C1445" t="s">
        <v>40</v>
      </c>
      <c r="D1445" t="s">
        <v>68</v>
      </c>
      <c r="E1445" t="s">
        <v>46</v>
      </c>
      <c r="F1445">
        <v>10387</v>
      </c>
      <c r="G1445">
        <v>13429</v>
      </c>
      <c r="H1445">
        <v>436</v>
      </c>
      <c r="I1445">
        <v>18</v>
      </c>
      <c r="J1445">
        <v>22</v>
      </c>
      <c r="K1445">
        <v>27</v>
      </c>
      <c r="L1445">
        <v>7602</v>
      </c>
      <c r="M1445">
        <v>29</v>
      </c>
      <c r="N1445" s="1">
        <v>0.69791666666666663</v>
      </c>
      <c r="O1445" t="s">
        <v>34</v>
      </c>
    </row>
    <row r="1446" spans="1:15" x14ac:dyDescent="0.3">
      <c r="A1446" t="s">
        <v>1484</v>
      </c>
      <c r="B1446">
        <v>20260605</v>
      </c>
      <c r="C1446" t="s">
        <v>44</v>
      </c>
      <c r="D1446" t="s">
        <v>36</v>
      </c>
      <c r="E1446" t="s">
        <v>41</v>
      </c>
      <c r="F1446">
        <v>92231</v>
      </c>
      <c r="G1446">
        <v>149849</v>
      </c>
      <c r="H1446">
        <v>8031</v>
      </c>
      <c r="I1446">
        <v>1052</v>
      </c>
      <c r="J1446">
        <v>670</v>
      </c>
      <c r="K1446">
        <v>768</v>
      </c>
      <c r="L1446">
        <v>66053</v>
      </c>
      <c r="M1446">
        <v>772</v>
      </c>
      <c r="N1446" s="1">
        <v>0.72916666666666663</v>
      </c>
      <c r="O1446" t="s">
        <v>38</v>
      </c>
    </row>
    <row r="1447" spans="1:15" x14ac:dyDescent="0.3">
      <c r="A1447" t="s">
        <v>1485</v>
      </c>
      <c r="B1447">
        <v>20250621</v>
      </c>
      <c r="C1447" t="s">
        <v>25</v>
      </c>
      <c r="D1447" t="s">
        <v>17</v>
      </c>
      <c r="E1447" t="s">
        <v>41</v>
      </c>
      <c r="F1447">
        <v>22911</v>
      </c>
      <c r="G1447">
        <v>29303</v>
      </c>
      <c r="H1447">
        <v>2329</v>
      </c>
      <c r="I1447">
        <v>165</v>
      </c>
      <c r="J1447">
        <v>349</v>
      </c>
      <c r="K1447">
        <v>150</v>
      </c>
      <c r="L1447">
        <v>13165</v>
      </c>
      <c r="M1447">
        <v>291</v>
      </c>
      <c r="N1447" s="1">
        <v>0.39583333333333331</v>
      </c>
      <c r="O1447" t="s">
        <v>49</v>
      </c>
    </row>
    <row r="1448" spans="1:15" x14ac:dyDescent="0.3">
      <c r="A1448" t="s">
        <v>1486</v>
      </c>
      <c r="B1448">
        <v>20260517</v>
      </c>
      <c r="C1448" t="s">
        <v>16</v>
      </c>
      <c r="D1448" t="s">
        <v>17</v>
      </c>
      <c r="E1448" t="s">
        <v>18</v>
      </c>
      <c r="F1448">
        <v>9487</v>
      </c>
      <c r="G1448">
        <v>15059</v>
      </c>
      <c r="H1448">
        <v>397</v>
      </c>
      <c r="I1448">
        <v>50</v>
      </c>
      <c r="J1448">
        <v>47</v>
      </c>
      <c r="K1448">
        <v>57</v>
      </c>
      <c r="L1448">
        <v>0</v>
      </c>
      <c r="M1448">
        <v>14</v>
      </c>
      <c r="N1448" s="1">
        <v>0.35416666666666669</v>
      </c>
      <c r="O1448" t="s">
        <v>27</v>
      </c>
    </row>
    <row r="1449" spans="1:15" x14ac:dyDescent="0.3">
      <c r="A1449" t="s">
        <v>1487</v>
      </c>
      <c r="B1449">
        <v>20260329</v>
      </c>
      <c r="C1449" t="s">
        <v>40</v>
      </c>
      <c r="D1449" t="s">
        <v>68</v>
      </c>
      <c r="E1449" t="s">
        <v>46</v>
      </c>
      <c r="F1449">
        <v>27262</v>
      </c>
      <c r="G1449">
        <v>34607</v>
      </c>
      <c r="H1449">
        <v>904</v>
      </c>
      <c r="I1449">
        <v>79</v>
      </c>
      <c r="J1449">
        <v>141</v>
      </c>
      <c r="K1449">
        <v>32</v>
      </c>
      <c r="L1449">
        <v>15078</v>
      </c>
      <c r="M1449">
        <v>81</v>
      </c>
      <c r="N1449" s="1">
        <v>0.30208333333333331</v>
      </c>
      <c r="O1449" t="s">
        <v>53</v>
      </c>
    </row>
    <row r="1450" spans="1:15" x14ac:dyDescent="0.3">
      <c r="A1450" t="s">
        <v>1488</v>
      </c>
      <c r="B1450">
        <v>20260723</v>
      </c>
      <c r="C1450" t="s">
        <v>44</v>
      </c>
      <c r="D1450" t="s">
        <v>61</v>
      </c>
      <c r="E1450" t="s">
        <v>46</v>
      </c>
      <c r="F1450">
        <v>73563</v>
      </c>
      <c r="G1450">
        <v>87596</v>
      </c>
      <c r="H1450">
        <v>7966</v>
      </c>
      <c r="I1450">
        <v>745</v>
      </c>
      <c r="J1450">
        <v>1084</v>
      </c>
      <c r="K1450">
        <v>210</v>
      </c>
      <c r="M1450">
        <v>227</v>
      </c>
      <c r="N1450" s="1">
        <v>0.59375</v>
      </c>
      <c r="O1450" t="s">
        <v>34</v>
      </c>
    </row>
    <row r="1451" spans="1:15" x14ac:dyDescent="0.3">
      <c r="A1451" t="s">
        <v>1489</v>
      </c>
      <c r="B1451">
        <v>20260426</v>
      </c>
      <c r="C1451" t="s">
        <v>40</v>
      </c>
      <c r="D1451" t="s">
        <v>33</v>
      </c>
      <c r="E1451" t="s">
        <v>46</v>
      </c>
      <c r="F1451">
        <v>30366</v>
      </c>
      <c r="G1451">
        <v>42751</v>
      </c>
      <c r="H1451">
        <v>2403</v>
      </c>
      <c r="I1451">
        <v>287</v>
      </c>
      <c r="J1451">
        <v>168</v>
      </c>
      <c r="K1451">
        <v>241</v>
      </c>
      <c r="L1451">
        <v>10710</v>
      </c>
      <c r="M1451">
        <v>334</v>
      </c>
      <c r="N1451" s="1">
        <v>0.90625</v>
      </c>
      <c r="O1451" t="s">
        <v>34</v>
      </c>
    </row>
    <row r="1452" spans="1:15" x14ac:dyDescent="0.3">
      <c r="A1452" t="s">
        <v>1490</v>
      </c>
      <c r="B1452">
        <v>20260422</v>
      </c>
      <c r="C1452" t="s">
        <v>16</v>
      </c>
      <c r="D1452" t="s">
        <v>33</v>
      </c>
      <c r="E1452" t="s">
        <v>18</v>
      </c>
      <c r="F1452">
        <v>21496</v>
      </c>
      <c r="G1452">
        <v>25965</v>
      </c>
      <c r="H1452">
        <v>1277</v>
      </c>
      <c r="I1452">
        <v>62</v>
      </c>
      <c r="J1452">
        <v>242</v>
      </c>
      <c r="K1452">
        <v>84</v>
      </c>
      <c r="L1452">
        <v>0</v>
      </c>
      <c r="M1452">
        <v>240</v>
      </c>
      <c r="N1452" s="1">
        <v>0.44791666666666669</v>
      </c>
      <c r="O1452" t="s">
        <v>42</v>
      </c>
    </row>
    <row r="1453" spans="1:15" x14ac:dyDescent="0.3">
      <c r="A1453" t="s">
        <v>1491</v>
      </c>
      <c r="B1453">
        <v>20251012</v>
      </c>
      <c r="C1453" t="s">
        <v>16</v>
      </c>
      <c r="D1453" t="s">
        <v>61</v>
      </c>
      <c r="E1453" t="s">
        <v>18</v>
      </c>
      <c r="F1453">
        <v>24955</v>
      </c>
      <c r="G1453">
        <v>34263</v>
      </c>
      <c r="H1453">
        <v>1864</v>
      </c>
      <c r="I1453">
        <v>194</v>
      </c>
      <c r="J1453">
        <v>90</v>
      </c>
      <c r="K1453">
        <v>103</v>
      </c>
      <c r="L1453">
        <v>0</v>
      </c>
      <c r="M1453">
        <v>386</v>
      </c>
      <c r="N1453" s="1">
        <v>0.9375</v>
      </c>
      <c r="O1453" t="s">
        <v>30</v>
      </c>
    </row>
    <row r="1454" spans="1:15" x14ac:dyDescent="0.3">
      <c r="A1454" t="s">
        <v>1492</v>
      </c>
      <c r="B1454">
        <v>20250416</v>
      </c>
      <c r="C1454" t="s">
        <v>16</v>
      </c>
      <c r="D1454" t="s">
        <v>33</v>
      </c>
      <c r="E1454" t="s">
        <v>26</v>
      </c>
      <c r="F1454">
        <v>14887</v>
      </c>
      <c r="G1454">
        <v>17982</v>
      </c>
      <c r="H1454">
        <v>862</v>
      </c>
      <c r="I1454">
        <v>76</v>
      </c>
      <c r="J1454">
        <v>150</v>
      </c>
      <c r="K1454">
        <v>20</v>
      </c>
      <c r="L1454">
        <v>9768</v>
      </c>
      <c r="M1454">
        <v>207</v>
      </c>
      <c r="N1454" s="1">
        <v>0.38541666666666669</v>
      </c>
      <c r="O1454" t="s">
        <v>30</v>
      </c>
    </row>
    <row r="1455" spans="1:15" x14ac:dyDescent="0.3">
      <c r="A1455" t="s">
        <v>1493</v>
      </c>
      <c r="B1455">
        <v>20250630</v>
      </c>
      <c r="C1455" t="s">
        <v>40</v>
      </c>
      <c r="D1455" t="s">
        <v>33</v>
      </c>
      <c r="E1455" t="s">
        <v>26</v>
      </c>
      <c r="F1455">
        <v>22779</v>
      </c>
      <c r="G1455">
        <v>24356</v>
      </c>
      <c r="H1455">
        <v>1534</v>
      </c>
      <c r="I1455">
        <v>100</v>
      </c>
      <c r="J1455">
        <v>305</v>
      </c>
      <c r="K1455">
        <v>188</v>
      </c>
      <c r="L1455">
        <v>17134</v>
      </c>
      <c r="M1455">
        <v>203</v>
      </c>
      <c r="N1455" s="1">
        <v>0.73958333333333337</v>
      </c>
      <c r="O1455" t="s">
        <v>19</v>
      </c>
    </row>
    <row r="1456" spans="1:15" x14ac:dyDescent="0.3">
      <c r="A1456" t="s">
        <v>1494</v>
      </c>
      <c r="B1456">
        <v>20250508</v>
      </c>
      <c r="C1456" t="s">
        <v>25</v>
      </c>
      <c r="D1456" t="s">
        <v>29</v>
      </c>
      <c r="E1456" t="s">
        <v>46</v>
      </c>
      <c r="F1456">
        <v>9830</v>
      </c>
      <c r="G1456">
        <v>15731</v>
      </c>
      <c r="H1456">
        <v>903</v>
      </c>
      <c r="I1456">
        <v>99</v>
      </c>
      <c r="J1456">
        <v>107</v>
      </c>
      <c r="K1456">
        <v>95</v>
      </c>
      <c r="L1456">
        <v>5204</v>
      </c>
      <c r="M1456">
        <v>120</v>
      </c>
      <c r="N1456" s="1">
        <v>0.5</v>
      </c>
      <c r="O1456" t="s">
        <v>30</v>
      </c>
    </row>
    <row r="1457" spans="1:15" x14ac:dyDescent="0.3">
      <c r="A1457" t="s">
        <v>1495</v>
      </c>
      <c r="B1457">
        <v>20260830</v>
      </c>
      <c r="C1457" t="s">
        <v>25</v>
      </c>
      <c r="D1457" t="s">
        <v>61</v>
      </c>
      <c r="E1457" t="s">
        <v>46</v>
      </c>
      <c r="F1457">
        <v>24892</v>
      </c>
      <c r="G1457">
        <v>26817</v>
      </c>
      <c r="H1457">
        <v>786</v>
      </c>
      <c r="I1457">
        <v>20</v>
      </c>
      <c r="J1457">
        <v>124</v>
      </c>
      <c r="K1457">
        <v>95</v>
      </c>
      <c r="L1457">
        <v>14976</v>
      </c>
      <c r="M1457">
        <v>260</v>
      </c>
      <c r="N1457" s="1">
        <v>0.48958333333333331</v>
      </c>
      <c r="O1457" t="s">
        <v>34</v>
      </c>
    </row>
    <row r="1458" spans="1:15" x14ac:dyDescent="0.3">
      <c r="A1458" t="s">
        <v>1496</v>
      </c>
      <c r="B1458">
        <v>20250205</v>
      </c>
      <c r="C1458" t="s">
        <v>25</v>
      </c>
      <c r="D1458" t="s">
        <v>29</v>
      </c>
      <c r="E1458" t="s">
        <v>22</v>
      </c>
      <c r="F1458">
        <v>12104</v>
      </c>
      <c r="G1458">
        <v>14421</v>
      </c>
      <c r="H1458">
        <v>1376</v>
      </c>
      <c r="I1458">
        <v>42</v>
      </c>
      <c r="J1458">
        <v>130</v>
      </c>
      <c r="K1458">
        <v>49</v>
      </c>
      <c r="L1458">
        <v>0</v>
      </c>
      <c r="M1458">
        <v>195</v>
      </c>
      <c r="N1458" s="1">
        <v>0.84375</v>
      </c>
      <c r="O1458" t="s">
        <v>30</v>
      </c>
    </row>
    <row r="1459" spans="1:15" x14ac:dyDescent="0.3">
      <c r="A1459" t="s">
        <v>1497</v>
      </c>
      <c r="B1459">
        <v>20250608</v>
      </c>
      <c r="C1459" t="s">
        <v>25</v>
      </c>
      <c r="D1459" t="s">
        <v>29</v>
      </c>
      <c r="E1459" t="s">
        <v>18</v>
      </c>
      <c r="F1459">
        <v>10175</v>
      </c>
      <c r="G1459">
        <v>13688</v>
      </c>
      <c r="H1459">
        <v>647</v>
      </c>
      <c r="I1459">
        <v>41</v>
      </c>
      <c r="J1459">
        <v>114</v>
      </c>
      <c r="K1459">
        <v>56</v>
      </c>
      <c r="L1459">
        <v>0</v>
      </c>
      <c r="M1459">
        <v>175</v>
      </c>
      <c r="N1459" s="1">
        <v>0.90625</v>
      </c>
      <c r="O1459" t="s">
        <v>34</v>
      </c>
    </row>
    <row r="1460" spans="1:15" x14ac:dyDescent="0.3">
      <c r="A1460" t="s">
        <v>1498</v>
      </c>
      <c r="B1460">
        <v>20260807</v>
      </c>
      <c r="C1460" t="s">
        <v>25</v>
      </c>
      <c r="D1460" t="s">
        <v>68</v>
      </c>
      <c r="E1460" t="s">
        <v>26</v>
      </c>
      <c r="F1460">
        <v>3174</v>
      </c>
      <c r="G1460">
        <v>4624</v>
      </c>
      <c r="H1460">
        <v>319</v>
      </c>
      <c r="I1460">
        <v>18</v>
      </c>
      <c r="J1460">
        <v>50</v>
      </c>
      <c r="K1460">
        <v>35</v>
      </c>
      <c r="L1460">
        <v>1605</v>
      </c>
      <c r="M1460">
        <v>13</v>
      </c>
      <c r="N1460" s="1">
        <v>0.86458333333333337</v>
      </c>
      <c r="O1460" t="s">
        <v>19</v>
      </c>
    </row>
    <row r="1461" spans="1:15" x14ac:dyDescent="0.3">
      <c r="A1461" t="s">
        <v>1499</v>
      </c>
      <c r="B1461">
        <v>20260215</v>
      </c>
      <c r="C1461" t="s">
        <v>16</v>
      </c>
      <c r="D1461" t="s">
        <v>29</v>
      </c>
      <c r="E1461" t="s">
        <v>46</v>
      </c>
      <c r="F1461">
        <v>42184</v>
      </c>
      <c r="G1461">
        <v>59210</v>
      </c>
      <c r="H1461">
        <v>3066</v>
      </c>
      <c r="I1461">
        <v>323</v>
      </c>
      <c r="J1461">
        <v>303</v>
      </c>
      <c r="K1461">
        <v>451</v>
      </c>
      <c r="L1461">
        <v>37147</v>
      </c>
      <c r="M1461">
        <v>396</v>
      </c>
      <c r="N1461" s="1">
        <v>0.3125</v>
      </c>
      <c r="O1461" t="s">
        <v>30</v>
      </c>
    </row>
    <row r="1462" spans="1:15" x14ac:dyDescent="0.3">
      <c r="A1462" t="s">
        <v>1500</v>
      </c>
      <c r="B1462">
        <v>20260608</v>
      </c>
      <c r="C1462" t="s">
        <v>16</v>
      </c>
      <c r="D1462" t="s">
        <v>17</v>
      </c>
      <c r="E1462" t="s">
        <v>51</v>
      </c>
      <c r="F1462">
        <v>38514</v>
      </c>
      <c r="G1462">
        <v>47117</v>
      </c>
      <c r="H1462">
        <v>1015</v>
      </c>
      <c r="I1462">
        <v>126</v>
      </c>
      <c r="K1462">
        <v>94</v>
      </c>
      <c r="L1462">
        <v>0</v>
      </c>
      <c r="M1462">
        <v>349</v>
      </c>
      <c r="N1462" s="1">
        <v>0.46875</v>
      </c>
      <c r="O1462" t="s">
        <v>49</v>
      </c>
    </row>
    <row r="1463" spans="1:15" x14ac:dyDescent="0.3">
      <c r="A1463" t="s">
        <v>1501</v>
      </c>
      <c r="B1463">
        <v>20260815</v>
      </c>
      <c r="C1463" t="s">
        <v>16</v>
      </c>
      <c r="D1463" t="s">
        <v>21</v>
      </c>
      <c r="E1463" t="s">
        <v>41</v>
      </c>
      <c r="F1463">
        <v>49819</v>
      </c>
      <c r="G1463">
        <v>53514</v>
      </c>
      <c r="H1463">
        <v>5000</v>
      </c>
      <c r="I1463">
        <v>401</v>
      </c>
      <c r="J1463">
        <v>312</v>
      </c>
      <c r="K1463">
        <v>467</v>
      </c>
      <c r="L1463">
        <v>29719</v>
      </c>
      <c r="M1463">
        <v>135</v>
      </c>
      <c r="N1463" s="1">
        <v>0.66666666666666663</v>
      </c>
      <c r="O1463" t="s">
        <v>38</v>
      </c>
    </row>
    <row r="1464" spans="1:15" x14ac:dyDescent="0.3">
      <c r="A1464" t="s">
        <v>1502</v>
      </c>
      <c r="B1464">
        <v>20250528</v>
      </c>
      <c r="C1464" t="s">
        <v>40</v>
      </c>
      <c r="D1464" t="s">
        <v>61</v>
      </c>
      <c r="E1464" t="s">
        <v>22</v>
      </c>
      <c r="F1464">
        <v>8173</v>
      </c>
      <c r="G1464">
        <v>8871</v>
      </c>
      <c r="H1464">
        <v>836</v>
      </c>
      <c r="I1464">
        <v>97</v>
      </c>
      <c r="J1464">
        <v>80</v>
      </c>
      <c r="K1464">
        <v>71</v>
      </c>
      <c r="L1464">
        <v>0</v>
      </c>
      <c r="M1464">
        <v>51</v>
      </c>
      <c r="N1464" s="1">
        <v>0.48958333333333331</v>
      </c>
      <c r="O1464" t="s">
        <v>19</v>
      </c>
    </row>
    <row r="1465" spans="1:15" x14ac:dyDescent="0.3">
      <c r="A1465" t="s">
        <v>1503</v>
      </c>
      <c r="B1465">
        <v>20250525</v>
      </c>
      <c r="C1465" t="s">
        <v>16</v>
      </c>
      <c r="D1465" t="s">
        <v>17</v>
      </c>
      <c r="E1465" t="s">
        <v>26</v>
      </c>
      <c r="F1465">
        <v>20739</v>
      </c>
      <c r="G1465">
        <v>33882</v>
      </c>
      <c r="H1465">
        <v>829</v>
      </c>
      <c r="I1465">
        <v>51</v>
      </c>
      <c r="J1465">
        <v>41</v>
      </c>
      <c r="K1465">
        <v>81</v>
      </c>
      <c r="L1465">
        <v>17393</v>
      </c>
      <c r="M1465">
        <v>53</v>
      </c>
      <c r="N1465" s="1">
        <v>0.625</v>
      </c>
      <c r="O1465" t="s">
        <v>34</v>
      </c>
    </row>
    <row r="1466" spans="1:15" x14ac:dyDescent="0.3">
      <c r="A1466" t="s">
        <v>1504</v>
      </c>
      <c r="B1466">
        <v>20250515</v>
      </c>
      <c r="C1466" t="s">
        <v>32</v>
      </c>
      <c r="D1466" t="s">
        <v>33</v>
      </c>
      <c r="E1466" t="s">
        <v>46</v>
      </c>
      <c r="F1466">
        <v>9851</v>
      </c>
      <c r="G1466">
        <v>11932</v>
      </c>
      <c r="H1466">
        <v>597</v>
      </c>
      <c r="I1466">
        <v>14</v>
      </c>
      <c r="J1466">
        <v>54</v>
      </c>
      <c r="K1466">
        <v>64</v>
      </c>
      <c r="L1466">
        <v>8248</v>
      </c>
      <c r="M1466">
        <v>57</v>
      </c>
      <c r="N1466" s="1">
        <v>0.41666666666666669</v>
      </c>
      <c r="O1466" t="s">
        <v>19</v>
      </c>
    </row>
    <row r="1467" spans="1:15" x14ac:dyDescent="0.3">
      <c r="A1467" t="s">
        <v>1505</v>
      </c>
      <c r="B1467">
        <v>20260602</v>
      </c>
      <c r="C1467" t="s">
        <v>25</v>
      </c>
      <c r="D1467" t="s">
        <v>17</v>
      </c>
      <c r="E1467" t="s">
        <v>18</v>
      </c>
      <c r="F1467">
        <v>4504</v>
      </c>
      <c r="G1467">
        <v>6269</v>
      </c>
      <c r="H1467">
        <v>456</v>
      </c>
      <c r="I1467">
        <v>20</v>
      </c>
      <c r="J1467">
        <v>74</v>
      </c>
      <c r="K1467">
        <v>54</v>
      </c>
      <c r="L1467">
        <v>0</v>
      </c>
      <c r="M1467">
        <v>13</v>
      </c>
      <c r="N1467" s="1">
        <v>0.83333333333333337</v>
      </c>
      <c r="O1467" t="s">
        <v>19</v>
      </c>
    </row>
    <row r="1468" spans="1:15" x14ac:dyDescent="0.3">
      <c r="A1468" t="s">
        <v>1506</v>
      </c>
      <c r="B1468">
        <v>20260505</v>
      </c>
      <c r="C1468" t="s">
        <v>25</v>
      </c>
      <c r="D1468" t="s">
        <v>29</v>
      </c>
      <c r="E1468" t="s">
        <v>18</v>
      </c>
      <c r="F1468">
        <v>14570</v>
      </c>
      <c r="G1468">
        <v>23161</v>
      </c>
      <c r="H1468">
        <v>768</v>
      </c>
      <c r="I1468">
        <v>60</v>
      </c>
      <c r="J1468">
        <v>146</v>
      </c>
      <c r="K1468">
        <v>110</v>
      </c>
      <c r="L1468">
        <v>0</v>
      </c>
      <c r="M1468">
        <v>191</v>
      </c>
      <c r="N1468" s="1">
        <v>0.30208333333333331</v>
      </c>
      <c r="O1468" t="s">
        <v>27</v>
      </c>
    </row>
    <row r="1469" spans="1:15" x14ac:dyDescent="0.3">
      <c r="A1469" t="s">
        <v>1507</v>
      </c>
      <c r="B1469">
        <v>20250813</v>
      </c>
      <c r="C1469" t="s">
        <v>44</v>
      </c>
      <c r="D1469" t="s">
        <v>36</v>
      </c>
      <c r="E1469" t="s">
        <v>26</v>
      </c>
      <c r="F1469">
        <v>97798</v>
      </c>
      <c r="G1469">
        <v>160147</v>
      </c>
      <c r="H1469">
        <v>3459</v>
      </c>
      <c r="I1469">
        <v>326</v>
      </c>
      <c r="J1469">
        <v>591</v>
      </c>
      <c r="K1469">
        <v>303</v>
      </c>
      <c r="L1469">
        <v>48633</v>
      </c>
      <c r="M1469">
        <v>485</v>
      </c>
      <c r="N1469" s="1">
        <v>0.67708333333333337</v>
      </c>
      <c r="O1469" t="s">
        <v>23</v>
      </c>
    </row>
    <row r="1470" spans="1:15" x14ac:dyDescent="0.3">
      <c r="A1470" t="s">
        <v>1508</v>
      </c>
      <c r="B1470">
        <v>20250308</v>
      </c>
      <c r="C1470" t="s">
        <v>44</v>
      </c>
      <c r="D1470" t="s">
        <v>68</v>
      </c>
      <c r="E1470" t="s">
        <v>46</v>
      </c>
      <c r="F1470">
        <v>60969</v>
      </c>
      <c r="G1470">
        <v>78842</v>
      </c>
      <c r="H1470">
        <v>4442</v>
      </c>
      <c r="I1470">
        <v>554</v>
      </c>
      <c r="J1470">
        <v>278</v>
      </c>
      <c r="K1470">
        <v>630</v>
      </c>
      <c r="L1470">
        <v>40386</v>
      </c>
      <c r="M1470">
        <v>79</v>
      </c>
      <c r="N1470" s="1">
        <v>0.86458333333333337</v>
      </c>
      <c r="O1470" t="s">
        <v>49</v>
      </c>
    </row>
    <row r="1471" spans="1:15" x14ac:dyDescent="0.3">
      <c r="A1471" t="s">
        <v>1509</v>
      </c>
      <c r="B1471">
        <v>20250920</v>
      </c>
      <c r="C1471" t="s">
        <v>16</v>
      </c>
      <c r="D1471" t="s">
        <v>21</v>
      </c>
      <c r="E1471" t="s">
        <v>46</v>
      </c>
      <c r="F1471">
        <v>74300</v>
      </c>
      <c r="G1471">
        <v>83032</v>
      </c>
      <c r="H1471">
        <v>3489</v>
      </c>
      <c r="I1471">
        <v>159</v>
      </c>
      <c r="J1471">
        <v>260</v>
      </c>
      <c r="K1471">
        <v>132</v>
      </c>
      <c r="L1471">
        <v>54027</v>
      </c>
      <c r="M1471">
        <v>1061</v>
      </c>
      <c r="N1471" s="1">
        <v>0.84375</v>
      </c>
      <c r="O1471" t="s">
        <v>27</v>
      </c>
    </row>
    <row r="1472" spans="1:15" x14ac:dyDescent="0.3">
      <c r="A1472" t="s">
        <v>1510</v>
      </c>
      <c r="B1472">
        <v>20260811</v>
      </c>
      <c r="C1472" t="s">
        <v>44</v>
      </c>
      <c r="D1472" t="s">
        <v>21</v>
      </c>
      <c r="E1472" t="s">
        <v>18</v>
      </c>
      <c r="F1472">
        <v>24933</v>
      </c>
      <c r="G1472">
        <v>34885</v>
      </c>
      <c r="H1472">
        <v>1586</v>
      </c>
      <c r="I1472">
        <v>212</v>
      </c>
      <c r="J1472">
        <v>78</v>
      </c>
      <c r="K1472">
        <v>116</v>
      </c>
      <c r="L1472">
        <v>0</v>
      </c>
      <c r="M1472">
        <v>333</v>
      </c>
      <c r="N1472" s="1">
        <v>0.9375</v>
      </c>
      <c r="O1472" t="s">
        <v>30</v>
      </c>
    </row>
    <row r="1473" spans="1:15" x14ac:dyDescent="0.3">
      <c r="A1473" t="s">
        <v>1511</v>
      </c>
      <c r="B1473">
        <v>20251230</v>
      </c>
      <c r="C1473" t="s">
        <v>16</v>
      </c>
      <c r="D1473" t="s">
        <v>33</v>
      </c>
      <c r="E1473" t="s">
        <v>26</v>
      </c>
      <c r="F1473">
        <v>17606</v>
      </c>
      <c r="G1473">
        <v>24199</v>
      </c>
      <c r="H1473">
        <v>1442</v>
      </c>
      <c r="J1473">
        <v>209</v>
      </c>
      <c r="K1473">
        <v>67</v>
      </c>
      <c r="L1473">
        <v>8802</v>
      </c>
      <c r="M1473">
        <v>112</v>
      </c>
      <c r="N1473" s="1">
        <v>0.54166666666666663</v>
      </c>
      <c r="O1473" t="s">
        <v>47</v>
      </c>
    </row>
    <row r="1474" spans="1:15" x14ac:dyDescent="0.3">
      <c r="A1474" t="s">
        <v>1512</v>
      </c>
      <c r="B1474">
        <v>20260609</v>
      </c>
      <c r="C1474" t="s">
        <v>44</v>
      </c>
      <c r="D1474" t="s">
        <v>61</v>
      </c>
      <c r="E1474" t="s">
        <v>41</v>
      </c>
      <c r="F1474">
        <v>48955</v>
      </c>
      <c r="G1474">
        <v>77420</v>
      </c>
      <c r="H1474">
        <v>5460</v>
      </c>
      <c r="I1474">
        <v>284</v>
      </c>
      <c r="J1474">
        <v>210</v>
      </c>
      <c r="K1474">
        <v>163</v>
      </c>
      <c r="L1474">
        <v>40302</v>
      </c>
      <c r="M1474">
        <v>864</v>
      </c>
      <c r="N1474" s="1">
        <v>0.59375</v>
      </c>
      <c r="O1474" t="s">
        <v>53</v>
      </c>
    </row>
    <row r="1475" spans="1:15" x14ac:dyDescent="0.3">
      <c r="A1475" t="s">
        <v>1513</v>
      </c>
      <c r="B1475">
        <v>20260116</v>
      </c>
      <c r="C1475" t="s">
        <v>40</v>
      </c>
      <c r="D1475" t="s">
        <v>36</v>
      </c>
      <c r="E1475" t="s">
        <v>18</v>
      </c>
      <c r="F1475">
        <v>20078</v>
      </c>
      <c r="G1475">
        <v>27076</v>
      </c>
      <c r="H1475">
        <v>1886</v>
      </c>
      <c r="I1475">
        <v>243</v>
      </c>
      <c r="J1475">
        <v>146</v>
      </c>
      <c r="K1475">
        <v>125</v>
      </c>
      <c r="L1475">
        <v>0</v>
      </c>
      <c r="M1475">
        <v>258</v>
      </c>
      <c r="N1475" s="1">
        <v>0.5625</v>
      </c>
      <c r="O1475" t="s">
        <v>27</v>
      </c>
    </row>
    <row r="1476" spans="1:15" x14ac:dyDescent="0.3">
      <c r="A1476" t="s">
        <v>1514</v>
      </c>
      <c r="B1476">
        <v>20250322</v>
      </c>
      <c r="C1476" t="s">
        <v>40</v>
      </c>
      <c r="D1476" t="s">
        <v>17</v>
      </c>
      <c r="E1476" t="s">
        <v>18</v>
      </c>
      <c r="F1476">
        <v>10319</v>
      </c>
      <c r="G1476">
        <v>13311</v>
      </c>
      <c r="H1476">
        <v>1163</v>
      </c>
      <c r="I1476">
        <v>97</v>
      </c>
      <c r="J1476">
        <v>148</v>
      </c>
      <c r="K1476">
        <v>100</v>
      </c>
      <c r="L1476">
        <v>0</v>
      </c>
      <c r="M1476">
        <v>19</v>
      </c>
      <c r="N1476" s="1">
        <v>0.52083333333333337</v>
      </c>
      <c r="O1476" t="s">
        <v>19</v>
      </c>
    </row>
    <row r="1477" spans="1:15" x14ac:dyDescent="0.3">
      <c r="A1477" t="s">
        <v>1515</v>
      </c>
      <c r="B1477">
        <v>20250827</v>
      </c>
      <c r="C1477" t="s">
        <v>16</v>
      </c>
      <c r="D1477" t="s">
        <v>61</v>
      </c>
      <c r="E1477" t="s">
        <v>41</v>
      </c>
      <c r="F1477">
        <v>32927</v>
      </c>
      <c r="G1477">
        <v>38622</v>
      </c>
      <c r="H1477">
        <v>2900</v>
      </c>
      <c r="I1477">
        <v>308</v>
      </c>
      <c r="J1477">
        <v>223</v>
      </c>
      <c r="K1477">
        <v>407</v>
      </c>
      <c r="L1477">
        <v>17288</v>
      </c>
      <c r="M1477">
        <v>183</v>
      </c>
      <c r="N1477" s="1">
        <v>0.84375</v>
      </c>
      <c r="O1477" t="s">
        <v>30</v>
      </c>
    </row>
    <row r="1478" spans="1:15" x14ac:dyDescent="0.3">
      <c r="A1478" t="s">
        <v>1516</v>
      </c>
      <c r="B1478">
        <v>20260704</v>
      </c>
      <c r="C1478" t="s">
        <v>44</v>
      </c>
      <c r="D1478" t="s">
        <v>29</v>
      </c>
      <c r="E1478" t="s">
        <v>41</v>
      </c>
      <c r="F1478">
        <v>78776</v>
      </c>
      <c r="G1478">
        <v>93576</v>
      </c>
      <c r="H1478">
        <v>5987</v>
      </c>
      <c r="I1478">
        <v>750</v>
      </c>
      <c r="J1478">
        <v>307</v>
      </c>
      <c r="K1478">
        <v>638</v>
      </c>
      <c r="L1478">
        <v>48659</v>
      </c>
      <c r="M1478">
        <v>815</v>
      </c>
      <c r="N1478" s="1">
        <v>0.72916666666666663</v>
      </c>
      <c r="O1478" t="s">
        <v>30</v>
      </c>
    </row>
    <row r="1479" spans="1:15" x14ac:dyDescent="0.3">
      <c r="A1479" t="s">
        <v>1517</v>
      </c>
      <c r="B1479">
        <v>20251030</v>
      </c>
      <c r="C1479" t="s">
        <v>25</v>
      </c>
      <c r="D1479" t="s">
        <v>17</v>
      </c>
      <c r="E1479" t="s">
        <v>51</v>
      </c>
      <c r="F1479">
        <v>24002</v>
      </c>
      <c r="G1479">
        <v>37153</v>
      </c>
      <c r="H1479">
        <v>896</v>
      </c>
      <c r="I1479">
        <v>107</v>
      </c>
      <c r="J1479">
        <v>107</v>
      </c>
      <c r="K1479">
        <v>57</v>
      </c>
      <c r="L1479">
        <v>0</v>
      </c>
      <c r="M1479">
        <v>224</v>
      </c>
      <c r="N1479" s="1">
        <v>0.84375</v>
      </c>
      <c r="O1479" t="s">
        <v>42</v>
      </c>
    </row>
    <row r="1480" spans="1:15" x14ac:dyDescent="0.3">
      <c r="A1480" t="s">
        <v>1518</v>
      </c>
      <c r="B1480">
        <v>20250225</v>
      </c>
      <c r="C1480" t="s">
        <v>32</v>
      </c>
      <c r="D1480" t="s">
        <v>17</v>
      </c>
      <c r="E1480" t="s">
        <v>46</v>
      </c>
      <c r="F1480">
        <v>5094</v>
      </c>
      <c r="G1480">
        <v>6151</v>
      </c>
      <c r="H1480">
        <v>607</v>
      </c>
      <c r="I1480">
        <v>35</v>
      </c>
      <c r="J1480">
        <v>62</v>
      </c>
      <c r="K1480">
        <v>96</v>
      </c>
      <c r="L1480">
        <v>4009</v>
      </c>
      <c r="M1480">
        <v>55</v>
      </c>
      <c r="N1480" s="1">
        <v>0.60416666666666663</v>
      </c>
      <c r="O1480" t="s">
        <v>47</v>
      </c>
    </row>
    <row r="1481" spans="1:15" x14ac:dyDescent="0.3">
      <c r="A1481" t="s">
        <v>1519</v>
      </c>
      <c r="B1481">
        <v>20250318</v>
      </c>
      <c r="C1481" t="s">
        <v>44</v>
      </c>
      <c r="D1481" t="s">
        <v>21</v>
      </c>
      <c r="E1481" t="s">
        <v>26</v>
      </c>
      <c r="F1481">
        <v>23593</v>
      </c>
      <c r="G1481">
        <v>29663</v>
      </c>
      <c r="H1481">
        <v>1111</v>
      </c>
      <c r="I1481">
        <v>127</v>
      </c>
      <c r="J1481">
        <v>88</v>
      </c>
      <c r="K1481">
        <v>174</v>
      </c>
      <c r="L1481">
        <v>20829</v>
      </c>
      <c r="M1481">
        <v>274</v>
      </c>
      <c r="N1481" s="1">
        <v>0.36458333333333331</v>
      </c>
      <c r="O1481" t="s">
        <v>42</v>
      </c>
    </row>
    <row r="1482" spans="1:15" x14ac:dyDescent="0.3">
      <c r="A1482" t="s">
        <v>1520</v>
      </c>
      <c r="B1482">
        <v>20250408</v>
      </c>
      <c r="C1482" t="s">
        <v>16</v>
      </c>
      <c r="D1482" t="s">
        <v>33</v>
      </c>
      <c r="E1482" t="s">
        <v>22</v>
      </c>
      <c r="F1482">
        <v>13689</v>
      </c>
      <c r="G1482">
        <v>19716</v>
      </c>
      <c r="H1482">
        <v>1538</v>
      </c>
      <c r="I1482">
        <v>118</v>
      </c>
      <c r="J1482">
        <v>156</v>
      </c>
      <c r="K1482">
        <v>51</v>
      </c>
      <c r="L1482">
        <v>0</v>
      </c>
      <c r="M1482">
        <v>54</v>
      </c>
      <c r="N1482" s="1">
        <v>0.32291666666666669</v>
      </c>
      <c r="O1482" t="s">
        <v>53</v>
      </c>
    </row>
    <row r="1483" spans="1:15" x14ac:dyDescent="0.3">
      <c r="A1483" t="s">
        <v>1521</v>
      </c>
      <c r="B1483">
        <v>20250610</v>
      </c>
      <c r="C1483" t="s">
        <v>40</v>
      </c>
      <c r="D1483" t="s">
        <v>36</v>
      </c>
      <c r="E1483" t="s">
        <v>18</v>
      </c>
      <c r="F1483">
        <v>6601</v>
      </c>
      <c r="G1483">
        <v>10413</v>
      </c>
      <c r="H1483">
        <v>225</v>
      </c>
      <c r="I1483">
        <v>18</v>
      </c>
      <c r="J1483">
        <v>35</v>
      </c>
      <c r="K1483">
        <v>13</v>
      </c>
      <c r="L1483">
        <v>0</v>
      </c>
      <c r="M1483">
        <v>71</v>
      </c>
      <c r="N1483" s="1">
        <v>0.3125</v>
      </c>
      <c r="O1483" t="s">
        <v>49</v>
      </c>
    </row>
    <row r="1484" spans="1:15" x14ac:dyDescent="0.3">
      <c r="A1484" t="s">
        <v>1522</v>
      </c>
      <c r="B1484">
        <v>20260418</v>
      </c>
      <c r="C1484" t="s">
        <v>16</v>
      </c>
      <c r="D1484" t="s">
        <v>68</v>
      </c>
      <c r="E1484" t="s">
        <v>18</v>
      </c>
      <c r="F1484">
        <v>10744</v>
      </c>
      <c r="G1484">
        <v>15003</v>
      </c>
      <c r="H1484">
        <v>422</v>
      </c>
      <c r="I1484">
        <v>37</v>
      </c>
      <c r="J1484">
        <v>28</v>
      </c>
      <c r="K1484">
        <v>21</v>
      </c>
      <c r="L1484">
        <v>0</v>
      </c>
      <c r="M1484">
        <v>89</v>
      </c>
      <c r="N1484" s="1">
        <v>0.375</v>
      </c>
      <c r="O1484" t="s">
        <v>23</v>
      </c>
    </row>
    <row r="1485" spans="1:15" x14ac:dyDescent="0.3">
      <c r="A1485" t="s">
        <v>1523</v>
      </c>
      <c r="B1485">
        <v>20250121</v>
      </c>
      <c r="C1485" t="s">
        <v>16</v>
      </c>
      <c r="D1485" t="s">
        <v>17</v>
      </c>
      <c r="E1485" t="s">
        <v>22</v>
      </c>
      <c r="F1485">
        <v>17524</v>
      </c>
      <c r="G1485">
        <v>23431</v>
      </c>
      <c r="H1485">
        <v>796</v>
      </c>
      <c r="I1485">
        <v>100</v>
      </c>
      <c r="J1485">
        <v>145</v>
      </c>
      <c r="K1485">
        <v>32</v>
      </c>
      <c r="L1485">
        <v>0</v>
      </c>
      <c r="M1485">
        <v>250</v>
      </c>
      <c r="N1485" s="1">
        <v>0.5</v>
      </c>
      <c r="O1485" t="s">
        <v>19</v>
      </c>
    </row>
    <row r="1486" spans="1:15" x14ac:dyDescent="0.3">
      <c r="A1486" t="s">
        <v>1524</v>
      </c>
      <c r="B1486">
        <v>20260518</v>
      </c>
      <c r="C1486" t="s">
        <v>44</v>
      </c>
      <c r="D1486" t="s">
        <v>21</v>
      </c>
      <c r="E1486" t="s">
        <v>18</v>
      </c>
      <c r="F1486">
        <v>64649</v>
      </c>
      <c r="G1486">
        <v>103494</v>
      </c>
      <c r="H1486">
        <v>2019</v>
      </c>
      <c r="I1486">
        <v>159</v>
      </c>
      <c r="J1486">
        <v>315</v>
      </c>
      <c r="K1486">
        <v>223</v>
      </c>
      <c r="L1486">
        <v>0</v>
      </c>
      <c r="M1486">
        <v>1024</v>
      </c>
      <c r="N1486" s="1">
        <v>0.71875</v>
      </c>
      <c r="O1486" t="s">
        <v>30</v>
      </c>
    </row>
    <row r="1487" spans="1:15" x14ac:dyDescent="0.3">
      <c r="A1487" t="s">
        <v>1050</v>
      </c>
      <c r="B1487">
        <v>20251020</v>
      </c>
      <c r="C1487" t="s">
        <v>25</v>
      </c>
      <c r="D1487" t="s">
        <v>17</v>
      </c>
      <c r="E1487" t="s">
        <v>41</v>
      </c>
      <c r="F1487">
        <v>28228</v>
      </c>
      <c r="G1487">
        <v>45252</v>
      </c>
      <c r="H1487">
        <v>1480</v>
      </c>
      <c r="I1487">
        <v>77</v>
      </c>
      <c r="J1487">
        <v>116</v>
      </c>
      <c r="K1487">
        <v>95</v>
      </c>
      <c r="L1487">
        <v>14943</v>
      </c>
      <c r="M1487">
        <v>386</v>
      </c>
      <c r="N1487" s="1">
        <v>0.54166666666666663</v>
      </c>
      <c r="O1487" t="s">
        <v>30</v>
      </c>
    </row>
    <row r="1488" spans="1:15" x14ac:dyDescent="0.3">
      <c r="A1488" t="s">
        <v>1525</v>
      </c>
      <c r="B1488">
        <v>20250525</v>
      </c>
      <c r="C1488" t="s">
        <v>16</v>
      </c>
      <c r="D1488" t="s">
        <v>21</v>
      </c>
      <c r="E1488" t="s">
        <v>22</v>
      </c>
      <c r="F1488">
        <v>12383</v>
      </c>
      <c r="G1488">
        <v>19078</v>
      </c>
      <c r="H1488">
        <v>1438</v>
      </c>
      <c r="I1488">
        <v>149</v>
      </c>
      <c r="J1488">
        <v>239</v>
      </c>
      <c r="K1488">
        <v>102</v>
      </c>
      <c r="L1488">
        <v>0</v>
      </c>
      <c r="M1488">
        <v>219</v>
      </c>
      <c r="N1488" s="1">
        <v>0.53125</v>
      </c>
      <c r="O1488" t="s">
        <v>19</v>
      </c>
    </row>
    <row r="1489" spans="1:15" x14ac:dyDescent="0.3">
      <c r="A1489" t="s">
        <v>1526</v>
      </c>
      <c r="B1489">
        <v>20250511</v>
      </c>
      <c r="C1489" t="s">
        <v>32</v>
      </c>
      <c r="D1489" t="s">
        <v>29</v>
      </c>
      <c r="E1489" t="s">
        <v>51</v>
      </c>
      <c r="F1489">
        <v>9428</v>
      </c>
      <c r="G1489">
        <v>11548</v>
      </c>
      <c r="H1489">
        <v>947</v>
      </c>
      <c r="I1489">
        <v>98</v>
      </c>
      <c r="J1489">
        <v>101</v>
      </c>
      <c r="K1489">
        <v>52</v>
      </c>
      <c r="L1489">
        <v>0</v>
      </c>
      <c r="M1489">
        <v>156</v>
      </c>
      <c r="N1489" s="1">
        <v>0.41666666666666669</v>
      </c>
      <c r="O1489" t="s">
        <v>38</v>
      </c>
    </row>
    <row r="1490" spans="1:15" x14ac:dyDescent="0.3">
      <c r="A1490" t="s">
        <v>1527</v>
      </c>
      <c r="B1490">
        <v>20250908</v>
      </c>
      <c r="C1490" t="s">
        <v>25</v>
      </c>
      <c r="D1490" t="s">
        <v>36</v>
      </c>
      <c r="E1490" t="s">
        <v>41</v>
      </c>
      <c r="F1490">
        <v>16749</v>
      </c>
      <c r="G1490">
        <v>25354</v>
      </c>
      <c r="H1490">
        <v>1748</v>
      </c>
      <c r="I1490">
        <v>231</v>
      </c>
      <c r="J1490">
        <v>105</v>
      </c>
      <c r="K1490">
        <v>277</v>
      </c>
      <c r="L1490">
        <v>12074</v>
      </c>
      <c r="M1490">
        <v>159</v>
      </c>
      <c r="N1490" s="1">
        <v>0.54166666666666663</v>
      </c>
      <c r="O1490" t="s">
        <v>38</v>
      </c>
    </row>
    <row r="1491" spans="1:15" x14ac:dyDescent="0.3">
      <c r="A1491" t="s">
        <v>1528</v>
      </c>
      <c r="B1491">
        <v>20260520</v>
      </c>
      <c r="C1491" t="s">
        <v>32</v>
      </c>
      <c r="D1491" t="s">
        <v>68</v>
      </c>
      <c r="E1491" t="s">
        <v>51</v>
      </c>
      <c r="F1491">
        <v>7886</v>
      </c>
      <c r="G1491">
        <v>12519</v>
      </c>
      <c r="H1491">
        <v>815</v>
      </c>
      <c r="I1491">
        <v>27</v>
      </c>
      <c r="J1491">
        <v>81</v>
      </c>
      <c r="K1491">
        <v>117</v>
      </c>
      <c r="L1491">
        <v>0</v>
      </c>
      <c r="M1491">
        <v>38</v>
      </c>
      <c r="N1491" s="1">
        <v>0.54166666666666663</v>
      </c>
      <c r="O1491" t="s">
        <v>49</v>
      </c>
    </row>
    <row r="1492" spans="1:15" x14ac:dyDescent="0.3">
      <c r="A1492" t="s">
        <v>1529</v>
      </c>
      <c r="B1492">
        <v>20250101</v>
      </c>
      <c r="C1492" t="s">
        <v>16</v>
      </c>
      <c r="D1492" t="s">
        <v>61</v>
      </c>
      <c r="E1492" t="s">
        <v>26</v>
      </c>
      <c r="F1492">
        <v>11580</v>
      </c>
      <c r="G1492">
        <v>15484</v>
      </c>
      <c r="H1492">
        <v>815</v>
      </c>
      <c r="I1492">
        <v>90</v>
      </c>
      <c r="J1492">
        <v>65</v>
      </c>
      <c r="K1492">
        <v>18</v>
      </c>
      <c r="L1492">
        <v>7607</v>
      </c>
      <c r="M1492">
        <v>99</v>
      </c>
      <c r="N1492" s="1">
        <v>0.52083333333333337</v>
      </c>
      <c r="O1492" t="s">
        <v>53</v>
      </c>
    </row>
    <row r="1493" spans="1:15" x14ac:dyDescent="0.3">
      <c r="A1493" t="s">
        <v>1530</v>
      </c>
      <c r="B1493">
        <v>20250804</v>
      </c>
      <c r="C1493" t="s">
        <v>25</v>
      </c>
      <c r="D1493" t="s">
        <v>21</v>
      </c>
      <c r="E1493" t="s">
        <v>22</v>
      </c>
      <c r="F1493">
        <v>2662</v>
      </c>
      <c r="G1493">
        <v>3818</v>
      </c>
      <c r="H1493">
        <v>270</v>
      </c>
      <c r="I1493">
        <v>19</v>
      </c>
      <c r="J1493">
        <v>40</v>
      </c>
      <c r="K1493">
        <v>25</v>
      </c>
      <c r="L1493">
        <v>0</v>
      </c>
      <c r="M1493">
        <v>45</v>
      </c>
      <c r="N1493" s="1">
        <v>0.71875</v>
      </c>
      <c r="O1493" t="s">
        <v>38</v>
      </c>
    </row>
    <row r="1494" spans="1:15" x14ac:dyDescent="0.3">
      <c r="A1494" t="s">
        <v>1531</v>
      </c>
      <c r="B1494">
        <v>20251216</v>
      </c>
      <c r="C1494" t="s">
        <v>32</v>
      </c>
      <c r="D1494" t="s">
        <v>33</v>
      </c>
      <c r="E1494" t="s">
        <v>51</v>
      </c>
      <c r="F1494">
        <v>6289</v>
      </c>
      <c r="G1494">
        <v>8452</v>
      </c>
      <c r="H1494">
        <v>604</v>
      </c>
      <c r="I1494">
        <v>17</v>
      </c>
      <c r="J1494">
        <v>37</v>
      </c>
      <c r="K1494">
        <v>60</v>
      </c>
      <c r="L1494">
        <v>0</v>
      </c>
      <c r="M1494">
        <v>52</v>
      </c>
      <c r="N1494" s="1">
        <v>0.80208333333333337</v>
      </c>
      <c r="O1494" t="s">
        <v>19</v>
      </c>
    </row>
    <row r="1495" spans="1:15" x14ac:dyDescent="0.3">
      <c r="A1495" t="s">
        <v>1532</v>
      </c>
      <c r="B1495">
        <v>20250416</v>
      </c>
      <c r="C1495" t="s">
        <v>25</v>
      </c>
      <c r="D1495" t="s">
        <v>33</v>
      </c>
      <c r="E1495" t="s">
        <v>41</v>
      </c>
      <c r="F1495">
        <v>15144</v>
      </c>
      <c r="G1495">
        <v>19937</v>
      </c>
      <c r="H1495">
        <v>1393</v>
      </c>
      <c r="I1495">
        <v>48</v>
      </c>
      <c r="J1495">
        <v>144</v>
      </c>
      <c r="K1495">
        <v>162</v>
      </c>
      <c r="L1495">
        <v>8958</v>
      </c>
      <c r="M1495">
        <v>129</v>
      </c>
      <c r="N1495" s="1">
        <v>0.54166666666666663</v>
      </c>
      <c r="O1495" t="s">
        <v>27</v>
      </c>
    </row>
    <row r="1496" spans="1:15" x14ac:dyDescent="0.3">
      <c r="A1496" t="s">
        <v>1533</v>
      </c>
      <c r="B1496">
        <v>20250514</v>
      </c>
      <c r="C1496" t="s">
        <v>32</v>
      </c>
      <c r="D1496" t="s">
        <v>21</v>
      </c>
      <c r="E1496" t="s">
        <v>46</v>
      </c>
      <c r="F1496">
        <v>17554</v>
      </c>
      <c r="G1496">
        <v>24089</v>
      </c>
      <c r="H1496">
        <v>1228</v>
      </c>
      <c r="I1496">
        <v>82</v>
      </c>
      <c r="J1496">
        <v>68</v>
      </c>
      <c r="K1496">
        <v>70</v>
      </c>
      <c r="L1496">
        <v>14273</v>
      </c>
      <c r="M1496">
        <v>268</v>
      </c>
      <c r="N1496" s="1">
        <v>0.51041666666666663</v>
      </c>
      <c r="O1496" t="s">
        <v>27</v>
      </c>
    </row>
    <row r="1497" spans="1:15" x14ac:dyDescent="0.3">
      <c r="A1497" t="s">
        <v>1534</v>
      </c>
      <c r="B1497">
        <v>20251231</v>
      </c>
      <c r="C1497" t="s">
        <v>40</v>
      </c>
      <c r="D1497" t="s">
        <v>61</v>
      </c>
      <c r="E1497" t="s">
        <v>22</v>
      </c>
      <c r="F1497">
        <v>19325</v>
      </c>
      <c r="G1497">
        <v>30651</v>
      </c>
      <c r="H1497">
        <v>1080</v>
      </c>
      <c r="I1497">
        <v>59</v>
      </c>
      <c r="J1497">
        <v>124</v>
      </c>
      <c r="K1497">
        <v>23</v>
      </c>
      <c r="L1497">
        <v>0</v>
      </c>
      <c r="M1497">
        <v>314</v>
      </c>
      <c r="N1497" s="1">
        <v>0.38541666666666669</v>
      </c>
      <c r="O1497" t="s">
        <v>38</v>
      </c>
    </row>
    <row r="1498" spans="1:15" x14ac:dyDescent="0.3">
      <c r="A1498" t="s">
        <v>1535</v>
      </c>
      <c r="B1498">
        <v>20251114</v>
      </c>
      <c r="C1498" t="s">
        <v>16</v>
      </c>
      <c r="D1498" t="s">
        <v>36</v>
      </c>
      <c r="E1498" t="s">
        <v>26</v>
      </c>
      <c r="F1498">
        <v>12616</v>
      </c>
      <c r="G1498">
        <v>13559</v>
      </c>
      <c r="H1498">
        <v>1455</v>
      </c>
      <c r="I1498">
        <v>171</v>
      </c>
      <c r="J1498">
        <v>183</v>
      </c>
      <c r="K1498">
        <v>216</v>
      </c>
      <c r="L1498">
        <v>4416</v>
      </c>
      <c r="M1498">
        <v>122</v>
      </c>
      <c r="N1498" s="1">
        <v>0.46875</v>
      </c>
      <c r="O1498" t="s">
        <v>27</v>
      </c>
    </row>
    <row r="1499" spans="1:15" x14ac:dyDescent="0.3">
      <c r="A1499" t="s">
        <v>1536</v>
      </c>
      <c r="B1499">
        <v>20250607</v>
      </c>
      <c r="C1499" t="s">
        <v>25</v>
      </c>
      <c r="E1499" t="s">
        <v>51</v>
      </c>
      <c r="F1499">
        <v>8723</v>
      </c>
      <c r="G1499">
        <v>13128</v>
      </c>
      <c r="H1499">
        <v>240</v>
      </c>
      <c r="I1499">
        <v>25</v>
      </c>
      <c r="J1499">
        <v>10</v>
      </c>
      <c r="K1499">
        <v>21</v>
      </c>
      <c r="L1499">
        <v>0</v>
      </c>
      <c r="M1499">
        <v>21</v>
      </c>
      <c r="N1499" s="1">
        <v>0.57291666666666663</v>
      </c>
      <c r="O1499" t="s">
        <v>27</v>
      </c>
    </row>
    <row r="1500" spans="1:15" x14ac:dyDescent="0.3">
      <c r="A1500" t="s">
        <v>1537</v>
      </c>
      <c r="B1500">
        <v>20251225</v>
      </c>
      <c r="C1500" t="s">
        <v>16</v>
      </c>
      <c r="E1500" t="s">
        <v>22</v>
      </c>
      <c r="F1500">
        <v>31233</v>
      </c>
      <c r="G1500">
        <v>45949</v>
      </c>
      <c r="H1500">
        <v>1634</v>
      </c>
      <c r="I1500">
        <v>132</v>
      </c>
      <c r="J1500">
        <v>81</v>
      </c>
      <c r="K1500">
        <v>212</v>
      </c>
      <c r="L1500">
        <v>0</v>
      </c>
      <c r="M1500">
        <v>96</v>
      </c>
      <c r="N1500" s="1">
        <v>0.90625</v>
      </c>
      <c r="O1500" t="s">
        <v>34</v>
      </c>
    </row>
    <row r="1501" spans="1:15" x14ac:dyDescent="0.3">
      <c r="A1501" t="s">
        <v>1538</v>
      </c>
      <c r="B1501">
        <v>20260528</v>
      </c>
      <c r="C1501" t="s">
        <v>44</v>
      </c>
      <c r="D1501" t="s">
        <v>33</v>
      </c>
      <c r="E1501" t="s">
        <v>46</v>
      </c>
      <c r="F1501">
        <v>174251</v>
      </c>
      <c r="G1501">
        <v>195745</v>
      </c>
      <c r="H1501">
        <v>8147</v>
      </c>
      <c r="I1501">
        <v>381</v>
      </c>
      <c r="J1501">
        <v>1099</v>
      </c>
      <c r="K1501">
        <v>786</v>
      </c>
      <c r="L1501">
        <v>123741</v>
      </c>
      <c r="M1501">
        <v>2193</v>
      </c>
      <c r="N1501" s="1">
        <v>0.48958333333333331</v>
      </c>
      <c r="O1501" t="s">
        <v>49</v>
      </c>
    </row>
    <row r="1502" spans="1:15" x14ac:dyDescent="0.3">
      <c r="A1502" t="s">
        <v>1539</v>
      </c>
      <c r="B1502">
        <v>20260506</v>
      </c>
      <c r="C1502" t="s">
        <v>44</v>
      </c>
      <c r="D1502" t="s">
        <v>17</v>
      </c>
      <c r="E1502" t="s">
        <v>18</v>
      </c>
      <c r="F1502">
        <v>41128</v>
      </c>
      <c r="G1502">
        <v>60028</v>
      </c>
      <c r="H1502">
        <v>2221</v>
      </c>
      <c r="I1502">
        <v>98</v>
      </c>
      <c r="J1502">
        <v>341</v>
      </c>
      <c r="K1502">
        <v>277</v>
      </c>
      <c r="L1502">
        <v>0</v>
      </c>
      <c r="M1502">
        <v>713</v>
      </c>
      <c r="N1502" s="1">
        <v>0.77083333333333337</v>
      </c>
      <c r="O1502" t="s">
        <v>27</v>
      </c>
    </row>
    <row r="1503" spans="1:15" x14ac:dyDescent="0.3">
      <c r="A1503" t="s">
        <v>1540</v>
      </c>
      <c r="B1503">
        <v>20260531</v>
      </c>
      <c r="C1503" t="s">
        <v>25</v>
      </c>
      <c r="D1503" t="s">
        <v>17</v>
      </c>
      <c r="E1503" t="s">
        <v>46</v>
      </c>
      <c r="F1503">
        <v>4215</v>
      </c>
      <c r="G1503">
        <v>5304</v>
      </c>
      <c r="H1503">
        <v>287</v>
      </c>
      <c r="I1503">
        <v>24</v>
      </c>
      <c r="J1503">
        <v>24</v>
      </c>
      <c r="K1503">
        <v>19</v>
      </c>
      <c r="L1503">
        <v>2513</v>
      </c>
      <c r="M1503">
        <v>22</v>
      </c>
      <c r="N1503" s="1">
        <v>0.5625</v>
      </c>
      <c r="O1503" t="s">
        <v>30</v>
      </c>
    </row>
    <row r="1504" spans="1:15" x14ac:dyDescent="0.3">
      <c r="A1504" t="s">
        <v>1541</v>
      </c>
      <c r="B1504">
        <v>20260710</v>
      </c>
      <c r="C1504" t="s">
        <v>25</v>
      </c>
      <c r="D1504" t="s">
        <v>33</v>
      </c>
      <c r="E1504" t="s">
        <v>46</v>
      </c>
      <c r="F1504">
        <v>11025</v>
      </c>
      <c r="G1504">
        <v>12828</v>
      </c>
      <c r="H1504">
        <v>714</v>
      </c>
      <c r="I1504">
        <v>96</v>
      </c>
      <c r="J1504">
        <v>40</v>
      </c>
      <c r="K1504">
        <v>63</v>
      </c>
      <c r="L1504">
        <v>5911</v>
      </c>
      <c r="M1504">
        <v>81</v>
      </c>
      <c r="N1504" s="1">
        <v>0.77083333333333337</v>
      </c>
      <c r="O1504" t="s">
        <v>42</v>
      </c>
    </row>
    <row r="1505" spans="1:15" x14ac:dyDescent="0.3">
      <c r="A1505" t="s">
        <v>1542</v>
      </c>
      <c r="B1505">
        <v>20260109</v>
      </c>
      <c r="C1505" t="s">
        <v>40</v>
      </c>
      <c r="D1505" t="s">
        <v>61</v>
      </c>
      <c r="E1505" t="s">
        <v>18</v>
      </c>
      <c r="F1505">
        <v>21623</v>
      </c>
      <c r="G1505">
        <v>25282</v>
      </c>
      <c r="H1505">
        <v>2321</v>
      </c>
      <c r="I1505">
        <v>85</v>
      </c>
      <c r="J1505">
        <v>116</v>
      </c>
      <c r="K1505">
        <v>294</v>
      </c>
      <c r="L1505">
        <v>0</v>
      </c>
      <c r="M1505">
        <v>40</v>
      </c>
      <c r="N1505" s="1">
        <v>0.85416666666666663</v>
      </c>
      <c r="O1505" t="s">
        <v>38</v>
      </c>
    </row>
    <row r="1506" spans="1:15" x14ac:dyDescent="0.3">
      <c r="A1506" t="s">
        <v>1543</v>
      </c>
      <c r="B1506">
        <v>20250621</v>
      </c>
      <c r="C1506" t="s">
        <v>44</v>
      </c>
      <c r="D1506" t="s">
        <v>68</v>
      </c>
      <c r="E1506" t="s">
        <v>46</v>
      </c>
      <c r="F1506">
        <v>91786</v>
      </c>
      <c r="G1506">
        <v>148777</v>
      </c>
      <c r="H1506">
        <v>3001</v>
      </c>
      <c r="I1506">
        <v>198</v>
      </c>
      <c r="J1506">
        <v>415</v>
      </c>
      <c r="K1506">
        <v>270</v>
      </c>
      <c r="L1506">
        <v>48942</v>
      </c>
      <c r="M1506">
        <v>996</v>
      </c>
      <c r="N1506" s="1">
        <v>0.75</v>
      </c>
      <c r="O1506" t="s">
        <v>53</v>
      </c>
    </row>
    <row r="1507" spans="1:15" x14ac:dyDescent="0.3">
      <c r="A1507" t="s">
        <v>1544</v>
      </c>
      <c r="B1507">
        <v>20260325</v>
      </c>
      <c r="C1507" t="s">
        <v>16</v>
      </c>
      <c r="D1507" t="s">
        <v>33</v>
      </c>
      <c r="E1507" t="s">
        <v>46</v>
      </c>
      <c r="F1507">
        <v>32922</v>
      </c>
      <c r="G1507">
        <v>46789</v>
      </c>
      <c r="H1507">
        <v>1343</v>
      </c>
      <c r="I1507">
        <v>156</v>
      </c>
      <c r="J1507">
        <v>120</v>
      </c>
      <c r="K1507">
        <v>50</v>
      </c>
      <c r="L1507">
        <v>15614</v>
      </c>
      <c r="M1507">
        <v>129</v>
      </c>
      <c r="N1507" s="1">
        <v>0.32291666666666669</v>
      </c>
      <c r="O1507" t="s">
        <v>19</v>
      </c>
    </row>
    <row r="1508" spans="1:15" x14ac:dyDescent="0.3">
      <c r="A1508" t="s">
        <v>1545</v>
      </c>
      <c r="B1508">
        <v>20250416</v>
      </c>
      <c r="C1508" t="s">
        <v>16</v>
      </c>
      <c r="D1508" t="s">
        <v>68</v>
      </c>
      <c r="E1508" t="s">
        <v>26</v>
      </c>
      <c r="F1508">
        <v>15018</v>
      </c>
      <c r="G1508">
        <v>20786</v>
      </c>
      <c r="H1508">
        <v>732</v>
      </c>
      <c r="I1508">
        <v>66</v>
      </c>
      <c r="J1508">
        <v>45</v>
      </c>
      <c r="K1508">
        <v>43</v>
      </c>
      <c r="L1508">
        <v>10392</v>
      </c>
      <c r="M1508">
        <v>149</v>
      </c>
      <c r="N1508" s="1">
        <v>0.89583333333333337</v>
      </c>
      <c r="O1508" t="s">
        <v>19</v>
      </c>
    </row>
    <row r="1509" spans="1:15" x14ac:dyDescent="0.3">
      <c r="A1509" t="s">
        <v>1546</v>
      </c>
      <c r="B1509">
        <v>20250402</v>
      </c>
      <c r="C1509" t="s">
        <v>25</v>
      </c>
      <c r="D1509" t="s">
        <v>36</v>
      </c>
      <c r="E1509" t="s">
        <v>18</v>
      </c>
      <c r="F1509">
        <v>5121</v>
      </c>
      <c r="G1509">
        <v>6986</v>
      </c>
      <c r="H1509">
        <v>302</v>
      </c>
      <c r="I1509">
        <v>39</v>
      </c>
      <c r="J1509">
        <v>49</v>
      </c>
      <c r="K1509">
        <v>13</v>
      </c>
      <c r="L1509">
        <v>0</v>
      </c>
      <c r="M1509">
        <v>66</v>
      </c>
      <c r="N1509" s="1">
        <v>0.82291666666666663</v>
      </c>
      <c r="O1509" t="s">
        <v>34</v>
      </c>
    </row>
    <row r="1510" spans="1:15" x14ac:dyDescent="0.3">
      <c r="A1510" t="s">
        <v>1547</v>
      </c>
      <c r="B1510">
        <v>20250102</v>
      </c>
      <c r="C1510" t="s">
        <v>16</v>
      </c>
      <c r="D1510" t="s">
        <v>33</v>
      </c>
      <c r="E1510" t="s">
        <v>46</v>
      </c>
      <c r="F1510">
        <v>33566</v>
      </c>
      <c r="G1510">
        <v>53365</v>
      </c>
      <c r="H1510">
        <v>1846</v>
      </c>
      <c r="I1510">
        <v>82</v>
      </c>
      <c r="J1510">
        <v>125</v>
      </c>
      <c r="K1510">
        <v>224</v>
      </c>
      <c r="L1510">
        <v>19288</v>
      </c>
      <c r="M1510">
        <v>128</v>
      </c>
      <c r="N1510" s="1">
        <v>0.65625</v>
      </c>
      <c r="O1510" t="s">
        <v>38</v>
      </c>
    </row>
    <row r="1511" spans="1:15" x14ac:dyDescent="0.3">
      <c r="A1511" t="s">
        <v>1548</v>
      </c>
      <c r="B1511">
        <v>20260821</v>
      </c>
      <c r="C1511" t="s">
        <v>32</v>
      </c>
      <c r="D1511" t="s">
        <v>61</v>
      </c>
      <c r="E1511" t="s">
        <v>18</v>
      </c>
      <c r="F1511">
        <v>4343</v>
      </c>
      <c r="G1511">
        <v>5097</v>
      </c>
      <c r="H1511">
        <v>304</v>
      </c>
      <c r="I1511">
        <v>21</v>
      </c>
      <c r="J1511">
        <v>38</v>
      </c>
      <c r="K1511">
        <v>8</v>
      </c>
      <c r="L1511">
        <v>0</v>
      </c>
      <c r="M1511">
        <v>38</v>
      </c>
      <c r="N1511" s="1">
        <v>0.5625</v>
      </c>
      <c r="O1511" t="s">
        <v>34</v>
      </c>
    </row>
    <row r="1512" spans="1:15" x14ac:dyDescent="0.3">
      <c r="A1512" t="s">
        <v>1549</v>
      </c>
      <c r="B1512">
        <v>20250316</v>
      </c>
      <c r="C1512" t="s">
        <v>16</v>
      </c>
      <c r="D1512" t="s">
        <v>33</v>
      </c>
      <c r="E1512" t="s">
        <v>18</v>
      </c>
      <c r="F1512">
        <v>12586</v>
      </c>
      <c r="G1512">
        <v>18787</v>
      </c>
      <c r="H1512">
        <v>1071</v>
      </c>
      <c r="I1512">
        <v>37</v>
      </c>
      <c r="J1512">
        <v>166</v>
      </c>
      <c r="K1512">
        <v>106</v>
      </c>
      <c r="L1512">
        <v>0</v>
      </c>
      <c r="M1512">
        <v>26</v>
      </c>
      <c r="N1512" s="1">
        <v>0.48958333333333331</v>
      </c>
      <c r="O1512" t="s">
        <v>38</v>
      </c>
    </row>
    <row r="1513" spans="1:15" x14ac:dyDescent="0.3">
      <c r="A1513" t="s">
        <v>1550</v>
      </c>
      <c r="B1513">
        <v>20250609</v>
      </c>
      <c r="C1513" t="s">
        <v>25</v>
      </c>
      <c r="D1513" t="s">
        <v>33</v>
      </c>
      <c r="E1513" t="s">
        <v>26</v>
      </c>
      <c r="F1513">
        <v>7168</v>
      </c>
      <c r="G1513">
        <v>10937</v>
      </c>
      <c r="H1513">
        <v>650</v>
      </c>
      <c r="I1513">
        <v>41</v>
      </c>
      <c r="J1513">
        <v>19</v>
      </c>
      <c r="K1513">
        <v>59</v>
      </c>
      <c r="L1513">
        <v>2608</v>
      </c>
      <c r="M1513">
        <v>34</v>
      </c>
      <c r="N1513" s="1">
        <v>0.8125</v>
      </c>
    </row>
    <row r="1514" spans="1:15" x14ac:dyDescent="0.3">
      <c r="A1514" t="s">
        <v>1551</v>
      </c>
      <c r="B1514">
        <v>20250813</v>
      </c>
      <c r="C1514" t="s">
        <v>44</v>
      </c>
      <c r="D1514" t="s">
        <v>68</v>
      </c>
      <c r="E1514" t="s">
        <v>46</v>
      </c>
      <c r="F1514">
        <v>47834</v>
      </c>
      <c r="G1514">
        <v>61170</v>
      </c>
      <c r="H1514">
        <v>3085</v>
      </c>
      <c r="I1514">
        <v>205</v>
      </c>
      <c r="J1514">
        <v>287</v>
      </c>
      <c r="K1514">
        <v>477</v>
      </c>
      <c r="L1514">
        <v>37358</v>
      </c>
      <c r="M1514">
        <v>174</v>
      </c>
      <c r="N1514" s="1">
        <v>0.4375</v>
      </c>
      <c r="O1514" t="s">
        <v>47</v>
      </c>
    </row>
    <row r="1515" spans="1:15" x14ac:dyDescent="0.3">
      <c r="A1515" t="s">
        <v>1552</v>
      </c>
      <c r="B1515">
        <v>20260716</v>
      </c>
      <c r="C1515" t="s">
        <v>44</v>
      </c>
      <c r="D1515" t="s">
        <v>17</v>
      </c>
      <c r="E1515" t="s">
        <v>41</v>
      </c>
      <c r="F1515">
        <v>122438</v>
      </c>
      <c r="G1515">
        <v>181008</v>
      </c>
      <c r="H1515">
        <v>8826</v>
      </c>
      <c r="I1515">
        <v>990</v>
      </c>
      <c r="J1515">
        <v>681</v>
      </c>
      <c r="K1515">
        <v>1176</v>
      </c>
      <c r="L1515">
        <v>109509</v>
      </c>
      <c r="M1515">
        <v>1663</v>
      </c>
      <c r="N1515" s="1">
        <v>0.4375</v>
      </c>
      <c r="O1515" t="s">
        <v>30</v>
      </c>
    </row>
    <row r="1516" spans="1:15" x14ac:dyDescent="0.3">
      <c r="A1516" t="s">
        <v>1102</v>
      </c>
      <c r="B1516">
        <v>20250224</v>
      </c>
      <c r="C1516" t="s">
        <v>25</v>
      </c>
      <c r="D1516" t="s">
        <v>68</v>
      </c>
      <c r="E1516" t="s">
        <v>46</v>
      </c>
      <c r="F1516">
        <v>6152</v>
      </c>
      <c r="G1516">
        <v>7236</v>
      </c>
      <c r="H1516">
        <v>221</v>
      </c>
      <c r="I1516">
        <v>19</v>
      </c>
      <c r="J1516">
        <v>19</v>
      </c>
      <c r="K1516">
        <v>16</v>
      </c>
      <c r="L1516">
        <v>4430</v>
      </c>
      <c r="M1516">
        <v>20</v>
      </c>
      <c r="N1516" s="1">
        <v>0.5</v>
      </c>
      <c r="O1516" t="s">
        <v>47</v>
      </c>
    </row>
    <row r="1517" spans="1:15" x14ac:dyDescent="0.3">
      <c r="A1517" t="s">
        <v>1553</v>
      </c>
      <c r="B1517">
        <v>20250508</v>
      </c>
      <c r="C1517" t="s">
        <v>16</v>
      </c>
      <c r="D1517" t="s">
        <v>29</v>
      </c>
      <c r="E1517" t="s">
        <v>26</v>
      </c>
      <c r="F1517">
        <v>18013</v>
      </c>
      <c r="G1517">
        <v>29009</v>
      </c>
      <c r="H1517">
        <v>1509</v>
      </c>
      <c r="I1517">
        <v>196</v>
      </c>
      <c r="J1517">
        <v>89</v>
      </c>
      <c r="K1517">
        <v>146</v>
      </c>
      <c r="L1517">
        <v>11247</v>
      </c>
      <c r="M1517">
        <v>98</v>
      </c>
      <c r="N1517" s="1">
        <v>0.83333333333333337</v>
      </c>
      <c r="O1517" t="s">
        <v>49</v>
      </c>
    </row>
    <row r="1518" spans="1:15" x14ac:dyDescent="0.3">
      <c r="A1518" t="s">
        <v>1554</v>
      </c>
      <c r="B1518">
        <v>20260306</v>
      </c>
      <c r="C1518" t="s">
        <v>44</v>
      </c>
      <c r="D1518" t="s">
        <v>17</v>
      </c>
      <c r="E1518" t="s">
        <v>41</v>
      </c>
      <c r="F1518">
        <v>130240</v>
      </c>
      <c r="G1518">
        <v>180807</v>
      </c>
      <c r="H1518">
        <v>13723</v>
      </c>
      <c r="I1518">
        <v>855</v>
      </c>
      <c r="J1518">
        <v>1585</v>
      </c>
      <c r="K1518">
        <v>718</v>
      </c>
      <c r="L1518">
        <v>89164</v>
      </c>
      <c r="M1518">
        <v>1253</v>
      </c>
      <c r="N1518" s="1">
        <v>0.29166666666666669</v>
      </c>
      <c r="O1518" t="s">
        <v>42</v>
      </c>
    </row>
    <row r="1519" spans="1:15" x14ac:dyDescent="0.3">
      <c r="A1519" t="s">
        <v>1555</v>
      </c>
      <c r="B1519">
        <v>20250129</v>
      </c>
      <c r="C1519" t="s">
        <v>40</v>
      </c>
      <c r="D1519" t="s">
        <v>36</v>
      </c>
      <c r="E1519" t="s">
        <v>51</v>
      </c>
      <c r="F1519">
        <v>12762</v>
      </c>
      <c r="G1519">
        <v>14236</v>
      </c>
      <c r="H1519">
        <v>1179</v>
      </c>
      <c r="I1519">
        <v>133</v>
      </c>
      <c r="J1519">
        <v>93</v>
      </c>
      <c r="K1519">
        <v>50</v>
      </c>
      <c r="L1519">
        <v>0</v>
      </c>
      <c r="M1519">
        <v>173</v>
      </c>
      <c r="N1519" s="1">
        <v>0.45833333333333331</v>
      </c>
      <c r="O1519" t="s">
        <v>34</v>
      </c>
    </row>
    <row r="1520" spans="1:15" x14ac:dyDescent="0.3">
      <c r="A1520" t="s">
        <v>1556</v>
      </c>
      <c r="B1520">
        <v>20260205</v>
      </c>
      <c r="C1520" t="s">
        <v>16</v>
      </c>
      <c r="D1520" t="s">
        <v>33</v>
      </c>
      <c r="E1520" t="s">
        <v>18</v>
      </c>
      <c r="F1520">
        <v>23802</v>
      </c>
      <c r="G1520">
        <v>28696</v>
      </c>
      <c r="H1520">
        <v>2666</v>
      </c>
      <c r="I1520">
        <v>264</v>
      </c>
      <c r="J1520">
        <v>476</v>
      </c>
      <c r="K1520">
        <v>78</v>
      </c>
      <c r="L1520">
        <v>0</v>
      </c>
      <c r="M1520">
        <v>242</v>
      </c>
      <c r="N1520" s="1">
        <v>0.51041666666666663</v>
      </c>
      <c r="O1520" t="s">
        <v>47</v>
      </c>
    </row>
    <row r="1521" spans="1:15" x14ac:dyDescent="0.3">
      <c r="A1521" t="s">
        <v>1557</v>
      </c>
      <c r="B1521">
        <v>20260313</v>
      </c>
      <c r="C1521" t="s">
        <v>16</v>
      </c>
      <c r="D1521" t="s">
        <v>33</v>
      </c>
      <c r="E1521" t="s">
        <v>26</v>
      </c>
      <c r="F1521">
        <v>7379</v>
      </c>
      <c r="G1521">
        <v>11545</v>
      </c>
      <c r="H1521">
        <v>851</v>
      </c>
      <c r="I1521">
        <v>55</v>
      </c>
      <c r="J1521">
        <v>114</v>
      </c>
      <c r="K1521">
        <v>101</v>
      </c>
      <c r="L1521">
        <v>3351</v>
      </c>
      <c r="M1521">
        <v>113</v>
      </c>
      <c r="N1521" s="1">
        <v>0.8125</v>
      </c>
      <c r="O1521" t="s">
        <v>49</v>
      </c>
    </row>
    <row r="1522" spans="1:15" x14ac:dyDescent="0.3">
      <c r="A1522" t="s">
        <v>1558</v>
      </c>
      <c r="B1522">
        <v>20250606</v>
      </c>
      <c r="C1522" t="s">
        <v>25</v>
      </c>
      <c r="D1522" t="s">
        <v>36</v>
      </c>
      <c r="E1522" t="s">
        <v>46</v>
      </c>
      <c r="F1522">
        <v>26396</v>
      </c>
      <c r="G1522">
        <v>34314</v>
      </c>
      <c r="H1522">
        <v>1339</v>
      </c>
      <c r="I1522">
        <v>112</v>
      </c>
      <c r="J1522">
        <v>259</v>
      </c>
      <c r="K1522">
        <v>80</v>
      </c>
      <c r="L1522">
        <v>10924</v>
      </c>
      <c r="M1522">
        <v>265</v>
      </c>
      <c r="N1522" s="1">
        <v>0.375</v>
      </c>
      <c r="O1522" t="s">
        <v>30</v>
      </c>
    </row>
    <row r="1523" spans="1:15" x14ac:dyDescent="0.3">
      <c r="A1523" t="s">
        <v>1559</v>
      </c>
      <c r="B1523">
        <v>20250919</v>
      </c>
      <c r="C1523" t="s">
        <v>32</v>
      </c>
      <c r="D1523" t="s">
        <v>68</v>
      </c>
      <c r="E1523" t="s">
        <v>26</v>
      </c>
      <c r="F1523">
        <v>9317</v>
      </c>
      <c r="G1523">
        <v>10284</v>
      </c>
      <c r="H1523">
        <v>1030</v>
      </c>
      <c r="I1523">
        <v>81</v>
      </c>
      <c r="J1523">
        <v>103</v>
      </c>
      <c r="K1523">
        <v>53</v>
      </c>
      <c r="L1523">
        <v>5074</v>
      </c>
      <c r="M1523">
        <v>55</v>
      </c>
      <c r="N1523" s="1">
        <v>0.73958333333333337</v>
      </c>
      <c r="O1523" t="s">
        <v>38</v>
      </c>
    </row>
    <row r="1524" spans="1:15" x14ac:dyDescent="0.3">
      <c r="A1524" t="s">
        <v>1560</v>
      </c>
      <c r="B1524">
        <v>20260918</v>
      </c>
      <c r="C1524" t="s">
        <v>44</v>
      </c>
      <c r="D1524" t="s">
        <v>29</v>
      </c>
      <c r="E1524" t="s">
        <v>46</v>
      </c>
      <c r="F1524">
        <v>96380</v>
      </c>
      <c r="G1524">
        <v>103911</v>
      </c>
      <c r="H1524">
        <v>5730</v>
      </c>
      <c r="I1524">
        <v>286</v>
      </c>
      <c r="J1524">
        <v>475</v>
      </c>
      <c r="K1524">
        <v>253</v>
      </c>
      <c r="L1524">
        <v>81514</v>
      </c>
      <c r="M1524">
        <v>1648</v>
      </c>
      <c r="N1524" s="1">
        <v>0.40625</v>
      </c>
      <c r="O1524" t="s">
        <v>23</v>
      </c>
    </row>
    <row r="1525" spans="1:15" x14ac:dyDescent="0.3">
      <c r="A1525" t="s">
        <v>1561</v>
      </c>
      <c r="B1525">
        <v>20250821</v>
      </c>
      <c r="C1525" t="s">
        <v>25</v>
      </c>
      <c r="D1525" t="s">
        <v>61</v>
      </c>
      <c r="E1525" t="s">
        <v>46</v>
      </c>
      <c r="F1525">
        <v>34081</v>
      </c>
      <c r="G1525">
        <v>53663</v>
      </c>
      <c r="H1525">
        <v>2122</v>
      </c>
      <c r="I1525">
        <v>231</v>
      </c>
      <c r="J1525">
        <v>250</v>
      </c>
      <c r="K1525">
        <v>104</v>
      </c>
      <c r="L1525">
        <v>28940</v>
      </c>
      <c r="M1525">
        <v>225</v>
      </c>
      <c r="N1525" s="1">
        <v>0.75</v>
      </c>
      <c r="O1525" t="s">
        <v>49</v>
      </c>
    </row>
    <row r="1526" spans="1:15" x14ac:dyDescent="0.3">
      <c r="A1526" t="s">
        <v>1562</v>
      </c>
      <c r="B1526">
        <v>20260923</v>
      </c>
      <c r="C1526" t="s">
        <v>44</v>
      </c>
      <c r="D1526" t="s">
        <v>33</v>
      </c>
      <c r="E1526" t="s">
        <v>41</v>
      </c>
      <c r="F1526">
        <v>70565</v>
      </c>
      <c r="G1526">
        <v>115927</v>
      </c>
      <c r="H1526">
        <v>7977</v>
      </c>
      <c r="I1526">
        <v>1101</v>
      </c>
      <c r="J1526">
        <v>662</v>
      </c>
      <c r="K1526">
        <v>1048</v>
      </c>
      <c r="L1526">
        <v>59819</v>
      </c>
      <c r="M1526">
        <v>810</v>
      </c>
      <c r="N1526" s="1">
        <v>0.63541666666666663</v>
      </c>
      <c r="O1526" t="s">
        <v>34</v>
      </c>
    </row>
    <row r="1527" spans="1:15" x14ac:dyDescent="0.3">
      <c r="A1527" t="s">
        <v>1563</v>
      </c>
      <c r="B1527">
        <v>20250227</v>
      </c>
      <c r="C1527" t="s">
        <v>32</v>
      </c>
      <c r="D1527" t="s">
        <v>17</v>
      </c>
      <c r="E1527" t="s">
        <v>26</v>
      </c>
      <c r="F1527">
        <v>8412</v>
      </c>
      <c r="G1527">
        <v>10290</v>
      </c>
      <c r="H1527">
        <v>950</v>
      </c>
      <c r="I1527">
        <v>96</v>
      </c>
      <c r="J1527">
        <v>144</v>
      </c>
      <c r="K1527">
        <v>142</v>
      </c>
      <c r="L1527">
        <v>7559</v>
      </c>
      <c r="M1527">
        <v>26</v>
      </c>
      <c r="N1527" s="1">
        <v>0.39583333333333331</v>
      </c>
      <c r="O1527" t="s">
        <v>49</v>
      </c>
    </row>
    <row r="1528" spans="1:15" x14ac:dyDescent="0.3">
      <c r="A1528" t="s">
        <v>1564</v>
      </c>
      <c r="B1528">
        <v>20250528</v>
      </c>
      <c r="C1528" t="s">
        <v>16</v>
      </c>
      <c r="D1528" t="s">
        <v>36</v>
      </c>
      <c r="E1528" t="s">
        <v>18</v>
      </c>
      <c r="F1528">
        <v>34789</v>
      </c>
      <c r="G1528">
        <v>48293</v>
      </c>
      <c r="H1528">
        <v>3176</v>
      </c>
      <c r="I1528">
        <v>220</v>
      </c>
      <c r="J1528">
        <v>183</v>
      </c>
      <c r="K1528">
        <v>382</v>
      </c>
      <c r="L1528">
        <v>0</v>
      </c>
      <c r="M1528">
        <v>92</v>
      </c>
      <c r="N1528" s="1">
        <v>0.375</v>
      </c>
      <c r="O1528" t="s">
        <v>49</v>
      </c>
    </row>
    <row r="1529" spans="1:15" x14ac:dyDescent="0.3">
      <c r="A1529" t="s">
        <v>1565</v>
      </c>
      <c r="B1529">
        <v>20260224</v>
      </c>
      <c r="C1529" t="s">
        <v>40</v>
      </c>
      <c r="D1529" t="s">
        <v>61</v>
      </c>
      <c r="E1529" t="s">
        <v>46</v>
      </c>
      <c r="F1529">
        <v>12922</v>
      </c>
      <c r="G1529">
        <v>20774</v>
      </c>
      <c r="H1529">
        <v>741</v>
      </c>
      <c r="I1529">
        <v>33</v>
      </c>
      <c r="J1529">
        <v>135</v>
      </c>
      <c r="K1529">
        <v>105</v>
      </c>
      <c r="L1529">
        <v>10120</v>
      </c>
      <c r="M1529">
        <v>223</v>
      </c>
      <c r="N1529" s="1">
        <v>0.47916666666666669</v>
      </c>
      <c r="O1529" t="s">
        <v>30</v>
      </c>
    </row>
    <row r="1530" spans="1:15" x14ac:dyDescent="0.3">
      <c r="A1530" t="s">
        <v>1566</v>
      </c>
      <c r="B1530">
        <v>20250621</v>
      </c>
      <c r="C1530" t="s">
        <v>16</v>
      </c>
      <c r="D1530" t="s">
        <v>33</v>
      </c>
      <c r="E1530" t="s">
        <v>18</v>
      </c>
      <c r="F1530">
        <v>17163</v>
      </c>
      <c r="G1530">
        <v>20230</v>
      </c>
      <c r="H1530">
        <v>1987</v>
      </c>
      <c r="I1530">
        <v>197</v>
      </c>
      <c r="J1530">
        <v>285</v>
      </c>
      <c r="K1530">
        <v>207</v>
      </c>
      <c r="L1530">
        <v>0</v>
      </c>
      <c r="M1530">
        <v>240</v>
      </c>
      <c r="N1530" s="1">
        <v>0.76041666666666663</v>
      </c>
      <c r="O1530" t="s">
        <v>53</v>
      </c>
    </row>
    <row r="1531" spans="1:15" x14ac:dyDescent="0.3">
      <c r="A1531" t="s">
        <v>1567</v>
      </c>
      <c r="B1531">
        <v>20250703</v>
      </c>
      <c r="C1531" t="s">
        <v>16</v>
      </c>
      <c r="D1531" t="s">
        <v>33</v>
      </c>
      <c r="E1531" t="s">
        <v>46</v>
      </c>
      <c r="F1531">
        <v>31715</v>
      </c>
      <c r="G1531">
        <v>45740</v>
      </c>
      <c r="H1531">
        <v>2070</v>
      </c>
      <c r="I1531">
        <v>266</v>
      </c>
      <c r="J1531">
        <v>163</v>
      </c>
      <c r="K1531">
        <v>180</v>
      </c>
      <c r="L1531">
        <v>23835</v>
      </c>
      <c r="M1531">
        <v>408</v>
      </c>
      <c r="N1531" s="1">
        <v>0.66666666666666663</v>
      </c>
      <c r="O1531" t="s">
        <v>27</v>
      </c>
    </row>
    <row r="1532" spans="1:15" x14ac:dyDescent="0.3">
      <c r="A1532" t="s">
        <v>1568</v>
      </c>
      <c r="B1532">
        <v>20260724</v>
      </c>
      <c r="C1532" t="s">
        <v>40</v>
      </c>
      <c r="D1532" t="s">
        <v>17</v>
      </c>
      <c r="E1532" t="s">
        <v>22</v>
      </c>
      <c r="F1532">
        <v>27072</v>
      </c>
      <c r="G1532">
        <v>35377</v>
      </c>
      <c r="H1532">
        <v>2480</v>
      </c>
      <c r="I1532">
        <v>293</v>
      </c>
      <c r="J1532">
        <v>293</v>
      </c>
      <c r="K1532">
        <v>172</v>
      </c>
      <c r="L1532">
        <v>0</v>
      </c>
      <c r="M1532">
        <v>35</v>
      </c>
      <c r="N1532" s="1">
        <v>0.63541666666666663</v>
      </c>
      <c r="O1532" t="s">
        <v>42</v>
      </c>
    </row>
    <row r="1533" spans="1:15" x14ac:dyDescent="0.3">
      <c r="A1533" t="s">
        <v>1569</v>
      </c>
      <c r="B1533">
        <v>20250506</v>
      </c>
      <c r="C1533" t="s">
        <v>16</v>
      </c>
      <c r="D1533" t="s">
        <v>29</v>
      </c>
      <c r="E1533" t="s">
        <v>41</v>
      </c>
      <c r="F1533">
        <v>37305</v>
      </c>
      <c r="G1533">
        <v>60077</v>
      </c>
      <c r="H1533">
        <v>3305</v>
      </c>
      <c r="I1533">
        <v>288</v>
      </c>
      <c r="J1533">
        <v>568</v>
      </c>
      <c r="K1533">
        <v>180</v>
      </c>
      <c r="L1533">
        <v>16229</v>
      </c>
      <c r="M1533">
        <v>85</v>
      </c>
      <c r="N1533" s="1">
        <v>0.80208333333333337</v>
      </c>
      <c r="O1533" t="s">
        <v>23</v>
      </c>
    </row>
    <row r="1534" spans="1:15" x14ac:dyDescent="0.3">
      <c r="A1534" t="s">
        <v>1570</v>
      </c>
      <c r="B1534">
        <v>20250209</v>
      </c>
      <c r="C1534" t="s">
        <v>40</v>
      </c>
      <c r="D1534" t="s">
        <v>36</v>
      </c>
      <c r="E1534" t="s">
        <v>46</v>
      </c>
      <c r="F1534">
        <v>26644</v>
      </c>
      <c r="G1534">
        <v>33556</v>
      </c>
      <c r="H1534">
        <v>1725</v>
      </c>
      <c r="I1534">
        <v>118</v>
      </c>
      <c r="J1534">
        <v>187</v>
      </c>
      <c r="K1534">
        <v>254</v>
      </c>
      <c r="M1534">
        <v>290</v>
      </c>
      <c r="N1534" s="1">
        <v>0.39583333333333331</v>
      </c>
      <c r="O1534" t="s">
        <v>27</v>
      </c>
    </row>
    <row r="1535" spans="1:15" x14ac:dyDescent="0.3">
      <c r="A1535" t="s">
        <v>1571</v>
      </c>
      <c r="B1535">
        <v>20251207</v>
      </c>
      <c r="C1535" t="s">
        <v>25</v>
      </c>
      <c r="D1535" t="s">
        <v>61</v>
      </c>
      <c r="E1535" t="s">
        <v>46</v>
      </c>
      <c r="F1535">
        <v>16640</v>
      </c>
      <c r="G1535">
        <v>27292</v>
      </c>
      <c r="H1535">
        <v>1866</v>
      </c>
      <c r="I1535">
        <v>121</v>
      </c>
      <c r="J1535">
        <v>134</v>
      </c>
      <c r="K1535">
        <v>248</v>
      </c>
      <c r="L1535">
        <v>9815</v>
      </c>
      <c r="M1535">
        <v>68</v>
      </c>
      <c r="N1535" s="1">
        <v>0.48958333333333331</v>
      </c>
      <c r="O1535" t="s">
        <v>47</v>
      </c>
    </row>
    <row r="1536" spans="1:15" x14ac:dyDescent="0.3">
      <c r="A1536" t="s">
        <v>1572</v>
      </c>
      <c r="B1536">
        <v>20250925</v>
      </c>
      <c r="C1536" t="s">
        <v>16</v>
      </c>
      <c r="D1536" t="s">
        <v>33</v>
      </c>
      <c r="E1536" t="s">
        <v>46</v>
      </c>
      <c r="F1536">
        <v>99593</v>
      </c>
      <c r="G1536">
        <v>114794</v>
      </c>
      <c r="H1536">
        <v>7240</v>
      </c>
      <c r="I1536">
        <v>844</v>
      </c>
      <c r="J1536">
        <v>528</v>
      </c>
      <c r="K1536">
        <v>1018</v>
      </c>
      <c r="L1536">
        <v>57417</v>
      </c>
      <c r="M1536">
        <v>1223</v>
      </c>
      <c r="N1536" s="1">
        <v>0.32291666666666669</v>
      </c>
      <c r="O1536" t="s">
        <v>49</v>
      </c>
    </row>
    <row r="1537" spans="1:15" x14ac:dyDescent="0.3">
      <c r="A1537" t="s">
        <v>1573</v>
      </c>
      <c r="B1537">
        <v>20250208</v>
      </c>
      <c r="C1537" t="s">
        <v>32</v>
      </c>
      <c r="D1537" t="s">
        <v>17</v>
      </c>
      <c r="E1537" t="s">
        <v>26</v>
      </c>
      <c r="F1537">
        <v>8143</v>
      </c>
      <c r="G1537">
        <v>9522</v>
      </c>
      <c r="H1537">
        <v>729</v>
      </c>
      <c r="I1537">
        <v>90</v>
      </c>
      <c r="J1537">
        <v>31</v>
      </c>
      <c r="K1537">
        <v>15</v>
      </c>
      <c r="L1537">
        <v>5345</v>
      </c>
      <c r="M1537">
        <v>99</v>
      </c>
      <c r="N1537" s="1">
        <v>0.64583333333333337</v>
      </c>
      <c r="O1537" t="s">
        <v>19</v>
      </c>
    </row>
    <row r="1538" spans="1:15" x14ac:dyDescent="0.3">
      <c r="A1538" t="s">
        <v>1574</v>
      </c>
      <c r="B1538">
        <v>20250502</v>
      </c>
      <c r="C1538" t="s">
        <v>44</v>
      </c>
      <c r="D1538" t="s">
        <v>17</v>
      </c>
      <c r="E1538" t="s">
        <v>51</v>
      </c>
      <c r="F1538">
        <v>47230</v>
      </c>
      <c r="G1538">
        <v>77811</v>
      </c>
      <c r="H1538">
        <v>2917</v>
      </c>
      <c r="I1538">
        <v>290</v>
      </c>
      <c r="J1538">
        <v>298</v>
      </c>
      <c r="K1538">
        <v>412</v>
      </c>
      <c r="L1538">
        <v>0</v>
      </c>
      <c r="M1538">
        <v>512</v>
      </c>
      <c r="N1538" s="1">
        <v>0.33333333333333331</v>
      </c>
      <c r="O1538" t="s">
        <v>42</v>
      </c>
    </row>
    <row r="1539" spans="1:15" x14ac:dyDescent="0.3">
      <c r="A1539" t="s">
        <v>1575</v>
      </c>
      <c r="B1539">
        <v>20250112</v>
      </c>
      <c r="C1539" t="s">
        <v>40</v>
      </c>
      <c r="D1539" t="s">
        <v>33</v>
      </c>
      <c r="E1539" t="s">
        <v>18</v>
      </c>
      <c r="F1539">
        <v>12724</v>
      </c>
      <c r="G1539">
        <v>18716</v>
      </c>
      <c r="H1539">
        <v>1431</v>
      </c>
      <c r="I1539">
        <v>36</v>
      </c>
      <c r="J1539">
        <v>113</v>
      </c>
      <c r="K1539">
        <v>141</v>
      </c>
      <c r="L1539">
        <v>0</v>
      </c>
      <c r="M1539">
        <v>197</v>
      </c>
      <c r="N1539" s="1">
        <v>0.625</v>
      </c>
      <c r="O1539" t="s">
        <v>42</v>
      </c>
    </row>
    <row r="1540" spans="1:15" x14ac:dyDescent="0.3">
      <c r="A1540" t="s">
        <v>1576</v>
      </c>
      <c r="B1540">
        <v>20250512</v>
      </c>
      <c r="C1540" t="s">
        <v>25</v>
      </c>
      <c r="D1540" t="s">
        <v>21</v>
      </c>
      <c r="E1540" t="s">
        <v>41</v>
      </c>
      <c r="F1540">
        <v>15959</v>
      </c>
      <c r="G1540">
        <v>26282</v>
      </c>
      <c r="H1540">
        <v>1389</v>
      </c>
      <c r="J1540">
        <v>271</v>
      </c>
      <c r="K1540">
        <v>94</v>
      </c>
      <c r="L1540">
        <v>11075</v>
      </c>
      <c r="M1540">
        <v>280</v>
      </c>
      <c r="N1540" s="1">
        <v>0.32291666666666669</v>
      </c>
      <c r="O1540" t="s">
        <v>38</v>
      </c>
    </row>
    <row r="1541" spans="1:15" x14ac:dyDescent="0.3">
      <c r="A1541" t="s">
        <v>1577</v>
      </c>
      <c r="B1541">
        <v>20251114</v>
      </c>
      <c r="C1541" t="s">
        <v>40</v>
      </c>
      <c r="D1541" t="s">
        <v>17</v>
      </c>
      <c r="E1541" t="s">
        <v>41</v>
      </c>
      <c r="F1541">
        <v>28775</v>
      </c>
      <c r="G1541">
        <v>30830</v>
      </c>
      <c r="H1541">
        <v>2951</v>
      </c>
      <c r="I1541">
        <v>120</v>
      </c>
      <c r="J1541">
        <v>434</v>
      </c>
      <c r="K1541">
        <v>77</v>
      </c>
      <c r="L1541">
        <v>14432</v>
      </c>
      <c r="M1541">
        <v>170</v>
      </c>
      <c r="N1541" s="1">
        <v>0.57291666666666663</v>
      </c>
      <c r="O1541" t="s">
        <v>49</v>
      </c>
    </row>
    <row r="1542" spans="1:15" x14ac:dyDescent="0.3">
      <c r="A1542" t="s">
        <v>1578</v>
      </c>
      <c r="B1542">
        <v>20260605</v>
      </c>
      <c r="C1542" t="s">
        <v>40</v>
      </c>
      <c r="D1542" t="s">
        <v>17</v>
      </c>
      <c r="E1542" t="s">
        <v>46</v>
      </c>
      <c r="F1542">
        <v>14608</v>
      </c>
      <c r="G1542">
        <v>23620</v>
      </c>
      <c r="H1542">
        <v>1248</v>
      </c>
      <c r="I1542">
        <v>169</v>
      </c>
      <c r="J1542">
        <v>155</v>
      </c>
      <c r="K1542">
        <v>73</v>
      </c>
      <c r="L1542">
        <v>5587</v>
      </c>
      <c r="M1542">
        <v>52</v>
      </c>
      <c r="N1542" s="1">
        <v>0.40625</v>
      </c>
      <c r="O1542" t="s">
        <v>19</v>
      </c>
    </row>
    <row r="1543" spans="1:15" x14ac:dyDescent="0.3">
      <c r="A1543" t="s">
        <v>1579</v>
      </c>
      <c r="B1543">
        <v>20250215</v>
      </c>
      <c r="C1543" t="s">
        <v>25</v>
      </c>
      <c r="D1543" t="s">
        <v>36</v>
      </c>
      <c r="E1543" t="s">
        <v>46</v>
      </c>
      <c r="F1543">
        <v>10481</v>
      </c>
      <c r="G1543">
        <v>17238</v>
      </c>
      <c r="H1543">
        <v>1112</v>
      </c>
      <c r="I1543">
        <v>128</v>
      </c>
      <c r="J1543">
        <v>214</v>
      </c>
      <c r="K1543">
        <v>146</v>
      </c>
      <c r="L1543">
        <v>9016</v>
      </c>
      <c r="M1543">
        <v>81</v>
      </c>
      <c r="N1543" s="1">
        <v>0.91666666666666663</v>
      </c>
      <c r="O1543" t="s">
        <v>34</v>
      </c>
    </row>
    <row r="1544" spans="1:15" x14ac:dyDescent="0.3">
      <c r="A1544" t="s">
        <v>1580</v>
      </c>
      <c r="B1544">
        <v>20250619</v>
      </c>
      <c r="C1544" t="s">
        <v>16</v>
      </c>
      <c r="D1544" t="s">
        <v>68</v>
      </c>
      <c r="E1544" t="s">
        <v>46</v>
      </c>
      <c r="F1544">
        <v>58262</v>
      </c>
      <c r="G1544">
        <v>72680</v>
      </c>
      <c r="H1544">
        <v>6886</v>
      </c>
      <c r="I1544">
        <v>857</v>
      </c>
      <c r="J1544">
        <v>953</v>
      </c>
      <c r="K1544">
        <v>771</v>
      </c>
      <c r="L1544">
        <v>25802</v>
      </c>
      <c r="M1544">
        <v>148</v>
      </c>
      <c r="N1544" s="1">
        <v>0.71875</v>
      </c>
      <c r="O1544" t="s">
        <v>42</v>
      </c>
    </row>
    <row r="1545" spans="1:15" x14ac:dyDescent="0.3">
      <c r="A1545" t="s">
        <v>1581</v>
      </c>
      <c r="B1545">
        <v>20251207</v>
      </c>
      <c r="C1545" t="s">
        <v>16</v>
      </c>
      <c r="D1545" t="s">
        <v>33</v>
      </c>
      <c r="E1545" t="s">
        <v>22</v>
      </c>
      <c r="F1545">
        <v>26672</v>
      </c>
      <c r="G1545">
        <v>29373</v>
      </c>
      <c r="H1545">
        <v>970</v>
      </c>
      <c r="I1545">
        <v>37</v>
      </c>
      <c r="J1545">
        <v>147</v>
      </c>
      <c r="K1545">
        <v>32</v>
      </c>
      <c r="L1545">
        <v>0</v>
      </c>
      <c r="M1545">
        <v>355</v>
      </c>
      <c r="N1545" s="1">
        <v>0.6875</v>
      </c>
      <c r="O1545" t="s">
        <v>53</v>
      </c>
    </row>
    <row r="1546" spans="1:15" x14ac:dyDescent="0.3">
      <c r="A1546" t="s">
        <v>1582</v>
      </c>
      <c r="B1546">
        <v>20250417</v>
      </c>
      <c r="C1546" t="s">
        <v>44</v>
      </c>
      <c r="D1546" t="s">
        <v>21</v>
      </c>
      <c r="E1546" t="s">
        <v>41</v>
      </c>
      <c r="F1546">
        <v>81964</v>
      </c>
      <c r="G1546">
        <v>99242</v>
      </c>
      <c r="H1546">
        <v>7478</v>
      </c>
      <c r="I1546">
        <v>704</v>
      </c>
      <c r="J1546">
        <v>791</v>
      </c>
      <c r="K1546">
        <v>384</v>
      </c>
      <c r="L1546">
        <v>72959</v>
      </c>
      <c r="M1546">
        <v>589</v>
      </c>
      <c r="N1546" s="1">
        <v>0.79166666666666663</v>
      </c>
      <c r="O1546" t="s">
        <v>34</v>
      </c>
    </row>
    <row r="1547" spans="1:15" x14ac:dyDescent="0.3">
      <c r="A1547" t="s">
        <v>1583</v>
      </c>
      <c r="B1547">
        <v>20251127</v>
      </c>
      <c r="C1547" t="s">
        <v>25</v>
      </c>
      <c r="D1547" t="s">
        <v>29</v>
      </c>
      <c r="E1547" t="s">
        <v>41</v>
      </c>
      <c r="F1547">
        <v>7944</v>
      </c>
      <c r="G1547">
        <v>8490</v>
      </c>
      <c r="H1547">
        <v>227</v>
      </c>
      <c r="I1547">
        <v>26</v>
      </c>
      <c r="J1547">
        <v>24</v>
      </c>
      <c r="K1547">
        <v>30</v>
      </c>
      <c r="L1547">
        <v>6980</v>
      </c>
      <c r="M1547">
        <v>132</v>
      </c>
      <c r="N1547" s="1">
        <v>0.46875</v>
      </c>
      <c r="O1547" t="s">
        <v>49</v>
      </c>
    </row>
    <row r="1548" spans="1:15" x14ac:dyDescent="0.3">
      <c r="A1548" t="s">
        <v>1584</v>
      </c>
      <c r="B1548">
        <v>20260908</v>
      </c>
      <c r="C1548" t="s">
        <v>25</v>
      </c>
      <c r="D1548" t="s">
        <v>21</v>
      </c>
      <c r="E1548" t="s">
        <v>26</v>
      </c>
      <c r="F1548">
        <v>10478</v>
      </c>
      <c r="G1548">
        <v>12806</v>
      </c>
      <c r="H1548">
        <v>1009</v>
      </c>
      <c r="I1548">
        <v>95</v>
      </c>
      <c r="J1548">
        <v>38</v>
      </c>
      <c r="K1548">
        <v>86</v>
      </c>
      <c r="L1548">
        <v>4352</v>
      </c>
      <c r="M1548">
        <v>95</v>
      </c>
      <c r="N1548" s="1">
        <v>0.35416666666666669</v>
      </c>
      <c r="O1548" t="s">
        <v>49</v>
      </c>
    </row>
    <row r="1549" spans="1:15" x14ac:dyDescent="0.3">
      <c r="A1549" t="s">
        <v>1585</v>
      </c>
      <c r="B1549">
        <v>20251118</v>
      </c>
      <c r="C1549" t="s">
        <v>44</v>
      </c>
      <c r="D1549" t="s">
        <v>36</v>
      </c>
      <c r="E1549" t="s">
        <v>26</v>
      </c>
      <c r="F1549">
        <v>13579</v>
      </c>
      <c r="G1549">
        <v>19747</v>
      </c>
      <c r="H1549">
        <v>1266</v>
      </c>
      <c r="I1549">
        <v>133</v>
      </c>
      <c r="J1549">
        <v>134</v>
      </c>
      <c r="K1549">
        <v>172</v>
      </c>
      <c r="L1549">
        <v>8853</v>
      </c>
      <c r="M1549">
        <v>20</v>
      </c>
      <c r="N1549" s="1">
        <v>0.9375</v>
      </c>
      <c r="O1549" t="s">
        <v>53</v>
      </c>
    </row>
    <row r="1550" spans="1:15" x14ac:dyDescent="0.3">
      <c r="A1550" t="s">
        <v>1586</v>
      </c>
      <c r="B1550">
        <v>20260523</v>
      </c>
      <c r="C1550" t="s">
        <v>32</v>
      </c>
      <c r="D1550" t="s">
        <v>33</v>
      </c>
      <c r="E1550" t="s">
        <v>46</v>
      </c>
      <c r="F1550">
        <v>29885</v>
      </c>
      <c r="G1550">
        <v>44604</v>
      </c>
      <c r="H1550">
        <v>2807</v>
      </c>
      <c r="I1550">
        <v>122</v>
      </c>
      <c r="J1550">
        <v>91</v>
      </c>
      <c r="K1550">
        <v>448</v>
      </c>
      <c r="L1550">
        <v>14956</v>
      </c>
      <c r="M1550">
        <v>435</v>
      </c>
      <c r="N1550" s="1">
        <v>0.45833333333333331</v>
      </c>
      <c r="O1550" t="s">
        <v>19</v>
      </c>
    </row>
    <row r="1551" spans="1:15" x14ac:dyDescent="0.3">
      <c r="A1551" t="s">
        <v>1587</v>
      </c>
      <c r="B1551">
        <v>20260707</v>
      </c>
      <c r="C1551" t="s">
        <v>44</v>
      </c>
      <c r="D1551" t="s">
        <v>36</v>
      </c>
      <c r="E1551" t="s">
        <v>26</v>
      </c>
      <c r="F1551">
        <v>40936</v>
      </c>
      <c r="G1551">
        <v>57643</v>
      </c>
      <c r="H1551">
        <v>3880</v>
      </c>
      <c r="I1551">
        <v>101</v>
      </c>
      <c r="J1551">
        <v>291</v>
      </c>
      <c r="K1551">
        <v>573</v>
      </c>
      <c r="L1551">
        <v>14949</v>
      </c>
      <c r="M1551">
        <v>203</v>
      </c>
      <c r="N1551" s="1">
        <v>0.44791666666666669</v>
      </c>
      <c r="O1551" t="s">
        <v>53</v>
      </c>
    </row>
    <row r="1552" spans="1:15" x14ac:dyDescent="0.3">
      <c r="A1552" t="s">
        <v>1588</v>
      </c>
      <c r="B1552">
        <v>20251216</v>
      </c>
      <c r="C1552" t="s">
        <v>44</v>
      </c>
      <c r="D1552" t="s">
        <v>33</v>
      </c>
      <c r="E1552" t="s">
        <v>46</v>
      </c>
      <c r="F1552">
        <v>40927</v>
      </c>
      <c r="G1552">
        <v>65269</v>
      </c>
      <c r="H1552">
        <v>2491</v>
      </c>
      <c r="I1552">
        <v>225</v>
      </c>
      <c r="J1552">
        <v>422</v>
      </c>
      <c r="K1552">
        <v>221</v>
      </c>
      <c r="L1552">
        <v>17441</v>
      </c>
      <c r="M1552">
        <v>169</v>
      </c>
      <c r="N1552" s="1">
        <v>0.45833333333333331</v>
      </c>
      <c r="O1552" t="s">
        <v>27</v>
      </c>
    </row>
    <row r="1553" spans="1:15" x14ac:dyDescent="0.3">
      <c r="A1553" t="s">
        <v>1589</v>
      </c>
      <c r="B1553">
        <v>20250602</v>
      </c>
      <c r="C1553" t="s">
        <v>25</v>
      </c>
      <c r="D1553" t="s">
        <v>36</v>
      </c>
      <c r="E1553" t="s">
        <v>46</v>
      </c>
      <c r="F1553">
        <v>21342</v>
      </c>
      <c r="G1553">
        <v>23987</v>
      </c>
      <c r="H1553">
        <v>2122</v>
      </c>
      <c r="I1553">
        <v>269</v>
      </c>
      <c r="J1553">
        <v>251</v>
      </c>
      <c r="K1553">
        <v>76</v>
      </c>
      <c r="L1553">
        <v>8035</v>
      </c>
      <c r="M1553">
        <v>310</v>
      </c>
      <c r="N1553" s="1">
        <v>0.625</v>
      </c>
      <c r="O1553" t="s">
        <v>27</v>
      </c>
    </row>
    <row r="1554" spans="1:15" x14ac:dyDescent="0.3">
      <c r="A1554" t="s">
        <v>1590</v>
      </c>
      <c r="B1554">
        <v>20260509</v>
      </c>
      <c r="C1554" t="s">
        <v>44</v>
      </c>
      <c r="D1554" t="s">
        <v>68</v>
      </c>
      <c r="E1554" t="s">
        <v>22</v>
      </c>
      <c r="F1554">
        <v>49455</v>
      </c>
      <c r="G1554">
        <v>71224</v>
      </c>
      <c r="H1554">
        <v>2591</v>
      </c>
      <c r="I1554">
        <v>309</v>
      </c>
      <c r="J1554">
        <v>154</v>
      </c>
      <c r="K1554">
        <v>113</v>
      </c>
      <c r="L1554">
        <v>0</v>
      </c>
      <c r="M1554">
        <v>751</v>
      </c>
      <c r="N1554" s="1">
        <v>0.45833333333333331</v>
      </c>
      <c r="O1554" t="s">
        <v>19</v>
      </c>
    </row>
    <row r="1555" spans="1:15" x14ac:dyDescent="0.3">
      <c r="A1555" t="s">
        <v>1591</v>
      </c>
      <c r="B1555">
        <v>20260604</v>
      </c>
      <c r="C1555" t="s">
        <v>32</v>
      </c>
      <c r="D1555" t="s">
        <v>33</v>
      </c>
      <c r="E1555" t="s">
        <v>26</v>
      </c>
      <c r="F1555">
        <v>3213</v>
      </c>
      <c r="G1555">
        <v>5021</v>
      </c>
      <c r="H1555">
        <v>112</v>
      </c>
      <c r="I1555">
        <v>14</v>
      </c>
      <c r="J1555">
        <v>9</v>
      </c>
      <c r="K1555">
        <v>5</v>
      </c>
      <c r="L1555">
        <v>2697</v>
      </c>
      <c r="M1555">
        <v>53</v>
      </c>
      <c r="N1555" s="1">
        <v>0.69791666666666663</v>
      </c>
      <c r="O1555" t="s">
        <v>30</v>
      </c>
    </row>
    <row r="1556" spans="1:15" x14ac:dyDescent="0.3">
      <c r="A1556" t="s">
        <v>1592</v>
      </c>
      <c r="B1556">
        <v>20260716</v>
      </c>
      <c r="C1556" t="s">
        <v>40</v>
      </c>
      <c r="D1556" t="s">
        <v>17</v>
      </c>
      <c r="E1556" t="s">
        <v>26</v>
      </c>
      <c r="F1556">
        <v>22665</v>
      </c>
      <c r="G1556">
        <v>33724</v>
      </c>
      <c r="H1556">
        <v>2162</v>
      </c>
      <c r="J1556">
        <v>285</v>
      </c>
      <c r="K1556">
        <v>311</v>
      </c>
      <c r="L1556">
        <v>15836</v>
      </c>
      <c r="M1556">
        <v>157</v>
      </c>
      <c r="N1556" s="1">
        <v>0.63541666666666663</v>
      </c>
      <c r="O1556" t="s">
        <v>19</v>
      </c>
    </row>
    <row r="1557" spans="1:15" x14ac:dyDescent="0.3">
      <c r="A1557" t="s">
        <v>1593</v>
      </c>
      <c r="B1557">
        <v>20250609</v>
      </c>
      <c r="C1557" t="s">
        <v>16</v>
      </c>
      <c r="D1557" t="s">
        <v>61</v>
      </c>
      <c r="E1557" t="s">
        <v>18</v>
      </c>
      <c r="F1557">
        <v>12337</v>
      </c>
      <c r="G1557">
        <v>15184</v>
      </c>
      <c r="H1557">
        <v>881</v>
      </c>
      <c r="I1557">
        <v>32</v>
      </c>
      <c r="J1557">
        <v>53</v>
      </c>
      <c r="K1557">
        <v>35</v>
      </c>
      <c r="L1557">
        <v>0</v>
      </c>
      <c r="M1557">
        <v>190</v>
      </c>
      <c r="N1557" s="1">
        <v>0.75</v>
      </c>
      <c r="O1557" t="s">
        <v>42</v>
      </c>
    </row>
    <row r="1558" spans="1:15" x14ac:dyDescent="0.3">
      <c r="A1558" t="s">
        <v>1594</v>
      </c>
      <c r="B1558">
        <v>20250715</v>
      </c>
      <c r="C1558" t="s">
        <v>40</v>
      </c>
      <c r="D1558" t="s">
        <v>61</v>
      </c>
      <c r="E1558" t="s">
        <v>18</v>
      </c>
      <c r="F1558">
        <v>38681</v>
      </c>
      <c r="G1558">
        <v>46421</v>
      </c>
      <c r="H1558">
        <v>2375</v>
      </c>
      <c r="I1558">
        <v>265</v>
      </c>
      <c r="J1558">
        <v>166</v>
      </c>
      <c r="K1558">
        <v>253</v>
      </c>
      <c r="L1558">
        <v>0</v>
      </c>
      <c r="M1558">
        <v>543</v>
      </c>
      <c r="N1558" s="1">
        <v>0.83333333333333337</v>
      </c>
      <c r="O1558" t="s">
        <v>38</v>
      </c>
    </row>
    <row r="1559" spans="1:15" x14ac:dyDescent="0.3">
      <c r="A1559" t="s">
        <v>1595</v>
      </c>
      <c r="B1559">
        <v>20251018</v>
      </c>
      <c r="C1559" t="s">
        <v>16</v>
      </c>
      <c r="D1559" t="s">
        <v>61</v>
      </c>
      <c r="E1559" t="s">
        <v>41</v>
      </c>
      <c r="F1559">
        <v>43166</v>
      </c>
      <c r="G1559">
        <v>55416</v>
      </c>
      <c r="H1559">
        <v>3528</v>
      </c>
      <c r="I1559">
        <v>473</v>
      </c>
      <c r="J1559">
        <v>123</v>
      </c>
      <c r="K1559">
        <v>153</v>
      </c>
      <c r="L1559">
        <v>32264</v>
      </c>
      <c r="M1559">
        <v>58</v>
      </c>
      <c r="N1559" s="1">
        <v>0.71875</v>
      </c>
      <c r="O1559" t="s">
        <v>47</v>
      </c>
    </row>
    <row r="1560" spans="1:15" x14ac:dyDescent="0.3">
      <c r="A1560" t="s">
        <v>1596</v>
      </c>
      <c r="B1560">
        <v>20260404</v>
      </c>
      <c r="C1560" t="s">
        <v>40</v>
      </c>
      <c r="D1560" t="s">
        <v>36</v>
      </c>
      <c r="E1560" t="s">
        <v>51</v>
      </c>
      <c r="F1560">
        <v>36641</v>
      </c>
      <c r="G1560">
        <v>42877</v>
      </c>
      <c r="H1560">
        <v>1678</v>
      </c>
      <c r="I1560">
        <v>178</v>
      </c>
      <c r="J1560">
        <v>314</v>
      </c>
      <c r="K1560">
        <v>192</v>
      </c>
      <c r="L1560">
        <v>0</v>
      </c>
      <c r="M1560">
        <v>376</v>
      </c>
      <c r="N1560" s="1">
        <v>0.45833333333333331</v>
      </c>
      <c r="O1560" t="s">
        <v>34</v>
      </c>
    </row>
    <row r="1561" spans="1:15" x14ac:dyDescent="0.3">
      <c r="A1561" t="s">
        <v>1597</v>
      </c>
      <c r="B1561">
        <v>20260321</v>
      </c>
      <c r="C1561" t="s">
        <v>25</v>
      </c>
      <c r="D1561" t="s">
        <v>33</v>
      </c>
      <c r="E1561" t="s">
        <v>41</v>
      </c>
      <c r="F1561">
        <v>12507</v>
      </c>
      <c r="G1561">
        <v>17296</v>
      </c>
      <c r="H1561">
        <v>339</v>
      </c>
      <c r="I1561">
        <v>22</v>
      </c>
      <c r="J1561">
        <v>19</v>
      </c>
      <c r="K1561">
        <v>39</v>
      </c>
      <c r="L1561">
        <v>5745</v>
      </c>
      <c r="M1561">
        <v>76</v>
      </c>
      <c r="N1561" s="1">
        <v>0.70833333333333337</v>
      </c>
      <c r="O1561" t="s">
        <v>49</v>
      </c>
    </row>
    <row r="1562" spans="1:15" x14ac:dyDescent="0.3">
      <c r="A1562" t="s">
        <v>1598</v>
      </c>
      <c r="B1562">
        <v>20260318</v>
      </c>
      <c r="C1562" t="s">
        <v>44</v>
      </c>
      <c r="D1562" t="s">
        <v>68</v>
      </c>
      <c r="E1562" t="s">
        <v>18</v>
      </c>
      <c r="F1562">
        <v>48276</v>
      </c>
      <c r="G1562">
        <v>57610</v>
      </c>
      <c r="H1562">
        <v>4137</v>
      </c>
      <c r="I1562">
        <v>217</v>
      </c>
      <c r="J1562">
        <v>152</v>
      </c>
      <c r="K1562">
        <v>345</v>
      </c>
      <c r="L1562">
        <v>0</v>
      </c>
      <c r="M1562">
        <v>665</v>
      </c>
      <c r="N1562" s="1">
        <v>0.8125</v>
      </c>
      <c r="O1562" t="s">
        <v>49</v>
      </c>
    </row>
    <row r="1563" spans="1:15" x14ac:dyDescent="0.3">
      <c r="A1563" t="s">
        <v>1599</v>
      </c>
      <c r="B1563">
        <v>20260608</v>
      </c>
      <c r="C1563" t="s">
        <v>40</v>
      </c>
      <c r="D1563" t="s">
        <v>17</v>
      </c>
      <c r="E1563" t="s">
        <v>51</v>
      </c>
      <c r="F1563">
        <v>5583</v>
      </c>
      <c r="G1563">
        <v>6270</v>
      </c>
      <c r="H1563">
        <v>332</v>
      </c>
      <c r="I1563">
        <v>20</v>
      </c>
      <c r="J1563">
        <v>16</v>
      </c>
      <c r="K1563">
        <v>40</v>
      </c>
      <c r="L1563">
        <v>0</v>
      </c>
      <c r="M1563">
        <v>63</v>
      </c>
      <c r="N1563" s="1">
        <v>0.85416666666666663</v>
      </c>
      <c r="O1563" t="s">
        <v>42</v>
      </c>
    </row>
    <row r="1564" spans="1:15" x14ac:dyDescent="0.3">
      <c r="A1564" t="s">
        <v>1600</v>
      </c>
      <c r="B1564">
        <v>20250909</v>
      </c>
      <c r="C1564" t="s">
        <v>25</v>
      </c>
      <c r="D1564" t="s">
        <v>68</v>
      </c>
      <c r="E1564" t="s">
        <v>18</v>
      </c>
      <c r="F1564">
        <v>23400</v>
      </c>
      <c r="G1564">
        <v>36737</v>
      </c>
      <c r="H1564">
        <v>1210</v>
      </c>
      <c r="I1564">
        <v>136</v>
      </c>
      <c r="J1564">
        <v>222</v>
      </c>
      <c r="K1564">
        <v>97</v>
      </c>
      <c r="L1564">
        <v>0</v>
      </c>
      <c r="M1564">
        <v>82</v>
      </c>
      <c r="N1564" s="1">
        <v>0.70833333333333337</v>
      </c>
      <c r="O1564" t="s">
        <v>38</v>
      </c>
    </row>
    <row r="1565" spans="1:15" x14ac:dyDescent="0.3">
      <c r="A1565" t="s">
        <v>1601</v>
      </c>
      <c r="B1565">
        <v>20260720</v>
      </c>
      <c r="C1565" t="s">
        <v>40</v>
      </c>
      <c r="D1565" t="s">
        <v>33</v>
      </c>
      <c r="E1565" t="s">
        <v>46</v>
      </c>
      <c r="F1565">
        <v>37934</v>
      </c>
      <c r="G1565">
        <v>49037</v>
      </c>
      <c r="H1565">
        <v>2099</v>
      </c>
      <c r="I1565">
        <v>61</v>
      </c>
      <c r="J1565">
        <v>381</v>
      </c>
      <c r="K1565">
        <v>74</v>
      </c>
      <c r="L1565">
        <v>32786</v>
      </c>
      <c r="M1565">
        <v>526</v>
      </c>
      <c r="N1565" s="1">
        <v>0.30208333333333331</v>
      </c>
      <c r="O1565" t="s">
        <v>23</v>
      </c>
    </row>
    <row r="1566" spans="1:15" x14ac:dyDescent="0.3">
      <c r="A1566" t="s">
        <v>1602</v>
      </c>
      <c r="B1566">
        <v>20250228</v>
      </c>
      <c r="C1566" t="s">
        <v>16</v>
      </c>
      <c r="D1566" t="s">
        <v>29</v>
      </c>
      <c r="E1566" t="s">
        <v>51</v>
      </c>
      <c r="F1566">
        <v>35857</v>
      </c>
      <c r="G1566">
        <v>45806</v>
      </c>
      <c r="H1566">
        <v>1257</v>
      </c>
      <c r="I1566">
        <v>106</v>
      </c>
      <c r="J1566">
        <v>131</v>
      </c>
      <c r="K1566">
        <v>173</v>
      </c>
      <c r="L1566">
        <v>0</v>
      </c>
      <c r="M1566">
        <v>370</v>
      </c>
      <c r="N1566" s="1">
        <v>0.36458333333333331</v>
      </c>
      <c r="O1566" t="s">
        <v>19</v>
      </c>
    </row>
    <row r="1567" spans="1:15" x14ac:dyDescent="0.3">
      <c r="A1567" t="s">
        <v>1603</v>
      </c>
      <c r="B1567">
        <v>20251114</v>
      </c>
      <c r="C1567" t="s">
        <v>32</v>
      </c>
      <c r="D1567" t="s">
        <v>33</v>
      </c>
      <c r="E1567" t="s">
        <v>46</v>
      </c>
      <c r="F1567">
        <v>9766</v>
      </c>
      <c r="G1567">
        <v>14302</v>
      </c>
      <c r="H1567">
        <v>1004</v>
      </c>
      <c r="I1567">
        <v>60</v>
      </c>
      <c r="J1567">
        <v>191</v>
      </c>
      <c r="K1567">
        <v>155</v>
      </c>
      <c r="L1567">
        <v>4512</v>
      </c>
      <c r="M1567">
        <v>161</v>
      </c>
      <c r="N1567" s="1">
        <v>0.29166666666666669</v>
      </c>
      <c r="O1567" t="s">
        <v>53</v>
      </c>
    </row>
    <row r="1568" spans="1:15" x14ac:dyDescent="0.3">
      <c r="A1568" t="s">
        <v>1604</v>
      </c>
      <c r="B1568">
        <v>20260302</v>
      </c>
      <c r="C1568" t="s">
        <v>16</v>
      </c>
      <c r="D1568" t="s">
        <v>36</v>
      </c>
      <c r="E1568" t="s">
        <v>51</v>
      </c>
      <c r="F1568">
        <v>26281</v>
      </c>
      <c r="G1568">
        <v>29755</v>
      </c>
      <c r="H1568">
        <v>2161</v>
      </c>
      <c r="I1568">
        <v>58</v>
      </c>
      <c r="J1568">
        <v>168</v>
      </c>
      <c r="K1568">
        <v>323</v>
      </c>
      <c r="L1568">
        <v>0</v>
      </c>
      <c r="M1568">
        <v>356</v>
      </c>
      <c r="N1568" s="1">
        <v>0.58333333333333337</v>
      </c>
      <c r="O1568" t="s">
        <v>53</v>
      </c>
    </row>
    <row r="1569" spans="1:15" x14ac:dyDescent="0.3">
      <c r="A1569" t="s">
        <v>1605</v>
      </c>
      <c r="B1569">
        <v>20250322</v>
      </c>
      <c r="C1569" t="s">
        <v>32</v>
      </c>
      <c r="D1569" t="s">
        <v>33</v>
      </c>
      <c r="E1569" t="s">
        <v>51</v>
      </c>
      <c r="F1569">
        <v>17186</v>
      </c>
      <c r="G1569">
        <v>18835</v>
      </c>
      <c r="H1569">
        <v>1803</v>
      </c>
      <c r="I1569">
        <v>213</v>
      </c>
      <c r="J1569">
        <v>179</v>
      </c>
      <c r="K1569">
        <v>38</v>
      </c>
      <c r="L1569">
        <v>0</v>
      </c>
      <c r="M1569">
        <v>191</v>
      </c>
      <c r="N1569" s="1">
        <v>0.80208333333333337</v>
      </c>
      <c r="O1569" t="s">
        <v>34</v>
      </c>
    </row>
    <row r="1570" spans="1:15" x14ac:dyDescent="0.3">
      <c r="A1570" t="s">
        <v>1606</v>
      </c>
      <c r="B1570">
        <v>20260214</v>
      </c>
      <c r="C1570" t="s">
        <v>25</v>
      </c>
      <c r="D1570" t="s">
        <v>68</v>
      </c>
      <c r="E1570" t="s">
        <v>26</v>
      </c>
      <c r="F1570">
        <v>8910</v>
      </c>
      <c r="G1570">
        <v>10978</v>
      </c>
      <c r="H1570">
        <v>816</v>
      </c>
      <c r="I1570">
        <v>81</v>
      </c>
      <c r="J1570">
        <v>129</v>
      </c>
      <c r="K1570">
        <v>49</v>
      </c>
      <c r="L1570">
        <v>3643</v>
      </c>
      <c r="M1570">
        <v>67</v>
      </c>
      <c r="N1570" s="1">
        <v>0.85416666666666663</v>
      </c>
      <c r="O1570" t="s">
        <v>42</v>
      </c>
    </row>
    <row r="1571" spans="1:15" x14ac:dyDescent="0.3">
      <c r="A1571" t="s">
        <v>1607</v>
      </c>
      <c r="B1571">
        <v>20260902</v>
      </c>
      <c r="C1571" t="s">
        <v>16</v>
      </c>
      <c r="D1571" t="s">
        <v>17</v>
      </c>
      <c r="E1571" t="s">
        <v>46</v>
      </c>
      <c r="F1571">
        <v>120518</v>
      </c>
      <c r="G1571">
        <v>178259</v>
      </c>
      <c r="H1571">
        <v>5349</v>
      </c>
      <c r="I1571">
        <v>484</v>
      </c>
      <c r="J1571">
        <v>704</v>
      </c>
      <c r="K1571">
        <v>551</v>
      </c>
      <c r="L1571">
        <v>66401</v>
      </c>
      <c r="M1571">
        <v>644</v>
      </c>
      <c r="N1571" s="1">
        <v>0.46875</v>
      </c>
      <c r="O1571" t="s">
        <v>27</v>
      </c>
    </row>
    <row r="1572" spans="1:15" x14ac:dyDescent="0.3">
      <c r="A1572" t="s">
        <v>1608</v>
      </c>
      <c r="B1572">
        <v>20250804</v>
      </c>
      <c r="C1572" t="s">
        <v>44</v>
      </c>
      <c r="D1572" t="s">
        <v>33</v>
      </c>
      <c r="E1572" t="s">
        <v>18</v>
      </c>
      <c r="F1572">
        <v>73199</v>
      </c>
      <c r="G1572">
        <v>84622</v>
      </c>
      <c r="H1572">
        <v>4637</v>
      </c>
      <c r="I1572">
        <v>247</v>
      </c>
      <c r="J1572">
        <v>893</v>
      </c>
      <c r="K1572">
        <v>587</v>
      </c>
      <c r="L1572">
        <v>0</v>
      </c>
      <c r="M1572">
        <v>921</v>
      </c>
      <c r="N1572" s="1">
        <v>0.32291666666666669</v>
      </c>
      <c r="O1572" t="s">
        <v>42</v>
      </c>
    </row>
    <row r="1573" spans="1:15" x14ac:dyDescent="0.3">
      <c r="A1573" t="s">
        <v>1609</v>
      </c>
      <c r="B1573">
        <v>20250429</v>
      </c>
      <c r="C1573" t="s">
        <v>32</v>
      </c>
      <c r="D1573" t="s">
        <v>33</v>
      </c>
      <c r="E1573" t="s">
        <v>51</v>
      </c>
      <c r="F1573">
        <v>3669</v>
      </c>
      <c r="G1573">
        <v>4533</v>
      </c>
      <c r="H1573">
        <v>203</v>
      </c>
      <c r="I1573">
        <v>15</v>
      </c>
      <c r="J1573">
        <v>40</v>
      </c>
      <c r="K1573">
        <v>21</v>
      </c>
      <c r="L1573">
        <v>0</v>
      </c>
      <c r="M1573">
        <v>20</v>
      </c>
      <c r="N1573" s="1">
        <v>0.48958333333333331</v>
      </c>
      <c r="O1573" t="s">
        <v>27</v>
      </c>
    </row>
    <row r="1574" spans="1:15" x14ac:dyDescent="0.3">
      <c r="A1574" t="s">
        <v>1610</v>
      </c>
      <c r="B1574">
        <v>20260726</v>
      </c>
      <c r="C1574" t="s">
        <v>16</v>
      </c>
      <c r="D1574" t="s">
        <v>33</v>
      </c>
      <c r="E1574" t="s">
        <v>46</v>
      </c>
      <c r="F1574">
        <v>67605</v>
      </c>
      <c r="G1574">
        <v>74862</v>
      </c>
      <c r="H1574">
        <v>7996</v>
      </c>
      <c r="I1574">
        <v>949</v>
      </c>
      <c r="J1574">
        <v>452</v>
      </c>
      <c r="K1574">
        <v>1179</v>
      </c>
      <c r="L1574">
        <v>38928</v>
      </c>
      <c r="M1574">
        <v>1136</v>
      </c>
      <c r="N1574" s="1">
        <v>0.33333333333333331</v>
      </c>
      <c r="O1574" t="s">
        <v>47</v>
      </c>
    </row>
    <row r="1575" spans="1:15" x14ac:dyDescent="0.3">
      <c r="A1575" t="s">
        <v>1611</v>
      </c>
      <c r="B1575">
        <v>20260807</v>
      </c>
      <c r="C1575" t="s">
        <v>32</v>
      </c>
      <c r="D1575" t="s">
        <v>36</v>
      </c>
      <c r="E1575" t="s">
        <v>26</v>
      </c>
      <c r="F1575">
        <v>2185</v>
      </c>
      <c r="G1575">
        <v>2632</v>
      </c>
      <c r="H1575">
        <v>169</v>
      </c>
      <c r="I1575">
        <v>14</v>
      </c>
      <c r="J1575">
        <v>21</v>
      </c>
      <c r="K1575">
        <v>7</v>
      </c>
      <c r="L1575">
        <v>851</v>
      </c>
      <c r="M1575">
        <v>36</v>
      </c>
      <c r="N1575" s="1">
        <v>0.36458333333333331</v>
      </c>
      <c r="O1575" t="s">
        <v>27</v>
      </c>
    </row>
    <row r="1576" spans="1:15" x14ac:dyDescent="0.3">
      <c r="A1576" t="s">
        <v>1612</v>
      </c>
      <c r="B1576">
        <v>20260326</v>
      </c>
      <c r="C1576" t="s">
        <v>44</v>
      </c>
      <c r="D1576" t="s">
        <v>33</v>
      </c>
      <c r="E1576" t="s">
        <v>18</v>
      </c>
      <c r="F1576">
        <v>12017</v>
      </c>
      <c r="G1576">
        <v>14926</v>
      </c>
      <c r="H1576">
        <v>1033</v>
      </c>
      <c r="I1576">
        <v>135</v>
      </c>
      <c r="J1576">
        <v>66</v>
      </c>
      <c r="K1576">
        <v>33</v>
      </c>
      <c r="L1576">
        <v>0</v>
      </c>
      <c r="M1576">
        <v>92</v>
      </c>
      <c r="N1576" s="1">
        <v>0.84375</v>
      </c>
      <c r="O1576" t="s">
        <v>19</v>
      </c>
    </row>
    <row r="1577" spans="1:15" x14ac:dyDescent="0.3">
      <c r="A1577" t="s">
        <v>1613</v>
      </c>
      <c r="B1577">
        <v>20250811</v>
      </c>
      <c r="C1577" t="s">
        <v>25</v>
      </c>
      <c r="D1577" t="s">
        <v>61</v>
      </c>
      <c r="E1577" t="s">
        <v>46</v>
      </c>
      <c r="F1577">
        <v>6383</v>
      </c>
      <c r="G1577">
        <v>9277</v>
      </c>
      <c r="H1577">
        <v>601</v>
      </c>
      <c r="I1577">
        <v>70</v>
      </c>
      <c r="J1577">
        <v>49</v>
      </c>
      <c r="K1577">
        <v>53</v>
      </c>
      <c r="L1577">
        <v>5049</v>
      </c>
      <c r="M1577">
        <v>110</v>
      </c>
      <c r="N1577" s="1">
        <v>0.82291666666666663</v>
      </c>
      <c r="O1577" t="s">
        <v>53</v>
      </c>
    </row>
    <row r="1578" spans="1:15" x14ac:dyDescent="0.3">
      <c r="A1578" t="s">
        <v>1614</v>
      </c>
      <c r="B1578">
        <v>20260712</v>
      </c>
      <c r="C1578" t="s">
        <v>32</v>
      </c>
      <c r="D1578" t="s">
        <v>21</v>
      </c>
      <c r="E1578" t="s">
        <v>46</v>
      </c>
      <c r="F1578">
        <v>11367</v>
      </c>
      <c r="G1578">
        <v>17307</v>
      </c>
      <c r="H1578">
        <v>338</v>
      </c>
      <c r="I1578">
        <v>23</v>
      </c>
      <c r="J1578">
        <v>11</v>
      </c>
      <c r="K1578">
        <v>33</v>
      </c>
      <c r="L1578">
        <v>8629</v>
      </c>
      <c r="M1578">
        <v>76</v>
      </c>
      <c r="N1578" s="1">
        <v>0.72916666666666663</v>
      </c>
    </row>
    <row r="1579" spans="1:15" x14ac:dyDescent="0.3">
      <c r="A1579" t="s">
        <v>1615</v>
      </c>
      <c r="B1579">
        <v>20260131</v>
      </c>
      <c r="C1579" t="s">
        <v>32</v>
      </c>
      <c r="D1579" t="s">
        <v>68</v>
      </c>
      <c r="E1579" t="s">
        <v>51</v>
      </c>
      <c r="F1579">
        <v>11876</v>
      </c>
      <c r="G1579">
        <v>15173</v>
      </c>
      <c r="H1579">
        <v>370</v>
      </c>
      <c r="I1579">
        <v>10</v>
      </c>
      <c r="J1579">
        <v>50</v>
      </c>
      <c r="K1579">
        <v>46</v>
      </c>
      <c r="L1579">
        <v>0</v>
      </c>
      <c r="M1579">
        <v>163</v>
      </c>
      <c r="N1579" s="1">
        <v>0.57291666666666663</v>
      </c>
      <c r="O1579" t="s">
        <v>49</v>
      </c>
    </row>
    <row r="1580" spans="1:15" x14ac:dyDescent="0.3">
      <c r="A1580" t="s">
        <v>1616</v>
      </c>
      <c r="B1580">
        <v>20250128</v>
      </c>
      <c r="C1580" t="s">
        <v>40</v>
      </c>
      <c r="D1580" t="s">
        <v>36</v>
      </c>
      <c r="E1580" t="s">
        <v>18</v>
      </c>
      <c r="F1580">
        <v>26420</v>
      </c>
      <c r="G1580">
        <v>37446</v>
      </c>
      <c r="H1580">
        <v>2907</v>
      </c>
      <c r="I1580">
        <v>90</v>
      </c>
      <c r="J1580">
        <v>442</v>
      </c>
      <c r="K1580">
        <v>99</v>
      </c>
      <c r="L1580">
        <v>0</v>
      </c>
      <c r="M1580">
        <v>187</v>
      </c>
      <c r="N1580" s="1">
        <v>0.69791666666666663</v>
      </c>
      <c r="O1580" t="s">
        <v>34</v>
      </c>
    </row>
    <row r="1581" spans="1:15" x14ac:dyDescent="0.3">
      <c r="A1581" t="s">
        <v>1617</v>
      </c>
      <c r="B1581">
        <v>20260131</v>
      </c>
      <c r="C1581" t="s">
        <v>40</v>
      </c>
      <c r="D1581" t="s">
        <v>21</v>
      </c>
      <c r="E1581" t="s">
        <v>26</v>
      </c>
      <c r="F1581">
        <v>7278</v>
      </c>
      <c r="G1581">
        <v>8260</v>
      </c>
      <c r="H1581">
        <v>642</v>
      </c>
      <c r="I1581">
        <v>78</v>
      </c>
      <c r="J1581">
        <v>51</v>
      </c>
      <c r="K1581">
        <v>16</v>
      </c>
      <c r="L1581">
        <v>5756</v>
      </c>
      <c r="M1581">
        <v>120</v>
      </c>
      <c r="N1581" s="1">
        <v>0.92708333333333337</v>
      </c>
      <c r="O1581" t="s">
        <v>23</v>
      </c>
    </row>
    <row r="1582" spans="1:15" x14ac:dyDescent="0.3">
      <c r="A1582" t="s">
        <v>1618</v>
      </c>
      <c r="B1582">
        <v>20251226</v>
      </c>
      <c r="C1582" t="s">
        <v>32</v>
      </c>
      <c r="D1582" t="s">
        <v>29</v>
      </c>
      <c r="E1582" t="s">
        <v>51</v>
      </c>
      <c r="F1582">
        <v>18771</v>
      </c>
      <c r="G1582">
        <v>23258</v>
      </c>
      <c r="H1582">
        <v>1064</v>
      </c>
      <c r="I1582">
        <v>29</v>
      </c>
      <c r="K1582">
        <v>127</v>
      </c>
      <c r="L1582">
        <v>0</v>
      </c>
      <c r="M1582">
        <v>50</v>
      </c>
      <c r="N1582" s="1">
        <v>0.64583333333333337</v>
      </c>
      <c r="O1582" t="s">
        <v>49</v>
      </c>
    </row>
    <row r="1583" spans="1:15" x14ac:dyDescent="0.3">
      <c r="A1583" t="s">
        <v>1619</v>
      </c>
      <c r="B1583">
        <v>20250208</v>
      </c>
      <c r="C1583" t="s">
        <v>44</v>
      </c>
      <c r="D1583" t="s">
        <v>21</v>
      </c>
      <c r="E1583" t="s">
        <v>51</v>
      </c>
      <c r="F1583">
        <v>43402</v>
      </c>
      <c r="G1583">
        <v>54292</v>
      </c>
      <c r="H1583">
        <v>2707</v>
      </c>
      <c r="I1583">
        <v>155</v>
      </c>
      <c r="J1583">
        <v>406</v>
      </c>
      <c r="K1583">
        <v>214</v>
      </c>
      <c r="L1583">
        <v>0</v>
      </c>
      <c r="M1583">
        <v>527</v>
      </c>
      <c r="N1583" s="1">
        <v>0.61458333333333337</v>
      </c>
      <c r="O1583" t="s">
        <v>38</v>
      </c>
    </row>
    <row r="1584" spans="1:15" x14ac:dyDescent="0.3">
      <c r="A1584" t="s">
        <v>1620</v>
      </c>
      <c r="B1584">
        <v>20250319</v>
      </c>
      <c r="C1584" t="s">
        <v>16</v>
      </c>
      <c r="D1584" t="s">
        <v>36</v>
      </c>
      <c r="E1584" t="s">
        <v>46</v>
      </c>
      <c r="F1584">
        <v>47035</v>
      </c>
      <c r="G1584">
        <v>50872</v>
      </c>
      <c r="H1584">
        <v>4635</v>
      </c>
      <c r="I1584">
        <v>122</v>
      </c>
      <c r="J1584">
        <v>173</v>
      </c>
      <c r="K1584">
        <v>738</v>
      </c>
      <c r="L1584">
        <v>36513</v>
      </c>
      <c r="M1584">
        <v>329</v>
      </c>
      <c r="N1584" s="1">
        <v>0.47916666666666669</v>
      </c>
      <c r="O1584" t="s">
        <v>47</v>
      </c>
    </row>
    <row r="1585" spans="1:15" x14ac:dyDescent="0.3">
      <c r="A1585" t="s">
        <v>1621</v>
      </c>
      <c r="B1585">
        <v>20251007</v>
      </c>
      <c r="C1585" t="s">
        <v>16</v>
      </c>
      <c r="D1585" t="s">
        <v>21</v>
      </c>
      <c r="E1585" t="s">
        <v>41</v>
      </c>
      <c r="F1585">
        <v>21823</v>
      </c>
      <c r="G1585">
        <v>24891</v>
      </c>
      <c r="H1585">
        <v>1500</v>
      </c>
      <c r="I1585">
        <v>162</v>
      </c>
      <c r="J1585">
        <v>48</v>
      </c>
      <c r="K1585">
        <v>48</v>
      </c>
      <c r="L1585">
        <v>16488</v>
      </c>
      <c r="M1585">
        <v>94</v>
      </c>
      <c r="N1585" s="1">
        <v>0.85416666666666663</v>
      </c>
      <c r="O1585" t="s">
        <v>53</v>
      </c>
    </row>
    <row r="1586" spans="1:15" x14ac:dyDescent="0.3">
      <c r="A1586" t="s">
        <v>1622</v>
      </c>
      <c r="B1586">
        <v>20250714</v>
      </c>
      <c r="C1586" t="s">
        <v>16</v>
      </c>
      <c r="D1586" t="s">
        <v>36</v>
      </c>
      <c r="E1586" t="s">
        <v>41</v>
      </c>
      <c r="F1586">
        <v>23276</v>
      </c>
      <c r="G1586">
        <v>31546</v>
      </c>
      <c r="H1586">
        <v>2109</v>
      </c>
      <c r="I1586">
        <v>200</v>
      </c>
      <c r="J1586">
        <v>65</v>
      </c>
      <c r="K1586">
        <v>302</v>
      </c>
      <c r="L1586">
        <v>17850</v>
      </c>
      <c r="M1586">
        <v>278</v>
      </c>
      <c r="N1586" s="1">
        <v>0.77083333333333337</v>
      </c>
      <c r="O1586" t="s">
        <v>53</v>
      </c>
    </row>
    <row r="1587" spans="1:15" x14ac:dyDescent="0.3">
      <c r="A1587" t="s">
        <v>1623</v>
      </c>
      <c r="B1587">
        <v>20250302</v>
      </c>
      <c r="C1587" t="s">
        <v>25</v>
      </c>
      <c r="D1587" t="s">
        <v>21</v>
      </c>
      <c r="E1587" t="s">
        <v>18</v>
      </c>
      <c r="F1587">
        <v>6040</v>
      </c>
      <c r="G1587">
        <v>9742</v>
      </c>
      <c r="H1587">
        <v>418</v>
      </c>
      <c r="I1587">
        <v>54</v>
      </c>
      <c r="J1587">
        <v>82</v>
      </c>
      <c r="K1587">
        <v>34</v>
      </c>
      <c r="L1587">
        <v>0</v>
      </c>
      <c r="M1587">
        <v>45</v>
      </c>
      <c r="N1587" s="1">
        <v>0.90625</v>
      </c>
      <c r="O1587" t="s">
        <v>30</v>
      </c>
    </row>
    <row r="1588" spans="1:15" x14ac:dyDescent="0.3">
      <c r="A1588" t="s">
        <v>1624</v>
      </c>
      <c r="B1588">
        <v>20250520</v>
      </c>
      <c r="C1588" t="s">
        <v>32</v>
      </c>
      <c r="D1588" t="s">
        <v>17</v>
      </c>
      <c r="E1588" t="s">
        <v>51</v>
      </c>
      <c r="F1588">
        <v>15427</v>
      </c>
      <c r="G1588">
        <v>20104</v>
      </c>
      <c r="H1588">
        <v>475</v>
      </c>
      <c r="I1588">
        <v>19</v>
      </c>
      <c r="J1588">
        <v>23</v>
      </c>
      <c r="K1588">
        <v>74</v>
      </c>
      <c r="L1588">
        <v>0</v>
      </c>
      <c r="M1588">
        <v>162</v>
      </c>
      <c r="N1588" s="1">
        <v>0.40625</v>
      </c>
      <c r="O1588" t="s">
        <v>30</v>
      </c>
    </row>
    <row r="1589" spans="1:15" x14ac:dyDescent="0.3">
      <c r="A1589" t="s">
        <v>1625</v>
      </c>
      <c r="B1589">
        <v>20250620</v>
      </c>
      <c r="C1589" t="s">
        <v>16</v>
      </c>
      <c r="D1589" t="s">
        <v>17</v>
      </c>
      <c r="E1589" t="s">
        <v>46</v>
      </c>
      <c r="F1589">
        <v>52146</v>
      </c>
      <c r="G1589">
        <v>68817</v>
      </c>
      <c r="H1589">
        <v>6086</v>
      </c>
      <c r="I1589">
        <v>306</v>
      </c>
      <c r="J1589">
        <v>511</v>
      </c>
      <c r="K1589">
        <v>229</v>
      </c>
      <c r="L1589">
        <v>43307</v>
      </c>
      <c r="M1589">
        <v>739</v>
      </c>
      <c r="N1589" s="1">
        <v>0.48958333333333331</v>
      </c>
      <c r="O1589" t="s">
        <v>47</v>
      </c>
    </row>
    <row r="1590" spans="1:15" x14ac:dyDescent="0.3">
      <c r="A1590" t="s">
        <v>1626</v>
      </c>
      <c r="B1590">
        <v>20260115</v>
      </c>
      <c r="C1590" t="s">
        <v>44</v>
      </c>
      <c r="D1590" t="s">
        <v>33</v>
      </c>
      <c r="E1590" t="s">
        <v>46</v>
      </c>
      <c r="F1590">
        <v>24166</v>
      </c>
      <c r="G1590">
        <v>36264</v>
      </c>
      <c r="H1590">
        <v>1244</v>
      </c>
      <c r="I1590">
        <v>155</v>
      </c>
      <c r="J1590">
        <v>58</v>
      </c>
      <c r="K1590">
        <v>179</v>
      </c>
      <c r="L1590">
        <v>14909</v>
      </c>
      <c r="M1590">
        <v>204</v>
      </c>
      <c r="N1590" s="1">
        <v>0.42708333333333331</v>
      </c>
      <c r="O1590" t="s">
        <v>30</v>
      </c>
    </row>
    <row r="1591" spans="1:15" x14ac:dyDescent="0.3">
      <c r="A1591" t="s">
        <v>1627</v>
      </c>
      <c r="B1591">
        <v>20250119</v>
      </c>
      <c r="C1591" t="s">
        <v>44</v>
      </c>
      <c r="D1591" t="s">
        <v>36</v>
      </c>
      <c r="E1591" t="s">
        <v>26</v>
      </c>
      <c r="F1591">
        <v>87201</v>
      </c>
      <c r="G1591">
        <v>110023</v>
      </c>
      <c r="H1591">
        <v>7277</v>
      </c>
      <c r="I1591">
        <v>546</v>
      </c>
      <c r="J1591">
        <v>1309</v>
      </c>
      <c r="K1591">
        <v>155</v>
      </c>
      <c r="L1591">
        <v>61174</v>
      </c>
      <c r="M1591">
        <v>1068</v>
      </c>
      <c r="N1591" s="1">
        <v>0.89583333333333337</v>
      </c>
      <c r="O1591" t="s">
        <v>30</v>
      </c>
    </row>
    <row r="1592" spans="1:15" x14ac:dyDescent="0.3">
      <c r="A1592" t="s">
        <v>1628</v>
      </c>
      <c r="B1592">
        <v>20260505</v>
      </c>
      <c r="C1592" t="s">
        <v>32</v>
      </c>
      <c r="D1592" t="s">
        <v>68</v>
      </c>
      <c r="E1592" t="s">
        <v>46</v>
      </c>
      <c r="F1592">
        <v>12747</v>
      </c>
      <c r="G1592">
        <v>17580</v>
      </c>
      <c r="H1592">
        <v>1409</v>
      </c>
      <c r="I1592">
        <v>52</v>
      </c>
      <c r="J1592">
        <v>280</v>
      </c>
      <c r="K1592">
        <v>95</v>
      </c>
      <c r="L1592">
        <v>8063</v>
      </c>
      <c r="M1592">
        <v>84</v>
      </c>
      <c r="N1592" s="1">
        <v>0.70833333333333337</v>
      </c>
      <c r="O1592" t="s">
        <v>30</v>
      </c>
    </row>
    <row r="1593" spans="1:15" x14ac:dyDescent="0.3">
      <c r="A1593" t="s">
        <v>1629</v>
      </c>
      <c r="B1593">
        <v>20260201</v>
      </c>
      <c r="C1593" t="s">
        <v>32</v>
      </c>
      <c r="D1593" t="s">
        <v>61</v>
      </c>
      <c r="E1593" t="s">
        <v>41</v>
      </c>
      <c r="F1593">
        <v>12633</v>
      </c>
      <c r="G1593">
        <v>14586</v>
      </c>
      <c r="H1593">
        <v>670</v>
      </c>
      <c r="I1593">
        <v>74</v>
      </c>
      <c r="J1593">
        <v>52</v>
      </c>
      <c r="K1593">
        <v>88</v>
      </c>
      <c r="L1593">
        <v>5975</v>
      </c>
      <c r="M1593">
        <v>56</v>
      </c>
      <c r="N1593" s="1">
        <v>0.59375</v>
      </c>
      <c r="O1593" t="s">
        <v>30</v>
      </c>
    </row>
    <row r="1594" spans="1:15" x14ac:dyDescent="0.3">
      <c r="A1594" t="s">
        <v>1630</v>
      </c>
      <c r="B1594">
        <v>20250829</v>
      </c>
      <c r="C1594" t="s">
        <v>16</v>
      </c>
      <c r="D1594" t="s">
        <v>36</v>
      </c>
      <c r="E1594" t="s">
        <v>22</v>
      </c>
      <c r="F1594">
        <v>19235</v>
      </c>
      <c r="G1594">
        <v>21134</v>
      </c>
      <c r="H1594">
        <v>1417</v>
      </c>
      <c r="I1594">
        <v>80</v>
      </c>
      <c r="J1594">
        <v>194</v>
      </c>
      <c r="K1594">
        <v>37</v>
      </c>
      <c r="L1594">
        <v>0</v>
      </c>
      <c r="M1594">
        <v>21</v>
      </c>
      <c r="N1594" s="1">
        <v>0.83333333333333337</v>
      </c>
      <c r="O1594" t="s">
        <v>27</v>
      </c>
    </row>
    <row r="1595" spans="1:15" x14ac:dyDescent="0.3">
      <c r="A1595" t="s">
        <v>1631</v>
      </c>
      <c r="B1595">
        <v>20250915</v>
      </c>
      <c r="C1595" t="s">
        <v>16</v>
      </c>
      <c r="D1595" t="s">
        <v>21</v>
      </c>
      <c r="E1595" t="s">
        <v>46</v>
      </c>
      <c r="F1595">
        <v>27782</v>
      </c>
      <c r="G1595">
        <v>45522</v>
      </c>
      <c r="H1595">
        <v>1168</v>
      </c>
      <c r="I1595">
        <v>41</v>
      </c>
      <c r="J1595">
        <v>50</v>
      </c>
      <c r="K1595">
        <v>83</v>
      </c>
      <c r="L1595">
        <v>14398</v>
      </c>
      <c r="M1595">
        <v>299</v>
      </c>
      <c r="N1595" s="1">
        <v>0.9375</v>
      </c>
      <c r="O1595" t="s">
        <v>27</v>
      </c>
    </row>
    <row r="1596" spans="1:15" x14ac:dyDescent="0.3">
      <c r="A1596" t="s">
        <v>1632</v>
      </c>
      <c r="B1596">
        <v>20250911</v>
      </c>
      <c r="C1596" t="s">
        <v>16</v>
      </c>
      <c r="D1596" t="s">
        <v>33</v>
      </c>
      <c r="E1596" t="s">
        <v>51</v>
      </c>
      <c r="F1596">
        <v>18144</v>
      </c>
      <c r="G1596">
        <v>27246</v>
      </c>
      <c r="H1596">
        <v>851</v>
      </c>
      <c r="I1596">
        <v>44</v>
      </c>
      <c r="J1596">
        <v>32</v>
      </c>
      <c r="K1596">
        <v>95</v>
      </c>
      <c r="L1596">
        <v>0</v>
      </c>
      <c r="M1596">
        <v>33</v>
      </c>
      <c r="N1596" s="1">
        <v>0.375</v>
      </c>
      <c r="O1596" t="s">
        <v>53</v>
      </c>
    </row>
    <row r="1597" spans="1:15" x14ac:dyDescent="0.3">
      <c r="A1597" t="s">
        <v>1633</v>
      </c>
      <c r="B1597">
        <v>20250605</v>
      </c>
      <c r="C1597" t="s">
        <v>16</v>
      </c>
      <c r="D1597" t="s">
        <v>17</v>
      </c>
      <c r="E1597" t="s">
        <v>51</v>
      </c>
      <c r="F1597">
        <v>32993</v>
      </c>
      <c r="G1597">
        <v>51319</v>
      </c>
      <c r="H1597">
        <v>1468</v>
      </c>
      <c r="I1597">
        <v>81</v>
      </c>
      <c r="J1597">
        <v>201</v>
      </c>
      <c r="K1597">
        <v>32</v>
      </c>
      <c r="L1597">
        <v>0</v>
      </c>
      <c r="M1597">
        <v>517</v>
      </c>
      <c r="N1597" s="1">
        <v>0.8125</v>
      </c>
      <c r="O1597" t="s">
        <v>49</v>
      </c>
    </row>
    <row r="1598" spans="1:15" x14ac:dyDescent="0.3">
      <c r="A1598" t="s">
        <v>1634</v>
      </c>
      <c r="B1598">
        <v>20260215</v>
      </c>
      <c r="C1598" t="s">
        <v>25</v>
      </c>
      <c r="D1598" t="s">
        <v>21</v>
      </c>
      <c r="E1598" t="s">
        <v>46</v>
      </c>
      <c r="F1598">
        <v>40708</v>
      </c>
      <c r="G1598">
        <v>45936</v>
      </c>
      <c r="H1598">
        <v>1874</v>
      </c>
      <c r="I1598">
        <v>105</v>
      </c>
      <c r="J1598">
        <v>81</v>
      </c>
      <c r="K1598">
        <v>114</v>
      </c>
      <c r="L1598">
        <v>35772</v>
      </c>
      <c r="M1598">
        <v>41</v>
      </c>
      <c r="N1598" s="1">
        <v>0.60416666666666663</v>
      </c>
      <c r="O1598" t="s">
        <v>47</v>
      </c>
    </row>
    <row r="1599" spans="1:15" x14ac:dyDescent="0.3">
      <c r="A1599" t="s">
        <v>1635</v>
      </c>
      <c r="B1599">
        <v>20250421</v>
      </c>
      <c r="C1599" t="s">
        <v>32</v>
      </c>
      <c r="E1599" t="s">
        <v>51</v>
      </c>
      <c r="F1599">
        <v>11710</v>
      </c>
      <c r="G1599">
        <v>18681</v>
      </c>
      <c r="H1599">
        <v>970</v>
      </c>
      <c r="I1599">
        <v>121</v>
      </c>
      <c r="J1599">
        <v>150</v>
      </c>
      <c r="K1599">
        <v>130</v>
      </c>
      <c r="L1599">
        <v>0</v>
      </c>
      <c r="M1599">
        <v>94</v>
      </c>
      <c r="N1599" s="1">
        <v>0.73958333333333337</v>
      </c>
      <c r="O1599" t="s">
        <v>38</v>
      </c>
    </row>
    <row r="1600" spans="1:15" x14ac:dyDescent="0.3">
      <c r="A1600" t="s">
        <v>1636</v>
      </c>
      <c r="B1600">
        <v>20260214</v>
      </c>
      <c r="C1600" t="s">
        <v>16</v>
      </c>
      <c r="D1600" t="s">
        <v>33</v>
      </c>
      <c r="E1600" t="s">
        <v>18</v>
      </c>
      <c r="F1600">
        <v>14188</v>
      </c>
      <c r="G1600">
        <v>18715</v>
      </c>
      <c r="H1600">
        <v>1411</v>
      </c>
      <c r="I1600">
        <v>44</v>
      </c>
      <c r="J1600">
        <v>268</v>
      </c>
      <c r="K1600">
        <v>225</v>
      </c>
      <c r="L1600">
        <v>0</v>
      </c>
      <c r="M1600">
        <v>35</v>
      </c>
      <c r="N1600" s="1">
        <v>0.57291666666666663</v>
      </c>
      <c r="O1600" t="s">
        <v>19</v>
      </c>
    </row>
    <row r="1601" spans="1:15" x14ac:dyDescent="0.3">
      <c r="A1601" t="s">
        <v>1637</v>
      </c>
      <c r="B1601">
        <v>20250627</v>
      </c>
      <c r="C1601" t="s">
        <v>16</v>
      </c>
      <c r="D1601" t="s">
        <v>17</v>
      </c>
      <c r="E1601" t="s">
        <v>51</v>
      </c>
      <c r="F1601">
        <v>29390</v>
      </c>
      <c r="G1601">
        <v>45788</v>
      </c>
      <c r="H1601">
        <v>3485</v>
      </c>
      <c r="I1601">
        <v>370</v>
      </c>
      <c r="J1601">
        <v>105</v>
      </c>
      <c r="K1601">
        <v>220</v>
      </c>
      <c r="L1601">
        <v>0</v>
      </c>
      <c r="M1601">
        <v>460</v>
      </c>
      <c r="N1601" s="1">
        <v>0.82291666666666663</v>
      </c>
      <c r="O1601" t="s">
        <v>53</v>
      </c>
    </row>
    <row r="1602" spans="1:15" x14ac:dyDescent="0.3">
      <c r="A1602" t="s">
        <v>1638</v>
      </c>
      <c r="B1602">
        <v>20250429</v>
      </c>
      <c r="C1602" t="s">
        <v>32</v>
      </c>
      <c r="D1602" t="s">
        <v>21</v>
      </c>
      <c r="E1602" t="s">
        <v>26</v>
      </c>
      <c r="F1602">
        <v>5840</v>
      </c>
      <c r="G1602">
        <v>7348</v>
      </c>
      <c r="H1602">
        <v>396</v>
      </c>
      <c r="I1602">
        <v>32</v>
      </c>
      <c r="J1602">
        <v>31</v>
      </c>
      <c r="K1602">
        <v>14</v>
      </c>
      <c r="L1602">
        <v>4900</v>
      </c>
      <c r="M1602">
        <v>89</v>
      </c>
      <c r="N1602" s="1">
        <v>0.29166666666666669</v>
      </c>
      <c r="O1602" t="s">
        <v>42</v>
      </c>
    </row>
    <row r="1603" spans="1:15" x14ac:dyDescent="0.3">
      <c r="A1603" t="s">
        <v>1639</v>
      </c>
      <c r="B1603">
        <v>20260503</v>
      </c>
      <c r="C1603" t="s">
        <v>16</v>
      </c>
      <c r="D1603" t="s">
        <v>68</v>
      </c>
      <c r="E1603" t="s">
        <v>46</v>
      </c>
      <c r="F1603">
        <v>27534</v>
      </c>
      <c r="G1603">
        <v>29994</v>
      </c>
      <c r="H1603">
        <v>3027</v>
      </c>
      <c r="I1603">
        <v>264</v>
      </c>
      <c r="J1603">
        <v>441</v>
      </c>
      <c r="K1603">
        <v>362</v>
      </c>
      <c r="L1603">
        <v>14931</v>
      </c>
      <c r="M1603">
        <v>114</v>
      </c>
      <c r="N1603" s="1">
        <v>0.53125</v>
      </c>
      <c r="O1603" t="s">
        <v>38</v>
      </c>
    </row>
    <row r="1604" spans="1:15" x14ac:dyDescent="0.3">
      <c r="A1604" t="s">
        <v>1640</v>
      </c>
      <c r="B1604">
        <v>20250602</v>
      </c>
      <c r="C1604" t="s">
        <v>16</v>
      </c>
      <c r="D1604" t="s">
        <v>17</v>
      </c>
      <c r="E1604" t="s">
        <v>18</v>
      </c>
      <c r="F1604">
        <v>61580</v>
      </c>
      <c r="G1604">
        <v>70785</v>
      </c>
      <c r="H1604">
        <v>2182</v>
      </c>
      <c r="I1604">
        <v>202</v>
      </c>
      <c r="J1604">
        <v>100</v>
      </c>
      <c r="K1604">
        <v>69</v>
      </c>
      <c r="L1604">
        <v>0</v>
      </c>
      <c r="M1604">
        <v>942</v>
      </c>
      <c r="N1604" s="1">
        <v>0.45833333333333331</v>
      </c>
      <c r="O1604" t="s">
        <v>23</v>
      </c>
    </row>
    <row r="1605" spans="1:15" x14ac:dyDescent="0.3">
      <c r="A1605" t="s">
        <v>1641</v>
      </c>
      <c r="B1605">
        <v>20260510</v>
      </c>
      <c r="C1605" t="s">
        <v>16</v>
      </c>
      <c r="D1605" t="s">
        <v>68</v>
      </c>
      <c r="E1605" t="s">
        <v>41</v>
      </c>
      <c r="F1605">
        <v>40337</v>
      </c>
      <c r="G1605">
        <v>49086</v>
      </c>
      <c r="H1605">
        <v>1936</v>
      </c>
      <c r="I1605">
        <v>100</v>
      </c>
      <c r="J1605">
        <v>232</v>
      </c>
      <c r="K1605">
        <v>234</v>
      </c>
      <c r="L1605">
        <v>27953</v>
      </c>
      <c r="M1605">
        <v>581</v>
      </c>
      <c r="N1605" s="1">
        <v>0.59375</v>
      </c>
      <c r="O1605" t="s">
        <v>38</v>
      </c>
    </row>
    <row r="1606" spans="1:15" x14ac:dyDescent="0.3">
      <c r="A1606" t="s">
        <v>1642</v>
      </c>
      <c r="B1606">
        <v>20260725</v>
      </c>
      <c r="C1606" t="s">
        <v>25</v>
      </c>
      <c r="D1606" t="s">
        <v>21</v>
      </c>
      <c r="E1606" t="s">
        <v>41</v>
      </c>
      <c r="F1606">
        <v>11385</v>
      </c>
      <c r="G1606">
        <v>15869</v>
      </c>
      <c r="H1606">
        <v>575</v>
      </c>
      <c r="I1606">
        <v>44</v>
      </c>
      <c r="J1606">
        <v>69</v>
      </c>
      <c r="K1606">
        <v>13</v>
      </c>
      <c r="L1606">
        <v>8025</v>
      </c>
      <c r="M1606">
        <v>192</v>
      </c>
      <c r="N1606" s="1">
        <v>0.625</v>
      </c>
      <c r="O1606" t="s">
        <v>53</v>
      </c>
    </row>
    <row r="1607" spans="1:15" x14ac:dyDescent="0.3">
      <c r="A1607" t="s">
        <v>1643</v>
      </c>
      <c r="B1607">
        <v>20260614</v>
      </c>
      <c r="C1607" t="s">
        <v>16</v>
      </c>
      <c r="E1607" t="s">
        <v>41</v>
      </c>
      <c r="F1607">
        <v>52620</v>
      </c>
      <c r="G1607">
        <v>72047</v>
      </c>
      <c r="H1607">
        <v>2096</v>
      </c>
      <c r="I1607">
        <v>71</v>
      </c>
      <c r="J1607">
        <v>370</v>
      </c>
      <c r="K1607">
        <v>155</v>
      </c>
      <c r="L1607">
        <v>34369</v>
      </c>
      <c r="M1607">
        <v>83</v>
      </c>
      <c r="N1607" s="1">
        <v>0.875</v>
      </c>
      <c r="O1607" t="s">
        <v>53</v>
      </c>
    </row>
    <row r="1608" spans="1:15" x14ac:dyDescent="0.3">
      <c r="A1608" t="s">
        <v>1644</v>
      </c>
      <c r="B1608">
        <v>20260430</v>
      </c>
      <c r="C1608" t="s">
        <v>16</v>
      </c>
      <c r="D1608" t="s">
        <v>33</v>
      </c>
      <c r="E1608" t="s">
        <v>41</v>
      </c>
      <c r="F1608">
        <v>22096</v>
      </c>
      <c r="G1608">
        <v>32724</v>
      </c>
      <c r="H1608">
        <v>704</v>
      </c>
      <c r="I1608">
        <v>90</v>
      </c>
      <c r="J1608">
        <v>45</v>
      </c>
      <c r="K1608">
        <v>83</v>
      </c>
      <c r="L1608">
        <v>19132</v>
      </c>
      <c r="M1608">
        <v>263</v>
      </c>
      <c r="N1608" s="1">
        <v>0.80208333333333337</v>
      </c>
      <c r="O1608" t="s">
        <v>23</v>
      </c>
    </row>
    <row r="1609" spans="1:15" x14ac:dyDescent="0.3">
      <c r="A1609" t="s">
        <v>1645</v>
      </c>
      <c r="B1609">
        <v>20250824</v>
      </c>
      <c r="C1609" t="s">
        <v>16</v>
      </c>
      <c r="D1609" t="s">
        <v>68</v>
      </c>
      <c r="E1609" t="s">
        <v>46</v>
      </c>
      <c r="F1609">
        <v>18938</v>
      </c>
      <c r="G1609">
        <v>26009</v>
      </c>
      <c r="H1609">
        <v>514</v>
      </c>
      <c r="I1609">
        <v>51</v>
      </c>
      <c r="J1609">
        <v>53</v>
      </c>
      <c r="K1609">
        <v>11</v>
      </c>
      <c r="L1609">
        <v>9853</v>
      </c>
      <c r="M1609">
        <v>336</v>
      </c>
      <c r="N1609" s="1">
        <v>0.35416666666666669</v>
      </c>
      <c r="O1609" t="s">
        <v>30</v>
      </c>
    </row>
    <row r="1610" spans="1:15" x14ac:dyDescent="0.3">
      <c r="A1610" t="s">
        <v>1646</v>
      </c>
      <c r="B1610">
        <v>20250208</v>
      </c>
      <c r="C1610" t="s">
        <v>32</v>
      </c>
      <c r="D1610" t="s">
        <v>29</v>
      </c>
      <c r="E1610" t="s">
        <v>51</v>
      </c>
      <c r="F1610">
        <v>12222</v>
      </c>
      <c r="G1610">
        <v>14927</v>
      </c>
      <c r="H1610">
        <v>820</v>
      </c>
      <c r="I1610">
        <v>77</v>
      </c>
      <c r="J1610">
        <v>64</v>
      </c>
      <c r="K1610">
        <v>67</v>
      </c>
      <c r="L1610">
        <v>0</v>
      </c>
      <c r="M1610">
        <v>182</v>
      </c>
      <c r="N1610" s="1">
        <v>0.5</v>
      </c>
      <c r="O1610" t="s">
        <v>19</v>
      </c>
    </row>
    <row r="1611" spans="1:15" x14ac:dyDescent="0.3">
      <c r="A1611" t="s">
        <v>1647</v>
      </c>
      <c r="B1611">
        <v>20251126</v>
      </c>
      <c r="C1611" t="s">
        <v>44</v>
      </c>
      <c r="D1611" t="s">
        <v>17</v>
      </c>
      <c r="E1611" t="s">
        <v>18</v>
      </c>
      <c r="F1611">
        <v>31490</v>
      </c>
      <c r="G1611">
        <v>38461</v>
      </c>
      <c r="H1611">
        <v>1656</v>
      </c>
      <c r="I1611">
        <v>180</v>
      </c>
      <c r="J1611">
        <v>103</v>
      </c>
      <c r="K1611">
        <v>252</v>
      </c>
      <c r="L1611">
        <v>0</v>
      </c>
      <c r="M1611">
        <v>209</v>
      </c>
      <c r="N1611" s="1">
        <v>0.48958333333333331</v>
      </c>
      <c r="O1611" t="s">
        <v>47</v>
      </c>
    </row>
    <row r="1612" spans="1:15" x14ac:dyDescent="0.3">
      <c r="A1612" t="s">
        <v>960</v>
      </c>
      <c r="B1612">
        <v>20250830</v>
      </c>
      <c r="C1612" t="s">
        <v>25</v>
      </c>
      <c r="D1612" t="s">
        <v>61</v>
      </c>
      <c r="E1612" t="s">
        <v>51</v>
      </c>
      <c r="F1612">
        <v>5948</v>
      </c>
      <c r="G1612">
        <v>6753</v>
      </c>
      <c r="H1612">
        <v>507</v>
      </c>
      <c r="I1612">
        <v>21</v>
      </c>
      <c r="J1612">
        <v>45</v>
      </c>
      <c r="K1612">
        <v>39</v>
      </c>
      <c r="L1612">
        <v>0</v>
      </c>
      <c r="M1612">
        <v>9</v>
      </c>
      <c r="N1612" s="1">
        <v>0.71875</v>
      </c>
      <c r="O1612" t="s">
        <v>34</v>
      </c>
    </row>
    <row r="1613" spans="1:15" x14ac:dyDescent="0.3">
      <c r="A1613" t="s">
        <v>1648</v>
      </c>
      <c r="B1613">
        <v>20250827</v>
      </c>
      <c r="C1613" t="s">
        <v>25</v>
      </c>
      <c r="D1613" t="s">
        <v>36</v>
      </c>
      <c r="E1613" t="s">
        <v>46</v>
      </c>
      <c r="F1613">
        <v>18219</v>
      </c>
      <c r="G1613">
        <v>23298</v>
      </c>
      <c r="H1613">
        <v>2047</v>
      </c>
      <c r="I1613">
        <v>275</v>
      </c>
      <c r="J1613">
        <v>117</v>
      </c>
      <c r="K1613">
        <v>208</v>
      </c>
      <c r="L1613">
        <v>11811</v>
      </c>
      <c r="M1613">
        <v>31</v>
      </c>
      <c r="N1613" s="1">
        <v>0.55208333333333337</v>
      </c>
      <c r="O1613" t="s">
        <v>42</v>
      </c>
    </row>
    <row r="1614" spans="1:15" x14ac:dyDescent="0.3">
      <c r="A1614" t="s">
        <v>1649</v>
      </c>
      <c r="B1614">
        <v>20250502</v>
      </c>
      <c r="C1614" t="s">
        <v>32</v>
      </c>
      <c r="D1614" t="s">
        <v>36</v>
      </c>
      <c r="E1614" t="s">
        <v>51</v>
      </c>
      <c r="F1614">
        <v>4146</v>
      </c>
      <c r="G1614">
        <v>5048</v>
      </c>
      <c r="H1614">
        <v>149</v>
      </c>
      <c r="I1614">
        <v>20</v>
      </c>
      <c r="J1614">
        <v>10</v>
      </c>
      <c r="K1614">
        <v>23</v>
      </c>
      <c r="L1614">
        <v>0</v>
      </c>
      <c r="M1614">
        <v>52</v>
      </c>
      <c r="N1614" s="1">
        <v>0.33333333333333331</v>
      </c>
      <c r="O1614" t="s">
        <v>53</v>
      </c>
    </row>
    <row r="1615" spans="1:15" x14ac:dyDescent="0.3">
      <c r="A1615" t="s">
        <v>1650</v>
      </c>
      <c r="B1615">
        <v>20260710</v>
      </c>
      <c r="C1615" t="s">
        <v>40</v>
      </c>
      <c r="D1615" t="s">
        <v>29</v>
      </c>
      <c r="E1615" t="s">
        <v>51</v>
      </c>
      <c r="F1615">
        <v>9860</v>
      </c>
      <c r="G1615">
        <v>15339</v>
      </c>
      <c r="H1615">
        <v>785</v>
      </c>
      <c r="I1615">
        <v>64</v>
      </c>
      <c r="J1615">
        <v>93</v>
      </c>
      <c r="K1615">
        <v>30</v>
      </c>
      <c r="L1615">
        <v>0</v>
      </c>
      <c r="M1615">
        <v>117</v>
      </c>
      <c r="N1615" s="1">
        <v>0.71875</v>
      </c>
      <c r="O1615" t="s">
        <v>19</v>
      </c>
    </row>
    <row r="1616" spans="1:15" x14ac:dyDescent="0.3">
      <c r="A1616" t="s">
        <v>1651</v>
      </c>
      <c r="B1616">
        <v>20251029</v>
      </c>
      <c r="C1616" t="s">
        <v>40</v>
      </c>
      <c r="D1616" t="s">
        <v>68</v>
      </c>
      <c r="E1616" t="s">
        <v>41</v>
      </c>
      <c r="F1616">
        <v>26651</v>
      </c>
      <c r="G1616">
        <v>33407</v>
      </c>
      <c r="H1616">
        <v>1736</v>
      </c>
      <c r="I1616">
        <v>191</v>
      </c>
      <c r="J1616">
        <v>332</v>
      </c>
      <c r="K1616">
        <v>259</v>
      </c>
      <c r="L1616">
        <v>22227</v>
      </c>
      <c r="M1616">
        <v>369</v>
      </c>
      <c r="N1616" s="1">
        <v>0.32291666666666669</v>
      </c>
      <c r="O1616" t="s">
        <v>42</v>
      </c>
    </row>
    <row r="1617" spans="1:15" x14ac:dyDescent="0.3">
      <c r="A1617" t="s">
        <v>1652</v>
      </c>
      <c r="B1617">
        <v>20250217</v>
      </c>
      <c r="C1617" t="s">
        <v>25</v>
      </c>
      <c r="D1617" t="s">
        <v>17</v>
      </c>
      <c r="E1617" t="s">
        <v>46</v>
      </c>
      <c r="F1617">
        <v>6478</v>
      </c>
      <c r="G1617">
        <v>8365</v>
      </c>
      <c r="H1617">
        <v>729</v>
      </c>
      <c r="I1617">
        <v>21</v>
      </c>
      <c r="J1617">
        <v>113</v>
      </c>
      <c r="K1617">
        <v>25</v>
      </c>
      <c r="L1617">
        <v>4655</v>
      </c>
      <c r="M1617">
        <v>66</v>
      </c>
      <c r="N1617" s="1">
        <v>0.38541666666666669</v>
      </c>
      <c r="O1617" t="s">
        <v>38</v>
      </c>
    </row>
    <row r="1618" spans="1:15" x14ac:dyDescent="0.3">
      <c r="A1618" t="s">
        <v>1653</v>
      </c>
      <c r="B1618">
        <v>20251108</v>
      </c>
      <c r="C1618" t="s">
        <v>44</v>
      </c>
      <c r="D1618" t="s">
        <v>61</v>
      </c>
      <c r="E1618" t="s">
        <v>18</v>
      </c>
      <c r="F1618">
        <v>52997</v>
      </c>
      <c r="G1618">
        <v>68268</v>
      </c>
      <c r="H1618">
        <v>2346</v>
      </c>
      <c r="I1618">
        <v>201</v>
      </c>
      <c r="J1618">
        <v>228</v>
      </c>
      <c r="K1618">
        <v>119</v>
      </c>
      <c r="L1618">
        <v>0</v>
      </c>
      <c r="M1618">
        <v>273</v>
      </c>
      <c r="N1618" s="1">
        <v>0.79166666666666663</v>
      </c>
      <c r="O1618" t="s">
        <v>53</v>
      </c>
    </row>
    <row r="1619" spans="1:15" x14ac:dyDescent="0.3">
      <c r="A1619" t="s">
        <v>1654</v>
      </c>
      <c r="B1619">
        <v>20250731</v>
      </c>
      <c r="C1619" t="s">
        <v>16</v>
      </c>
      <c r="D1619" t="s">
        <v>68</v>
      </c>
      <c r="E1619" t="s">
        <v>18</v>
      </c>
      <c r="F1619">
        <v>7740</v>
      </c>
      <c r="G1619">
        <v>10092</v>
      </c>
      <c r="H1619">
        <v>486</v>
      </c>
      <c r="I1619">
        <v>59</v>
      </c>
      <c r="J1619">
        <v>21</v>
      </c>
      <c r="K1619">
        <v>76</v>
      </c>
      <c r="L1619">
        <v>0</v>
      </c>
      <c r="M1619">
        <v>48</v>
      </c>
      <c r="N1619" s="1">
        <v>0.88541666666666663</v>
      </c>
    </row>
    <row r="1620" spans="1:15" x14ac:dyDescent="0.3">
      <c r="A1620" t="s">
        <v>1655</v>
      </c>
      <c r="B1620">
        <v>20250619</v>
      </c>
      <c r="C1620" t="s">
        <v>16</v>
      </c>
      <c r="D1620" t="s">
        <v>21</v>
      </c>
      <c r="E1620" t="s">
        <v>26</v>
      </c>
      <c r="F1620">
        <v>25084</v>
      </c>
      <c r="G1620">
        <v>31343</v>
      </c>
      <c r="H1620">
        <v>2584</v>
      </c>
      <c r="I1620">
        <v>255</v>
      </c>
      <c r="J1620">
        <v>308</v>
      </c>
      <c r="K1620">
        <v>162</v>
      </c>
      <c r="L1620">
        <v>9317</v>
      </c>
      <c r="M1620">
        <v>42</v>
      </c>
      <c r="N1620" s="1">
        <v>0.3125</v>
      </c>
    </row>
    <row r="1621" spans="1:15" x14ac:dyDescent="0.3">
      <c r="A1621" t="s">
        <v>1656</v>
      </c>
      <c r="B1621">
        <v>20250321</v>
      </c>
      <c r="C1621" t="s">
        <v>32</v>
      </c>
      <c r="D1621" t="s">
        <v>36</v>
      </c>
      <c r="E1621" t="s">
        <v>41</v>
      </c>
      <c r="F1621">
        <v>6953</v>
      </c>
      <c r="G1621">
        <v>10663</v>
      </c>
      <c r="H1621">
        <v>436</v>
      </c>
      <c r="I1621">
        <v>28</v>
      </c>
      <c r="J1621">
        <v>41</v>
      </c>
      <c r="K1621">
        <v>36</v>
      </c>
      <c r="L1621">
        <v>5827</v>
      </c>
      <c r="M1621">
        <v>53</v>
      </c>
      <c r="N1621" s="1">
        <v>0.75</v>
      </c>
      <c r="O1621" t="s">
        <v>42</v>
      </c>
    </row>
    <row r="1622" spans="1:15" x14ac:dyDescent="0.3">
      <c r="A1622" t="s">
        <v>1657</v>
      </c>
      <c r="B1622">
        <v>20260615</v>
      </c>
      <c r="C1622" t="s">
        <v>25</v>
      </c>
      <c r="D1622" t="s">
        <v>17</v>
      </c>
      <c r="E1622" t="s">
        <v>26</v>
      </c>
      <c r="F1622">
        <v>11035</v>
      </c>
      <c r="G1622">
        <v>16885</v>
      </c>
      <c r="H1622">
        <v>468</v>
      </c>
      <c r="I1622">
        <v>63</v>
      </c>
      <c r="J1622">
        <v>44</v>
      </c>
      <c r="K1622">
        <v>51</v>
      </c>
      <c r="L1622">
        <v>4087</v>
      </c>
      <c r="M1622">
        <v>148</v>
      </c>
      <c r="N1622" s="1">
        <v>0.65625</v>
      </c>
      <c r="O1622" t="s">
        <v>42</v>
      </c>
    </row>
    <row r="1623" spans="1:15" x14ac:dyDescent="0.3">
      <c r="A1623" t="s">
        <v>1658</v>
      </c>
      <c r="B1623">
        <v>20260405</v>
      </c>
      <c r="C1623" t="s">
        <v>25</v>
      </c>
      <c r="D1623" t="s">
        <v>61</v>
      </c>
      <c r="E1623" t="s">
        <v>41</v>
      </c>
      <c r="F1623">
        <v>18575</v>
      </c>
      <c r="G1623">
        <v>20373</v>
      </c>
      <c r="H1623">
        <v>1646</v>
      </c>
      <c r="I1623">
        <v>211</v>
      </c>
      <c r="J1623">
        <v>247</v>
      </c>
      <c r="K1623">
        <v>173</v>
      </c>
      <c r="L1623">
        <v>9431</v>
      </c>
      <c r="M1623">
        <v>126</v>
      </c>
      <c r="N1623" s="1">
        <v>0.69791666666666663</v>
      </c>
      <c r="O1623" t="s">
        <v>47</v>
      </c>
    </row>
    <row r="1624" spans="1:15" x14ac:dyDescent="0.3">
      <c r="A1624" t="s">
        <v>1659</v>
      </c>
      <c r="B1624">
        <v>20250418</v>
      </c>
      <c r="C1624" t="s">
        <v>44</v>
      </c>
      <c r="D1624" t="s">
        <v>36</v>
      </c>
      <c r="E1624" t="s">
        <v>46</v>
      </c>
      <c r="F1624">
        <v>22327</v>
      </c>
      <c r="G1624">
        <v>35745</v>
      </c>
      <c r="H1624">
        <v>2237</v>
      </c>
      <c r="I1624">
        <v>98</v>
      </c>
      <c r="J1624">
        <v>265</v>
      </c>
      <c r="K1624">
        <v>331</v>
      </c>
      <c r="L1624">
        <v>13254</v>
      </c>
      <c r="M1624">
        <v>38</v>
      </c>
      <c r="N1624" s="1">
        <v>0.5</v>
      </c>
      <c r="O1624" t="s">
        <v>38</v>
      </c>
    </row>
    <row r="1625" spans="1:15" x14ac:dyDescent="0.3">
      <c r="A1625" t="s">
        <v>1660</v>
      </c>
      <c r="B1625">
        <v>20260705</v>
      </c>
      <c r="C1625" t="s">
        <v>40</v>
      </c>
      <c r="D1625" t="s">
        <v>21</v>
      </c>
      <c r="E1625" t="s">
        <v>51</v>
      </c>
      <c r="F1625">
        <v>8770</v>
      </c>
      <c r="G1625">
        <v>12107</v>
      </c>
      <c r="H1625">
        <v>801</v>
      </c>
      <c r="I1625">
        <v>33</v>
      </c>
      <c r="J1625">
        <v>40</v>
      </c>
      <c r="K1625">
        <v>80</v>
      </c>
      <c r="L1625">
        <v>0</v>
      </c>
      <c r="M1625">
        <v>103</v>
      </c>
      <c r="N1625" s="1">
        <v>0.92708333333333337</v>
      </c>
      <c r="O1625" t="s">
        <v>42</v>
      </c>
    </row>
    <row r="1626" spans="1:15" x14ac:dyDescent="0.3">
      <c r="A1626" t="s">
        <v>1661</v>
      </c>
      <c r="B1626">
        <v>20260831</v>
      </c>
      <c r="C1626" t="s">
        <v>16</v>
      </c>
      <c r="D1626" t="s">
        <v>29</v>
      </c>
      <c r="E1626" t="s">
        <v>41</v>
      </c>
      <c r="F1626">
        <v>49113</v>
      </c>
      <c r="G1626">
        <v>54916</v>
      </c>
      <c r="H1626">
        <v>5372</v>
      </c>
      <c r="I1626">
        <v>171</v>
      </c>
      <c r="J1626">
        <v>856</v>
      </c>
      <c r="K1626">
        <v>766</v>
      </c>
      <c r="L1626">
        <v>19448</v>
      </c>
      <c r="M1626">
        <v>57</v>
      </c>
      <c r="N1626" s="1">
        <v>0.73958333333333337</v>
      </c>
      <c r="O1626" t="s">
        <v>47</v>
      </c>
    </row>
    <row r="1627" spans="1:15" x14ac:dyDescent="0.3">
      <c r="A1627" t="s">
        <v>1662</v>
      </c>
      <c r="B1627">
        <v>20260313</v>
      </c>
      <c r="C1627" t="s">
        <v>16</v>
      </c>
      <c r="D1627" t="s">
        <v>61</v>
      </c>
      <c r="E1627" t="s">
        <v>51</v>
      </c>
      <c r="F1627">
        <v>21450</v>
      </c>
      <c r="G1627">
        <v>25187</v>
      </c>
      <c r="H1627">
        <v>1719</v>
      </c>
      <c r="I1627">
        <v>205</v>
      </c>
      <c r="J1627">
        <v>198</v>
      </c>
      <c r="K1627">
        <v>173</v>
      </c>
      <c r="L1627">
        <v>0</v>
      </c>
      <c r="M1627">
        <v>62</v>
      </c>
      <c r="N1627" s="1">
        <v>0.53125</v>
      </c>
      <c r="O1627" t="s">
        <v>19</v>
      </c>
    </row>
    <row r="1628" spans="1:15" x14ac:dyDescent="0.3">
      <c r="A1628" t="s">
        <v>1663</v>
      </c>
      <c r="B1628">
        <v>20250812</v>
      </c>
      <c r="C1628" t="s">
        <v>25</v>
      </c>
      <c r="D1628" t="s">
        <v>68</v>
      </c>
      <c r="E1628" t="s">
        <v>51</v>
      </c>
      <c r="F1628">
        <v>10200</v>
      </c>
      <c r="G1628">
        <v>16109</v>
      </c>
      <c r="H1628">
        <v>898</v>
      </c>
      <c r="I1628">
        <v>102</v>
      </c>
      <c r="J1628">
        <v>129</v>
      </c>
      <c r="K1628">
        <v>87</v>
      </c>
      <c r="L1628">
        <v>0</v>
      </c>
      <c r="M1628">
        <v>95</v>
      </c>
      <c r="N1628" s="1">
        <v>0.84375</v>
      </c>
      <c r="O1628" t="s">
        <v>49</v>
      </c>
    </row>
    <row r="1629" spans="1:15" x14ac:dyDescent="0.3">
      <c r="A1629" t="s">
        <v>1664</v>
      </c>
      <c r="B1629">
        <v>20250416</v>
      </c>
      <c r="C1629" t="s">
        <v>40</v>
      </c>
      <c r="D1629" t="s">
        <v>68</v>
      </c>
      <c r="E1629" t="s">
        <v>41</v>
      </c>
      <c r="F1629">
        <v>12892</v>
      </c>
      <c r="G1629">
        <v>19983</v>
      </c>
      <c r="H1629">
        <v>913</v>
      </c>
      <c r="I1629">
        <v>123</v>
      </c>
      <c r="J1629">
        <v>135</v>
      </c>
      <c r="K1629">
        <v>37</v>
      </c>
      <c r="L1629">
        <v>7347</v>
      </c>
      <c r="M1629">
        <v>151</v>
      </c>
      <c r="N1629" s="1">
        <v>0.61458333333333337</v>
      </c>
      <c r="O1629" t="s">
        <v>19</v>
      </c>
    </row>
    <row r="1630" spans="1:15" x14ac:dyDescent="0.3">
      <c r="A1630" t="s">
        <v>1422</v>
      </c>
      <c r="B1630">
        <v>20250222</v>
      </c>
      <c r="C1630" t="s">
        <v>32</v>
      </c>
      <c r="D1630" t="s">
        <v>33</v>
      </c>
      <c r="E1630" t="s">
        <v>41</v>
      </c>
      <c r="F1630">
        <v>14655</v>
      </c>
      <c r="G1630">
        <v>19834</v>
      </c>
      <c r="H1630">
        <v>468</v>
      </c>
      <c r="I1630">
        <v>57</v>
      </c>
      <c r="J1630">
        <v>43</v>
      </c>
      <c r="K1630">
        <v>64</v>
      </c>
      <c r="L1630">
        <v>9455</v>
      </c>
      <c r="M1630">
        <v>29</v>
      </c>
      <c r="N1630" s="1">
        <v>0.30208333333333331</v>
      </c>
      <c r="O1630" t="s">
        <v>34</v>
      </c>
    </row>
    <row r="1631" spans="1:15" x14ac:dyDescent="0.3">
      <c r="A1631" t="s">
        <v>1665</v>
      </c>
      <c r="B1631">
        <v>20250310</v>
      </c>
      <c r="C1631" t="s">
        <v>40</v>
      </c>
      <c r="D1631" t="s">
        <v>33</v>
      </c>
      <c r="E1631" t="s">
        <v>18</v>
      </c>
      <c r="F1631">
        <v>10146</v>
      </c>
      <c r="G1631">
        <v>11448</v>
      </c>
      <c r="H1631">
        <v>758</v>
      </c>
      <c r="I1631">
        <v>81</v>
      </c>
      <c r="J1631">
        <v>81</v>
      </c>
      <c r="K1631">
        <v>114</v>
      </c>
      <c r="L1631">
        <v>0</v>
      </c>
      <c r="M1631">
        <v>108</v>
      </c>
      <c r="N1631" s="1">
        <v>0.8125</v>
      </c>
      <c r="O1631" t="s">
        <v>49</v>
      </c>
    </row>
    <row r="1632" spans="1:15" x14ac:dyDescent="0.3">
      <c r="A1632" t="s">
        <v>1666</v>
      </c>
      <c r="B1632">
        <v>20250916</v>
      </c>
      <c r="C1632" t="s">
        <v>32</v>
      </c>
      <c r="D1632" t="s">
        <v>21</v>
      </c>
      <c r="E1632" t="s">
        <v>46</v>
      </c>
      <c r="F1632">
        <v>25396</v>
      </c>
      <c r="G1632">
        <v>28974</v>
      </c>
      <c r="H1632">
        <v>1373</v>
      </c>
      <c r="I1632">
        <v>44</v>
      </c>
      <c r="J1632">
        <v>269</v>
      </c>
      <c r="K1632">
        <v>106</v>
      </c>
      <c r="L1632">
        <v>22389</v>
      </c>
      <c r="M1632">
        <v>202</v>
      </c>
      <c r="N1632" s="1">
        <v>0.875</v>
      </c>
      <c r="O1632" t="s">
        <v>27</v>
      </c>
    </row>
    <row r="1633" spans="1:15" x14ac:dyDescent="0.3">
      <c r="A1633" t="s">
        <v>1667</v>
      </c>
      <c r="B1633">
        <v>20250806</v>
      </c>
      <c r="C1633" t="s">
        <v>16</v>
      </c>
      <c r="D1633" t="s">
        <v>21</v>
      </c>
      <c r="E1633" t="s">
        <v>46</v>
      </c>
      <c r="F1633">
        <v>19159</v>
      </c>
      <c r="G1633">
        <v>22643</v>
      </c>
      <c r="H1633">
        <v>2290</v>
      </c>
      <c r="I1633">
        <v>220</v>
      </c>
      <c r="J1633">
        <v>273</v>
      </c>
      <c r="K1633">
        <v>178</v>
      </c>
      <c r="L1633">
        <v>12788</v>
      </c>
      <c r="M1633">
        <v>335</v>
      </c>
      <c r="N1633" s="1">
        <v>0.54166666666666663</v>
      </c>
      <c r="O1633" t="s">
        <v>49</v>
      </c>
    </row>
    <row r="1634" spans="1:15" x14ac:dyDescent="0.3">
      <c r="A1634" t="s">
        <v>1668</v>
      </c>
      <c r="B1634">
        <v>20250529</v>
      </c>
      <c r="C1634" t="s">
        <v>32</v>
      </c>
      <c r="D1634" t="s">
        <v>29</v>
      </c>
      <c r="E1634" t="s">
        <v>22</v>
      </c>
      <c r="F1634">
        <v>2681</v>
      </c>
      <c r="G1634">
        <v>4278</v>
      </c>
      <c r="H1634">
        <v>146</v>
      </c>
      <c r="I1634">
        <v>7</v>
      </c>
      <c r="J1634">
        <v>21</v>
      </c>
      <c r="K1634">
        <v>4</v>
      </c>
      <c r="L1634">
        <v>0</v>
      </c>
      <c r="M1634">
        <v>24</v>
      </c>
      <c r="N1634" s="1">
        <v>0.70833333333333337</v>
      </c>
      <c r="O1634" t="s">
        <v>27</v>
      </c>
    </row>
    <row r="1635" spans="1:15" x14ac:dyDescent="0.3">
      <c r="A1635" t="s">
        <v>1669</v>
      </c>
      <c r="B1635">
        <v>20250426</v>
      </c>
      <c r="C1635" t="s">
        <v>16</v>
      </c>
      <c r="D1635" t="s">
        <v>21</v>
      </c>
      <c r="E1635" t="s">
        <v>41</v>
      </c>
      <c r="F1635">
        <v>12631</v>
      </c>
      <c r="G1635">
        <v>16934</v>
      </c>
      <c r="H1635">
        <v>1008</v>
      </c>
      <c r="I1635">
        <v>48</v>
      </c>
      <c r="J1635">
        <v>111</v>
      </c>
      <c r="K1635">
        <v>108</v>
      </c>
      <c r="L1635">
        <v>9357</v>
      </c>
      <c r="M1635">
        <v>217</v>
      </c>
      <c r="N1635" s="1">
        <v>0.51041666666666663</v>
      </c>
      <c r="O1635" t="s">
        <v>19</v>
      </c>
    </row>
    <row r="1636" spans="1:15" x14ac:dyDescent="0.3">
      <c r="A1636" t="s">
        <v>1670</v>
      </c>
      <c r="B1636">
        <v>20260126</v>
      </c>
      <c r="C1636" t="s">
        <v>16</v>
      </c>
      <c r="D1636" t="s">
        <v>36</v>
      </c>
      <c r="E1636" t="s">
        <v>22</v>
      </c>
      <c r="F1636">
        <v>10249</v>
      </c>
      <c r="G1636">
        <v>12322</v>
      </c>
      <c r="H1636">
        <v>347</v>
      </c>
      <c r="I1636">
        <v>15</v>
      </c>
      <c r="J1636">
        <v>64</v>
      </c>
      <c r="K1636">
        <v>13</v>
      </c>
      <c r="L1636">
        <v>0</v>
      </c>
      <c r="M1636">
        <v>78</v>
      </c>
      <c r="N1636" s="1">
        <v>0.80208333333333337</v>
      </c>
      <c r="O1636" t="s">
        <v>38</v>
      </c>
    </row>
    <row r="1637" spans="1:15" x14ac:dyDescent="0.3">
      <c r="A1637" t="s">
        <v>1671</v>
      </c>
      <c r="B1637">
        <v>20250205</v>
      </c>
      <c r="C1637" t="s">
        <v>16</v>
      </c>
      <c r="D1637" t="s">
        <v>17</v>
      </c>
      <c r="E1637" t="s">
        <v>41</v>
      </c>
      <c r="F1637">
        <v>26541</v>
      </c>
      <c r="G1637">
        <v>36705</v>
      </c>
      <c r="H1637">
        <v>3075</v>
      </c>
      <c r="I1637">
        <v>346</v>
      </c>
      <c r="J1637">
        <v>231</v>
      </c>
      <c r="K1637">
        <v>178</v>
      </c>
      <c r="L1637">
        <v>23360</v>
      </c>
      <c r="M1637">
        <v>92</v>
      </c>
      <c r="N1637" s="1">
        <v>0.39583333333333331</v>
      </c>
      <c r="O1637" t="s">
        <v>42</v>
      </c>
    </row>
    <row r="1638" spans="1:15" x14ac:dyDescent="0.3">
      <c r="A1638" t="s">
        <v>1672</v>
      </c>
      <c r="B1638">
        <v>20250325</v>
      </c>
      <c r="C1638" t="s">
        <v>40</v>
      </c>
      <c r="D1638" t="s">
        <v>17</v>
      </c>
      <c r="E1638" t="s">
        <v>41</v>
      </c>
      <c r="F1638">
        <v>29516</v>
      </c>
      <c r="G1638">
        <v>34978</v>
      </c>
      <c r="H1638">
        <v>1010</v>
      </c>
      <c r="I1638">
        <v>34</v>
      </c>
      <c r="J1638">
        <v>187</v>
      </c>
      <c r="K1638">
        <v>66</v>
      </c>
      <c r="L1638">
        <v>20645</v>
      </c>
      <c r="M1638">
        <v>184</v>
      </c>
      <c r="N1638" s="1">
        <v>0.3125</v>
      </c>
      <c r="O1638" t="s">
        <v>30</v>
      </c>
    </row>
    <row r="1639" spans="1:15" x14ac:dyDescent="0.3">
      <c r="A1639" t="s">
        <v>1673</v>
      </c>
      <c r="B1639">
        <v>20250505</v>
      </c>
      <c r="C1639" t="s">
        <v>16</v>
      </c>
      <c r="D1639" t="s">
        <v>33</v>
      </c>
      <c r="E1639" t="s">
        <v>46</v>
      </c>
      <c r="F1639">
        <v>34047</v>
      </c>
      <c r="G1639">
        <v>52428</v>
      </c>
      <c r="H1639">
        <v>2780</v>
      </c>
      <c r="I1639">
        <v>252</v>
      </c>
      <c r="J1639">
        <v>235</v>
      </c>
      <c r="K1639">
        <v>301</v>
      </c>
      <c r="L1639">
        <v>12640</v>
      </c>
      <c r="M1639">
        <v>339</v>
      </c>
      <c r="N1639" s="1">
        <v>0.57291666666666663</v>
      </c>
      <c r="O1639" t="s">
        <v>42</v>
      </c>
    </row>
    <row r="1640" spans="1:15" x14ac:dyDescent="0.3">
      <c r="A1640" t="s">
        <v>1674</v>
      </c>
      <c r="B1640">
        <v>20250704</v>
      </c>
      <c r="C1640" t="s">
        <v>44</v>
      </c>
      <c r="D1640" t="s">
        <v>61</v>
      </c>
      <c r="E1640" t="s">
        <v>46</v>
      </c>
      <c r="F1640">
        <v>53060</v>
      </c>
      <c r="G1640">
        <v>76251</v>
      </c>
      <c r="H1640">
        <v>3706</v>
      </c>
      <c r="I1640">
        <v>513</v>
      </c>
      <c r="J1640">
        <v>507</v>
      </c>
      <c r="K1640">
        <v>589</v>
      </c>
      <c r="L1640">
        <v>28939</v>
      </c>
      <c r="M1640">
        <v>352</v>
      </c>
      <c r="N1640" s="1">
        <v>0.53125</v>
      </c>
      <c r="O1640" t="s">
        <v>27</v>
      </c>
    </row>
    <row r="1641" spans="1:15" x14ac:dyDescent="0.3">
      <c r="A1641" t="s">
        <v>1675</v>
      </c>
      <c r="B1641">
        <v>20251126</v>
      </c>
      <c r="C1641" t="s">
        <v>16</v>
      </c>
      <c r="E1641" t="s">
        <v>41</v>
      </c>
      <c r="F1641">
        <v>53415</v>
      </c>
      <c r="G1641">
        <v>73744</v>
      </c>
      <c r="H1641">
        <v>2517</v>
      </c>
      <c r="I1641">
        <v>103</v>
      </c>
      <c r="J1641">
        <v>87</v>
      </c>
      <c r="K1641">
        <v>58</v>
      </c>
      <c r="L1641">
        <v>23974</v>
      </c>
      <c r="M1641">
        <v>919</v>
      </c>
      <c r="N1641" s="1">
        <v>0.64583333333333337</v>
      </c>
      <c r="O1641" t="s">
        <v>19</v>
      </c>
    </row>
    <row r="1642" spans="1:15" x14ac:dyDescent="0.3">
      <c r="A1642" t="s">
        <v>1676</v>
      </c>
      <c r="B1642">
        <v>20251123</v>
      </c>
      <c r="C1642" t="s">
        <v>16</v>
      </c>
      <c r="D1642" t="s">
        <v>68</v>
      </c>
      <c r="E1642" t="s">
        <v>41</v>
      </c>
      <c r="F1642">
        <v>35910</v>
      </c>
      <c r="G1642">
        <v>44301</v>
      </c>
      <c r="H1642">
        <v>2109</v>
      </c>
      <c r="I1642">
        <v>56</v>
      </c>
      <c r="J1642">
        <v>218</v>
      </c>
      <c r="K1642">
        <v>132</v>
      </c>
      <c r="L1642">
        <v>20366</v>
      </c>
      <c r="M1642">
        <v>444</v>
      </c>
      <c r="N1642" s="1">
        <v>0.91666666666666663</v>
      </c>
      <c r="O1642" t="s">
        <v>23</v>
      </c>
    </row>
    <row r="1643" spans="1:15" x14ac:dyDescent="0.3">
      <c r="A1643" t="s">
        <v>1677</v>
      </c>
      <c r="B1643">
        <v>20260717</v>
      </c>
      <c r="C1643" t="s">
        <v>16</v>
      </c>
      <c r="D1643" t="s">
        <v>21</v>
      </c>
      <c r="E1643" t="s">
        <v>41</v>
      </c>
      <c r="F1643">
        <v>26904</v>
      </c>
      <c r="G1643">
        <v>42646</v>
      </c>
      <c r="H1643">
        <v>2327</v>
      </c>
      <c r="I1643">
        <v>299</v>
      </c>
      <c r="J1643">
        <v>96</v>
      </c>
      <c r="K1643">
        <v>343</v>
      </c>
      <c r="L1643">
        <v>12935</v>
      </c>
      <c r="M1643">
        <v>231</v>
      </c>
      <c r="N1643" s="1">
        <v>0.60416666666666663</v>
      </c>
      <c r="O1643" t="s">
        <v>47</v>
      </c>
    </row>
    <row r="1644" spans="1:15" x14ac:dyDescent="0.3">
      <c r="A1644" t="s">
        <v>1678</v>
      </c>
      <c r="B1644">
        <v>20260521</v>
      </c>
      <c r="C1644" t="s">
        <v>44</v>
      </c>
      <c r="D1644" t="s">
        <v>68</v>
      </c>
      <c r="E1644" t="s">
        <v>51</v>
      </c>
      <c r="F1644">
        <v>73398</v>
      </c>
      <c r="G1644">
        <v>87210</v>
      </c>
      <c r="H1644">
        <v>3118</v>
      </c>
      <c r="I1644">
        <v>92</v>
      </c>
      <c r="J1644">
        <v>352</v>
      </c>
      <c r="K1644">
        <v>210</v>
      </c>
      <c r="L1644">
        <v>0</v>
      </c>
      <c r="M1644">
        <v>874</v>
      </c>
      <c r="N1644" s="1">
        <v>0.77083333333333337</v>
      </c>
      <c r="O1644" t="s">
        <v>19</v>
      </c>
    </row>
    <row r="1645" spans="1:15" x14ac:dyDescent="0.3">
      <c r="A1645" t="s">
        <v>1679</v>
      </c>
      <c r="B1645">
        <v>20251101</v>
      </c>
      <c r="C1645" t="s">
        <v>40</v>
      </c>
      <c r="D1645" t="s">
        <v>61</v>
      </c>
      <c r="E1645" t="s">
        <v>18</v>
      </c>
      <c r="F1645">
        <v>21282</v>
      </c>
      <c r="G1645">
        <v>25150</v>
      </c>
      <c r="H1645">
        <v>1052</v>
      </c>
      <c r="I1645">
        <v>57</v>
      </c>
      <c r="J1645">
        <v>194</v>
      </c>
      <c r="K1645">
        <v>104</v>
      </c>
      <c r="L1645">
        <v>0</v>
      </c>
      <c r="M1645">
        <v>327</v>
      </c>
      <c r="N1645" s="1">
        <v>0.5</v>
      </c>
      <c r="O1645" t="s">
        <v>30</v>
      </c>
    </row>
    <row r="1646" spans="1:15" x14ac:dyDescent="0.3">
      <c r="A1646" t="s">
        <v>1680</v>
      </c>
      <c r="B1646">
        <v>20260724</v>
      </c>
      <c r="C1646" t="s">
        <v>40</v>
      </c>
      <c r="D1646" t="s">
        <v>17</v>
      </c>
      <c r="E1646" t="s">
        <v>46</v>
      </c>
      <c r="F1646">
        <v>9989</v>
      </c>
      <c r="G1646">
        <v>14637</v>
      </c>
      <c r="H1646">
        <v>355</v>
      </c>
      <c r="I1646">
        <v>17</v>
      </c>
      <c r="J1646">
        <v>60</v>
      </c>
      <c r="K1646">
        <v>42</v>
      </c>
      <c r="L1646">
        <v>4870</v>
      </c>
      <c r="M1646">
        <v>106</v>
      </c>
      <c r="N1646" s="1">
        <v>0.89583333333333337</v>
      </c>
      <c r="O1646" t="s">
        <v>30</v>
      </c>
    </row>
    <row r="1647" spans="1:15" x14ac:dyDescent="0.3">
      <c r="A1647" t="s">
        <v>1681</v>
      </c>
      <c r="B1647">
        <v>20250511</v>
      </c>
      <c r="C1647" t="s">
        <v>16</v>
      </c>
      <c r="D1647" t="s">
        <v>17</v>
      </c>
      <c r="E1647" t="s">
        <v>26</v>
      </c>
      <c r="F1647">
        <v>76771</v>
      </c>
      <c r="G1647">
        <v>90176</v>
      </c>
      <c r="H1647">
        <v>3295</v>
      </c>
      <c r="I1647">
        <v>160</v>
      </c>
      <c r="J1647">
        <v>567</v>
      </c>
      <c r="K1647">
        <v>231</v>
      </c>
      <c r="L1647">
        <v>31947</v>
      </c>
      <c r="M1647">
        <v>1023</v>
      </c>
      <c r="N1647" s="1">
        <v>0.3125</v>
      </c>
      <c r="O1647" t="s">
        <v>42</v>
      </c>
    </row>
    <row r="1648" spans="1:15" x14ac:dyDescent="0.3">
      <c r="A1648" t="s">
        <v>1682</v>
      </c>
      <c r="B1648">
        <v>20250506</v>
      </c>
      <c r="C1648" t="s">
        <v>16</v>
      </c>
      <c r="D1648" t="s">
        <v>21</v>
      </c>
      <c r="E1648" t="s">
        <v>18</v>
      </c>
      <c r="F1648">
        <v>14033</v>
      </c>
      <c r="G1648">
        <v>20107</v>
      </c>
      <c r="H1648">
        <v>1121</v>
      </c>
      <c r="I1648">
        <v>53</v>
      </c>
      <c r="J1648">
        <v>53</v>
      </c>
      <c r="K1648">
        <v>105</v>
      </c>
      <c r="L1648">
        <v>0</v>
      </c>
      <c r="M1648">
        <v>133</v>
      </c>
      <c r="N1648" s="1">
        <v>0.6875</v>
      </c>
    </row>
    <row r="1649" spans="1:15" x14ac:dyDescent="0.3">
      <c r="A1649" t="s">
        <v>1683</v>
      </c>
      <c r="B1649">
        <v>20250930</v>
      </c>
      <c r="C1649" t="s">
        <v>16</v>
      </c>
      <c r="D1649" t="s">
        <v>61</v>
      </c>
      <c r="E1649" t="s">
        <v>41</v>
      </c>
      <c r="F1649">
        <v>41514</v>
      </c>
      <c r="G1649">
        <v>58366</v>
      </c>
      <c r="H1649">
        <v>3813</v>
      </c>
      <c r="I1649">
        <v>232</v>
      </c>
      <c r="J1649">
        <v>327</v>
      </c>
      <c r="K1649">
        <v>520</v>
      </c>
      <c r="L1649">
        <v>15543</v>
      </c>
      <c r="M1649">
        <v>421</v>
      </c>
      <c r="N1649" s="1">
        <v>0.72916666666666663</v>
      </c>
      <c r="O1649" t="s">
        <v>23</v>
      </c>
    </row>
    <row r="1650" spans="1:15" x14ac:dyDescent="0.3">
      <c r="A1650" t="s">
        <v>1684</v>
      </c>
      <c r="B1650">
        <v>20260102</v>
      </c>
      <c r="C1650" t="s">
        <v>16</v>
      </c>
      <c r="D1650" t="s">
        <v>29</v>
      </c>
      <c r="E1650" t="s">
        <v>18</v>
      </c>
      <c r="F1650">
        <v>44368</v>
      </c>
      <c r="G1650">
        <v>48260</v>
      </c>
      <c r="H1650">
        <v>3094</v>
      </c>
      <c r="I1650">
        <v>251</v>
      </c>
      <c r="J1650">
        <v>254</v>
      </c>
      <c r="K1650">
        <v>145</v>
      </c>
      <c r="L1650">
        <v>0</v>
      </c>
      <c r="M1650">
        <v>345</v>
      </c>
      <c r="N1650" s="1">
        <v>0.625</v>
      </c>
      <c r="O1650" t="s">
        <v>30</v>
      </c>
    </row>
    <row r="1651" spans="1:15" x14ac:dyDescent="0.3">
      <c r="A1651" t="s">
        <v>1685</v>
      </c>
      <c r="B1651">
        <v>20260223</v>
      </c>
      <c r="C1651" t="s">
        <v>44</v>
      </c>
      <c r="D1651" t="s">
        <v>17</v>
      </c>
      <c r="E1651" t="s">
        <v>46</v>
      </c>
      <c r="F1651">
        <v>162337</v>
      </c>
      <c r="G1651">
        <v>184736</v>
      </c>
      <c r="H1651">
        <v>6989</v>
      </c>
      <c r="I1651">
        <v>402</v>
      </c>
      <c r="J1651">
        <v>796</v>
      </c>
      <c r="K1651">
        <v>270</v>
      </c>
      <c r="L1651">
        <v>72335</v>
      </c>
      <c r="M1651">
        <v>1481</v>
      </c>
      <c r="N1651" s="1">
        <v>0.89583333333333337</v>
      </c>
    </row>
    <row r="1652" spans="1:15" x14ac:dyDescent="0.3">
      <c r="A1652" t="s">
        <v>1686</v>
      </c>
      <c r="B1652">
        <v>20260930</v>
      </c>
      <c r="C1652" t="s">
        <v>40</v>
      </c>
      <c r="D1652" t="s">
        <v>29</v>
      </c>
      <c r="E1652" t="s">
        <v>18</v>
      </c>
      <c r="F1652">
        <v>10168</v>
      </c>
      <c r="G1652">
        <v>11357</v>
      </c>
      <c r="H1652">
        <v>445</v>
      </c>
      <c r="J1652">
        <v>83</v>
      </c>
      <c r="K1652">
        <v>41</v>
      </c>
      <c r="L1652">
        <v>0</v>
      </c>
      <c r="M1652">
        <v>109</v>
      </c>
      <c r="N1652" s="1">
        <v>0.80208333333333337</v>
      </c>
      <c r="O1652" t="s">
        <v>23</v>
      </c>
    </row>
    <row r="1653" spans="1:15" x14ac:dyDescent="0.3">
      <c r="A1653" t="s">
        <v>1687</v>
      </c>
      <c r="B1653">
        <v>20250815</v>
      </c>
      <c r="C1653" t="s">
        <v>16</v>
      </c>
      <c r="D1653" t="s">
        <v>21</v>
      </c>
      <c r="E1653" t="s">
        <v>26</v>
      </c>
      <c r="F1653">
        <v>28513</v>
      </c>
      <c r="G1653">
        <v>35681</v>
      </c>
      <c r="H1653">
        <v>2590</v>
      </c>
      <c r="I1653">
        <v>106</v>
      </c>
      <c r="J1653">
        <v>429</v>
      </c>
      <c r="K1653">
        <v>367</v>
      </c>
      <c r="L1653">
        <v>22801</v>
      </c>
      <c r="M1653">
        <v>366</v>
      </c>
      <c r="N1653" s="1">
        <v>0.70833333333333337</v>
      </c>
    </row>
    <row r="1654" spans="1:15" x14ac:dyDescent="0.3">
      <c r="A1654" t="s">
        <v>1688</v>
      </c>
      <c r="B1654">
        <v>20260526</v>
      </c>
      <c r="C1654" t="s">
        <v>44</v>
      </c>
      <c r="D1654" t="s">
        <v>68</v>
      </c>
      <c r="E1654" t="s">
        <v>18</v>
      </c>
      <c r="F1654">
        <v>24225</v>
      </c>
      <c r="G1654">
        <v>38826</v>
      </c>
      <c r="H1654">
        <v>1599</v>
      </c>
      <c r="J1654">
        <v>84</v>
      </c>
      <c r="K1654">
        <v>95</v>
      </c>
      <c r="L1654">
        <v>0</v>
      </c>
      <c r="M1654">
        <v>202</v>
      </c>
      <c r="N1654" s="1">
        <v>0.65625</v>
      </c>
      <c r="O1654" t="s">
        <v>30</v>
      </c>
    </row>
    <row r="1655" spans="1:15" x14ac:dyDescent="0.3">
      <c r="A1655" t="s">
        <v>1689</v>
      </c>
      <c r="B1655">
        <v>20250325</v>
      </c>
      <c r="C1655" t="s">
        <v>25</v>
      </c>
      <c r="D1655" t="s">
        <v>21</v>
      </c>
      <c r="E1655" t="s">
        <v>26</v>
      </c>
      <c r="F1655">
        <v>7790</v>
      </c>
      <c r="G1655">
        <v>9839</v>
      </c>
      <c r="H1655">
        <v>919</v>
      </c>
      <c r="I1655">
        <v>109</v>
      </c>
      <c r="J1655">
        <v>50</v>
      </c>
      <c r="K1655">
        <v>81</v>
      </c>
      <c r="L1655">
        <v>2953</v>
      </c>
      <c r="M1655">
        <v>104</v>
      </c>
      <c r="N1655" s="1">
        <v>0.78125</v>
      </c>
      <c r="O1655" t="s">
        <v>27</v>
      </c>
    </row>
    <row r="1656" spans="1:15" x14ac:dyDescent="0.3">
      <c r="A1656" t="s">
        <v>1690</v>
      </c>
      <c r="B1656">
        <v>20250727</v>
      </c>
      <c r="C1656" t="s">
        <v>40</v>
      </c>
      <c r="D1656" t="s">
        <v>29</v>
      </c>
      <c r="E1656" t="s">
        <v>18</v>
      </c>
      <c r="F1656">
        <v>8785</v>
      </c>
      <c r="G1656">
        <v>12416</v>
      </c>
      <c r="H1656">
        <v>454</v>
      </c>
      <c r="I1656">
        <v>27</v>
      </c>
      <c r="J1656">
        <v>20</v>
      </c>
      <c r="K1656">
        <v>13</v>
      </c>
      <c r="L1656">
        <v>0</v>
      </c>
      <c r="M1656">
        <v>97</v>
      </c>
      <c r="N1656" s="1">
        <v>0.40625</v>
      </c>
      <c r="O1656" t="s">
        <v>30</v>
      </c>
    </row>
    <row r="1657" spans="1:15" x14ac:dyDescent="0.3">
      <c r="A1657" t="s">
        <v>1691</v>
      </c>
      <c r="B1657">
        <v>20251119</v>
      </c>
      <c r="C1657" t="s">
        <v>25</v>
      </c>
      <c r="D1657" t="s">
        <v>36</v>
      </c>
      <c r="E1657" t="s">
        <v>41</v>
      </c>
      <c r="F1657">
        <v>12084</v>
      </c>
      <c r="G1657">
        <v>12820</v>
      </c>
      <c r="H1657">
        <v>701</v>
      </c>
      <c r="J1657">
        <v>108</v>
      </c>
      <c r="K1657">
        <v>56</v>
      </c>
      <c r="L1657">
        <v>9939</v>
      </c>
      <c r="M1657">
        <v>156</v>
      </c>
      <c r="N1657" s="1">
        <v>0.33333333333333331</v>
      </c>
      <c r="O1657" t="s">
        <v>30</v>
      </c>
    </row>
    <row r="1658" spans="1:15" x14ac:dyDescent="0.3">
      <c r="A1658" t="s">
        <v>1692</v>
      </c>
      <c r="B1658">
        <v>20250611</v>
      </c>
      <c r="C1658" t="s">
        <v>44</v>
      </c>
      <c r="D1658" t="s">
        <v>36</v>
      </c>
      <c r="E1658" t="s">
        <v>26</v>
      </c>
      <c r="F1658">
        <v>62281</v>
      </c>
      <c r="G1658">
        <v>81508</v>
      </c>
      <c r="H1658">
        <v>1558</v>
      </c>
      <c r="I1658">
        <v>102</v>
      </c>
      <c r="J1658">
        <v>262</v>
      </c>
      <c r="K1658">
        <v>111</v>
      </c>
      <c r="L1658">
        <v>25662</v>
      </c>
      <c r="M1658">
        <v>813</v>
      </c>
      <c r="N1658" s="1">
        <v>0.66666666666666663</v>
      </c>
      <c r="O1658" t="s">
        <v>47</v>
      </c>
    </row>
    <row r="1659" spans="1:15" x14ac:dyDescent="0.3">
      <c r="A1659" t="s">
        <v>1693</v>
      </c>
      <c r="B1659">
        <v>20251128</v>
      </c>
      <c r="C1659" t="s">
        <v>32</v>
      </c>
      <c r="D1659" t="s">
        <v>33</v>
      </c>
      <c r="E1659" t="s">
        <v>22</v>
      </c>
      <c r="F1659">
        <v>9865</v>
      </c>
      <c r="G1659">
        <v>15670</v>
      </c>
      <c r="H1659">
        <v>258</v>
      </c>
      <c r="I1659">
        <v>26</v>
      </c>
      <c r="J1659">
        <v>25</v>
      </c>
      <c r="K1659">
        <v>18</v>
      </c>
      <c r="L1659">
        <v>0</v>
      </c>
      <c r="M1659">
        <v>164</v>
      </c>
      <c r="N1659" s="1">
        <v>0.48958333333333331</v>
      </c>
      <c r="O1659" t="s">
        <v>47</v>
      </c>
    </row>
    <row r="1660" spans="1:15" x14ac:dyDescent="0.3">
      <c r="A1660" t="s">
        <v>1694</v>
      </c>
      <c r="B1660">
        <v>20250106</v>
      </c>
      <c r="C1660" t="s">
        <v>16</v>
      </c>
      <c r="D1660" t="s">
        <v>68</v>
      </c>
      <c r="E1660" t="s">
        <v>46</v>
      </c>
      <c r="F1660">
        <v>29541</v>
      </c>
      <c r="G1660">
        <v>45010</v>
      </c>
      <c r="H1660">
        <v>2072</v>
      </c>
      <c r="I1660">
        <v>114</v>
      </c>
      <c r="J1660">
        <v>274</v>
      </c>
      <c r="K1660">
        <v>75</v>
      </c>
      <c r="L1660">
        <v>13226</v>
      </c>
      <c r="M1660">
        <v>222</v>
      </c>
      <c r="N1660" s="1">
        <v>0.83333333333333337</v>
      </c>
      <c r="O1660" t="s">
        <v>30</v>
      </c>
    </row>
    <row r="1661" spans="1:15" x14ac:dyDescent="0.3">
      <c r="A1661" t="s">
        <v>1695</v>
      </c>
      <c r="B1661">
        <v>20250913</v>
      </c>
      <c r="C1661" t="s">
        <v>44</v>
      </c>
      <c r="D1661" t="s">
        <v>29</v>
      </c>
      <c r="E1661" t="s">
        <v>18</v>
      </c>
      <c r="F1661">
        <v>34769</v>
      </c>
      <c r="G1661">
        <v>47168</v>
      </c>
      <c r="H1661">
        <v>1012</v>
      </c>
      <c r="I1661">
        <v>77</v>
      </c>
      <c r="J1661">
        <v>187</v>
      </c>
      <c r="K1661">
        <v>40</v>
      </c>
      <c r="L1661">
        <v>0</v>
      </c>
      <c r="M1661">
        <v>177</v>
      </c>
      <c r="N1661" s="1">
        <v>0.39583333333333331</v>
      </c>
      <c r="O1661" t="s">
        <v>53</v>
      </c>
    </row>
    <row r="1662" spans="1:15" x14ac:dyDescent="0.3">
      <c r="A1662" t="s">
        <v>1696</v>
      </c>
      <c r="B1662">
        <v>20250814</v>
      </c>
      <c r="C1662" t="s">
        <v>25</v>
      </c>
      <c r="D1662" t="s">
        <v>33</v>
      </c>
      <c r="E1662" t="s">
        <v>46</v>
      </c>
      <c r="F1662">
        <v>11669</v>
      </c>
      <c r="G1662">
        <v>17566</v>
      </c>
      <c r="H1662">
        <v>792</v>
      </c>
      <c r="I1662">
        <v>59</v>
      </c>
      <c r="J1662">
        <v>89</v>
      </c>
      <c r="K1662">
        <v>54</v>
      </c>
      <c r="L1662">
        <v>6812</v>
      </c>
      <c r="M1662">
        <v>75</v>
      </c>
      <c r="N1662" s="1">
        <v>0.33333333333333331</v>
      </c>
      <c r="O1662" t="s">
        <v>53</v>
      </c>
    </row>
    <row r="1663" spans="1:15" x14ac:dyDescent="0.3">
      <c r="A1663" t="s">
        <v>1697</v>
      </c>
      <c r="B1663">
        <v>20251220</v>
      </c>
      <c r="C1663" t="s">
        <v>25</v>
      </c>
      <c r="D1663" t="s">
        <v>68</v>
      </c>
      <c r="E1663" t="s">
        <v>26</v>
      </c>
      <c r="F1663">
        <v>5769</v>
      </c>
      <c r="G1663">
        <v>6608</v>
      </c>
      <c r="H1663">
        <v>163</v>
      </c>
      <c r="I1663">
        <v>9</v>
      </c>
      <c r="J1663">
        <v>30</v>
      </c>
      <c r="K1663">
        <v>19</v>
      </c>
      <c r="L1663">
        <v>2174</v>
      </c>
      <c r="M1663">
        <v>99</v>
      </c>
      <c r="N1663" s="1">
        <v>0.46875</v>
      </c>
      <c r="O1663" t="s">
        <v>47</v>
      </c>
    </row>
    <row r="1664" spans="1:15" x14ac:dyDescent="0.3">
      <c r="A1664" t="s">
        <v>1698</v>
      </c>
      <c r="B1664">
        <v>20260108</v>
      </c>
      <c r="C1664" t="s">
        <v>25</v>
      </c>
      <c r="D1664" t="s">
        <v>17</v>
      </c>
      <c r="E1664" t="s">
        <v>46</v>
      </c>
      <c r="F1664">
        <v>45135</v>
      </c>
      <c r="G1664">
        <v>69711</v>
      </c>
      <c r="H1664">
        <v>2845</v>
      </c>
      <c r="I1664">
        <v>115</v>
      </c>
      <c r="J1664">
        <v>294</v>
      </c>
      <c r="K1664">
        <v>414</v>
      </c>
      <c r="L1664">
        <v>37552</v>
      </c>
      <c r="M1664">
        <v>663</v>
      </c>
      <c r="N1664" s="1">
        <v>0.55208333333333337</v>
      </c>
      <c r="O1664" t="s">
        <v>53</v>
      </c>
    </row>
    <row r="1665" spans="1:15" x14ac:dyDescent="0.3">
      <c r="A1665" t="s">
        <v>1699</v>
      </c>
      <c r="B1665">
        <v>20250228</v>
      </c>
      <c r="C1665" t="s">
        <v>44</v>
      </c>
      <c r="D1665" t="s">
        <v>61</v>
      </c>
      <c r="E1665" t="s">
        <v>22</v>
      </c>
      <c r="F1665">
        <v>49340</v>
      </c>
      <c r="G1665">
        <v>80218</v>
      </c>
      <c r="H1665">
        <v>4688</v>
      </c>
      <c r="I1665">
        <v>226</v>
      </c>
      <c r="J1665">
        <v>153</v>
      </c>
      <c r="K1665">
        <v>307</v>
      </c>
      <c r="L1665">
        <v>0</v>
      </c>
      <c r="M1665">
        <v>273</v>
      </c>
      <c r="N1665" s="1">
        <v>0.90625</v>
      </c>
      <c r="O1665" t="s">
        <v>38</v>
      </c>
    </row>
    <row r="1666" spans="1:15" x14ac:dyDescent="0.3">
      <c r="A1666" t="s">
        <v>1700</v>
      </c>
      <c r="B1666">
        <v>20260210</v>
      </c>
      <c r="C1666" t="s">
        <v>44</v>
      </c>
      <c r="D1666" t="s">
        <v>17</v>
      </c>
      <c r="E1666" t="s">
        <v>18</v>
      </c>
      <c r="F1666">
        <v>15320</v>
      </c>
      <c r="G1666">
        <v>17825</v>
      </c>
      <c r="H1666">
        <v>1233</v>
      </c>
      <c r="I1666">
        <v>122</v>
      </c>
      <c r="J1666">
        <v>115</v>
      </c>
      <c r="K1666">
        <v>158</v>
      </c>
      <c r="L1666">
        <v>0</v>
      </c>
      <c r="M1666">
        <v>235</v>
      </c>
      <c r="N1666" s="1">
        <v>0.92708333333333337</v>
      </c>
      <c r="O1666" t="s">
        <v>34</v>
      </c>
    </row>
    <row r="1667" spans="1:15" x14ac:dyDescent="0.3">
      <c r="A1667" t="s">
        <v>1701</v>
      </c>
      <c r="B1667">
        <v>20260808</v>
      </c>
      <c r="C1667" t="s">
        <v>40</v>
      </c>
      <c r="D1667" t="s">
        <v>17</v>
      </c>
      <c r="E1667" t="s">
        <v>41</v>
      </c>
      <c r="F1667">
        <v>12231</v>
      </c>
      <c r="G1667">
        <v>15947</v>
      </c>
      <c r="H1667">
        <v>812</v>
      </c>
      <c r="I1667">
        <v>55</v>
      </c>
      <c r="J1667">
        <v>129</v>
      </c>
      <c r="K1667">
        <v>93</v>
      </c>
      <c r="L1667">
        <v>10956</v>
      </c>
      <c r="M1667">
        <v>149</v>
      </c>
      <c r="N1667" s="1">
        <v>0.9375</v>
      </c>
      <c r="O1667" t="s">
        <v>38</v>
      </c>
    </row>
    <row r="1668" spans="1:15" x14ac:dyDescent="0.3">
      <c r="A1668" t="s">
        <v>1702</v>
      </c>
      <c r="B1668">
        <v>20250225</v>
      </c>
      <c r="C1668" t="s">
        <v>16</v>
      </c>
      <c r="D1668" t="s">
        <v>21</v>
      </c>
      <c r="E1668" t="s">
        <v>46</v>
      </c>
      <c r="F1668">
        <v>55996</v>
      </c>
      <c r="G1668">
        <v>62543</v>
      </c>
      <c r="H1668">
        <v>3497</v>
      </c>
      <c r="I1668">
        <v>359</v>
      </c>
      <c r="J1668">
        <v>183</v>
      </c>
      <c r="K1668">
        <v>251</v>
      </c>
      <c r="L1668">
        <v>38018</v>
      </c>
      <c r="M1668">
        <v>318</v>
      </c>
      <c r="N1668" s="1">
        <v>0.3125</v>
      </c>
      <c r="O1668" t="s">
        <v>38</v>
      </c>
    </row>
    <row r="1669" spans="1:15" x14ac:dyDescent="0.3">
      <c r="A1669" t="s">
        <v>1703</v>
      </c>
      <c r="B1669">
        <v>20260803</v>
      </c>
      <c r="C1669" t="s">
        <v>44</v>
      </c>
      <c r="D1669" t="s">
        <v>17</v>
      </c>
      <c r="E1669" t="s">
        <v>18</v>
      </c>
      <c r="F1669">
        <v>30171</v>
      </c>
      <c r="G1669">
        <v>35899</v>
      </c>
      <c r="H1669">
        <v>3052</v>
      </c>
      <c r="I1669">
        <v>80</v>
      </c>
      <c r="J1669">
        <v>594</v>
      </c>
      <c r="K1669">
        <v>361</v>
      </c>
      <c r="L1669">
        <v>0</v>
      </c>
      <c r="M1669">
        <v>542</v>
      </c>
      <c r="N1669" s="1">
        <v>0.51041666666666663</v>
      </c>
      <c r="O1669" t="s">
        <v>19</v>
      </c>
    </row>
    <row r="1670" spans="1:15" x14ac:dyDescent="0.3">
      <c r="A1670" t="s">
        <v>1704</v>
      </c>
      <c r="B1670">
        <v>20250330</v>
      </c>
      <c r="C1670" t="s">
        <v>32</v>
      </c>
      <c r="D1670" t="s">
        <v>68</v>
      </c>
      <c r="E1670" t="s">
        <v>46</v>
      </c>
      <c r="F1670">
        <v>19125</v>
      </c>
      <c r="G1670">
        <v>25697</v>
      </c>
      <c r="H1670">
        <v>927</v>
      </c>
      <c r="I1670">
        <v>89</v>
      </c>
      <c r="J1670">
        <v>132</v>
      </c>
      <c r="K1670">
        <v>127</v>
      </c>
      <c r="L1670">
        <v>8090</v>
      </c>
      <c r="M1670">
        <v>301</v>
      </c>
      <c r="N1670" s="1">
        <v>0.51041666666666663</v>
      </c>
      <c r="O1670" t="s">
        <v>42</v>
      </c>
    </row>
    <row r="1671" spans="1:15" x14ac:dyDescent="0.3">
      <c r="A1671" t="s">
        <v>1705</v>
      </c>
      <c r="B1671">
        <v>20250610</v>
      </c>
      <c r="C1671" t="s">
        <v>16</v>
      </c>
      <c r="D1671" t="s">
        <v>33</v>
      </c>
      <c r="E1671" t="s">
        <v>18</v>
      </c>
      <c r="F1671">
        <v>18447</v>
      </c>
      <c r="G1671">
        <v>27995</v>
      </c>
      <c r="H1671">
        <v>1602</v>
      </c>
      <c r="I1671">
        <v>54</v>
      </c>
      <c r="J1671">
        <v>240</v>
      </c>
      <c r="K1671">
        <v>224</v>
      </c>
      <c r="L1671">
        <v>0</v>
      </c>
      <c r="M1671">
        <v>212</v>
      </c>
      <c r="N1671" s="1">
        <v>0.77083333333333337</v>
      </c>
      <c r="O1671" t="s">
        <v>19</v>
      </c>
    </row>
    <row r="1672" spans="1:15" x14ac:dyDescent="0.3">
      <c r="A1672" t="s">
        <v>1706</v>
      </c>
      <c r="B1672">
        <v>20260915</v>
      </c>
      <c r="C1672" t="s">
        <v>44</v>
      </c>
      <c r="D1672" t="s">
        <v>68</v>
      </c>
      <c r="E1672" t="s">
        <v>46</v>
      </c>
      <c r="F1672">
        <v>88524</v>
      </c>
      <c r="G1672">
        <v>125264</v>
      </c>
      <c r="H1672">
        <v>4928</v>
      </c>
      <c r="I1672">
        <v>509</v>
      </c>
      <c r="J1672">
        <v>902</v>
      </c>
      <c r="K1672">
        <v>389</v>
      </c>
      <c r="L1672">
        <v>52577</v>
      </c>
      <c r="M1672">
        <v>113</v>
      </c>
      <c r="N1672" s="1">
        <v>0.30208333333333331</v>
      </c>
      <c r="O1672" t="s">
        <v>34</v>
      </c>
    </row>
    <row r="1673" spans="1:15" x14ac:dyDescent="0.3">
      <c r="A1673" t="s">
        <v>1707</v>
      </c>
      <c r="B1673">
        <v>20250927</v>
      </c>
      <c r="C1673" t="s">
        <v>44</v>
      </c>
      <c r="D1673" t="s">
        <v>61</v>
      </c>
      <c r="E1673" t="s">
        <v>46</v>
      </c>
      <c r="F1673">
        <v>69667</v>
      </c>
      <c r="G1673">
        <v>95756</v>
      </c>
      <c r="H1673">
        <v>6099</v>
      </c>
      <c r="I1673">
        <v>275</v>
      </c>
      <c r="J1673">
        <v>1137</v>
      </c>
      <c r="K1673">
        <v>205</v>
      </c>
      <c r="L1673">
        <v>58959</v>
      </c>
      <c r="M1673">
        <v>757</v>
      </c>
      <c r="N1673" s="1">
        <v>0.40625</v>
      </c>
      <c r="O1673" t="s">
        <v>38</v>
      </c>
    </row>
    <row r="1674" spans="1:15" x14ac:dyDescent="0.3">
      <c r="A1674" t="s">
        <v>1708</v>
      </c>
      <c r="B1674">
        <v>20250717</v>
      </c>
      <c r="C1674" t="s">
        <v>44</v>
      </c>
      <c r="D1674" t="s">
        <v>17</v>
      </c>
      <c r="E1674" t="s">
        <v>41</v>
      </c>
      <c r="F1674">
        <v>114456</v>
      </c>
      <c r="G1674">
        <v>152393</v>
      </c>
      <c r="H1674">
        <v>7286</v>
      </c>
      <c r="I1674">
        <v>890</v>
      </c>
      <c r="J1674">
        <v>1259</v>
      </c>
      <c r="K1674">
        <v>215</v>
      </c>
      <c r="L1674">
        <v>54862</v>
      </c>
      <c r="M1674">
        <v>164</v>
      </c>
      <c r="N1674" s="1">
        <v>0.67708333333333337</v>
      </c>
      <c r="O1674" t="s">
        <v>49</v>
      </c>
    </row>
    <row r="1675" spans="1:15" x14ac:dyDescent="0.3">
      <c r="A1675" t="s">
        <v>1709</v>
      </c>
      <c r="B1675">
        <v>20250911</v>
      </c>
      <c r="C1675" t="s">
        <v>16</v>
      </c>
      <c r="D1675" t="s">
        <v>68</v>
      </c>
      <c r="E1675" t="s">
        <v>22</v>
      </c>
      <c r="F1675">
        <v>37488</v>
      </c>
      <c r="G1675">
        <v>51923</v>
      </c>
      <c r="H1675">
        <v>2216</v>
      </c>
      <c r="I1675">
        <v>74</v>
      </c>
      <c r="J1675">
        <v>132</v>
      </c>
      <c r="K1675">
        <v>142</v>
      </c>
      <c r="L1675">
        <v>0</v>
      </c>
      <c r="M1675">
        <v>329</v>
      </c>
      <c r="N1675" s="1">
        <v>0.6875</v>
      </c>
      <c r="O1675" t="s">
        <v>49</v>
      </c>
    </row>
    <row r="1676" spans="1:15" x14ac:dyDescent="0.3">
      <c r="A1676" t="s">
        <v>1710</v>
      </c>
      <c r="B1676">
        <v>20260109</v>
      </c>
      <c r="C1676" t="s">
        <v>25</v>
      </c>
      <c r="D1676" t="s">
        <v>21</v>
      </c>
      <c r="E1676" t="s">
        <v>22</v>
      </c>
      <c r="F1676">
        <v>3096</v>
      </c>
      <c r="G1676">
        <v>4282</v>
      </c>
      <c r="H1676">
        <v>188</v>
      </c>
      <c r="I1676">
        <v>4</v>
      </c>
      <c r="J1676">
        <v>30</v>
      </c>
      <c r="K1676">
        <v>22</v>
      </c>
      <c r="L1676">
        <v>0</v>
      </c>
      <c r="M1676">
        <v>51</v>
      </c>
      <c r="N1676" s="1">
        <v>0.51041666666666663</v>
      </c>
      <c r="O1676" t="s">
        <v>47</v>
      </c>
    </row>
    <row r="1677" spans="1:15" x14ac:dyDescent="0.3">
      <c r="A1677" t="s">
        <v>1711</v>
      </c>
      <c r="B1677">
        <v>20250525</v>
      </c>
      <c r="C1677" t="s">
        <v>16</v>
      </c>
      <c r="D1677" t="s">
        <v>33</v>
      </c>
      <c r="E1677" t="s">
        <v>22</v>
      </c>
      <c r="F1677">
        <v>6578</v>
      </c>
      <c r="G1677">
        <v>10420</v>
      </c>
      <c r="H1677">
        <v>758</v>
      </c>
      <c r="I1677">
        <v>69</v>
      </c>
      <c r="J1677">
        <v>100</v>
      </c>
      <c r="K1677">
        <v>38</v>
      </c>
      <c r="L1677">
        <v>0</v>
      </c>
      <c r="M1677">
        <v>109</v>
      </c>
      <c r="N1677" s="1">
        <v>0.51041666666666663</v>
      </c>
      <c r="O1677" t="s">
        <v>23</v>
      </c>
    </row>
    <row r="1678" spans="1:15" x14ac:dyDescent="0.3">
      <c r="A1678" t="s">
        <v>1712</v>
      </c>
      <c r="B1678">
        <v>20260515</v>
      </c>
      <c r="C1678" t="s">
        <v>16</v>
      </c>
      <c r="D1678" t="s">
        <v>61</v>
      </c>
      <c r="E1678" t="s">
        <v>22</v>
      </c>
      <c r="F1678">
        <v>20012</v>
      </c>
      <c r="G1678">
        <v>22785</v>
      </c>
      <c r="H1678">
        <v>1438</v>
      </c>
      <c r="I1678">
        <v>91</v>
      </c>
      <c r="J1678">
        <v>244</v>
      </c>
      <c r="K1678">
        <v>91</v>
      </c>
      <c r="L1678">
        <v>0</v>
      </c>
      <c r="M1678">
        <v>155</v>
      </c>
      <c r="N1678" s="1">
        <v>0.32291666666666669</v>
      </c>
      <c r="O1678" t="s">
        <v>19</v>
      </c>
    </row>
    <row r="1679" spans="1:15" x14ac:dyDescent="0.3">
      <c r="A1679" t="s">
        <v>1713</v>
      </c>
      <c r="B1679">
        <v>20260405</v>
      </c>
      <c r="C1679" t="s">
        <v>16</v>
      </c>
      <c r="D1679" t="s">
        <v>17</v>
      </c>
      <c r="E1679" t="s">
        <v>51</v>
      </c>
      <c r="F1679">
        <v>32914</v>
      </c>
      <c r="G1679">
        <v>52566</v>
      </c>
      <c r="H1679">
        <v>3129</v>
      </c>
      <c r="I1679">
        <v>369</v>
      </c>
      <c r="J1679">
        <v>147</v>
      </c>
      <c r="K1679">
        <v>338</v>
      </c>
      <c r="L1679">
        <v>0</v>
      </c>
      <c r="M1679">
        <v>299</v>
      </c>
      <c r="N1679" s="1">
        <v>0.69791666666666663</v>
      </c>
      <c r="O1679" t="s">
        <v>34</v>
      </c>
    </row>
    <row r="1680" spans="1:15" x14ac:dyDescent="0.3">
      <c r="A1680" t="s">
        <v>1714</v>
      </c>
      <c r="B1680">
        <v>20260719</v>
      </c>
      <c r="C1680" t="s">
        <v>32</v>
      </c>
      <c r="D1680" t="s">
        <v>61</v>
      </c>
      <c r="E1680" t="s">
        <v>26</v>
      </c>
      <c r="F1680">
        <v>11306</v>
      </c>
      <c r="G1680">
        <v>11925</v>
      </c>
      <c r="H1680">
        <v>1173</v>
      </c>
      <c r="I1680">
        <v>94</v>
      </c>
      <c r="J1680">
        <v>112</v>
      </c>
      <c r="K1680">
        <v>153</v>
      </c>
      <c r="L1680">
        <v>6345</v>
      </c>
      <c r="M1680">
        <v>189</v>
      </c>
      <c r="N1680" s="1">
        <v>0.78125</v>
      </c>
      <c r="O1680" t="s">
        <v>27</v>
      </c>
    </row>
    <row r="1681" spans="1:15" x14ac:dyDescent="0.3">
      <c r="A1681" t="s">
        <v>405</v>
      </c>
      <c r="B1681">
        <v>20250329</v>
      </c>
      <c r="C1681" t="s">
        <v>25</v>
      </c>
      <c r="D1681" t="s">
        <v>61</v>
      </c>
      <c r="E1681" t="s">
        <v>46</v>
      </c>
      <c r="F1681">
        <v>22899</v>
      </c>
      <c r="G1681">
        <v>29717</v>
      </c>
      <c r="H1681">
        <v>2498</v>
      </c>
      <c r="I1681">
        <v>286</v>
      </c>
      <c r="J1681">
        <v>378</v>
      </c>
      <c r="K1681">
        <v>308</v>
      </c>
      <c r="L1681">
        <v>13665</v>
      </c>
      <c r="M1681">
        <v>412</v>
      </c>
      <c r="N1681" s="1">
        <v>0.86458333333333337</v>
      </c>
      <c r="O1681" t="s">
        <v>19</v>
      </c>
    </row>
    <row r="1682" spans="1:15" x14ac:dyDescent="0.3">
      <c r="A1682" t="s">
        <v>1715</v>
      </c>
      <c r="B1682">
        <v>20251226</v>
      </c>
      <c r="C1682" t="s">
        <v>25</v>
      </c>
      <c r="D1682" t="s">
        <v>29</v>
      </c>
      <c r="E1682" t="s">
        <v>51</v>
      </c>
      <c r="F1682">
        <v>17059</v>
      </c>
      <c r="G1682">
        <v>19901</v>
      </c>
      <c r="H1682">
        <v>1004</v>
      </c>
      <c r="I1682">
        <v>97</v>
      </c>
      <c r="J1682">
        <v>104</v>
      </c>
      <c r="K1682">
        <v>64</v>
      </c>
      <c r="L1682">
        <v>0</v>
      </c>
      <c r="M1682">
        <v>239</v>
      </c>
      <c r="N1682" s="1">
        <v>0.91666666666666663</v>
      </c>
      <c r="O1682" t="s">
        <v>34</v>
      </c>
    </row>
    <row r="1683" spans="1:15" x14ac:dyDescent="0.3">
      <c r="A1683" t="s">
        <v>1716</v>
      </c>
      <c r="B1683">
        <v>20250918</v>
      </c>
      <c r="C1683" t="s">
        <v>16</v>
      </c>
      <c r="D1683" t="s">
        <v>21</v>
      </c>
      <c r="E1683" t="s">
        <v>18</v>
      </c>
      <c r="F1683">
        <v>29845</v>
      </c>
      <c r="G1683">
        <v>48140</v>
      </c>
      <c r="H1683">
        <v>2671</v>
      </c>
      <c r="I1683">
        <v>82</v>
      </c>
      <c r="J1683">
        <v>461</v>
      </c>
      <c r="K1683">
        <v>373</v>
      </c>
      <c r="L1683">
        <v>0</v>
      </c>
      <c r="M1683">
        <v>395</v>
      </c>
      <c r="N1683" s="1">
        <v>0.85416666666666663</v>
      </c>
      <c r="O1683" t="s">
        <v>30</v>
      </c>
    </row>
    <row r="1684" spans="1:15" x14ac:dyDescent="0.3">
      <c r="A1684" t="s">
        <v>1717</v>
      </c>
      <c r="B1684">
        <v>20250204</v>
      </c>
      <c r="C1684" t="s">
        <v>25</v>
      </c>
      <c r="D1684" t="s">
        <v>33</v>
      </c>
      <c r="E1684" t="s">
        <v>41</v>
      </c>
      <c r="F1684">
        <v>21310</v>
      </c>
      <c r="G1684">
        <v>23924</v>
      </c>
      <c r="H1684">
        <v>2461</v>
      </c>
      <c r="I1684">
        <v>200</v>
      </c>
      <c r="J1684">
        <v>377</v>
      </c>
      <c r="K1684">
        <v>209</v>
      </c>
      <c r="L1684">
        <v>18929</v>
      </c>
      <c r="M1684">
        <v>165</v>
      </c>
      <c r="N1684" s="1">
        <v>0.94791666666666663</v>
      </c>
      <c r="O1684" t="s">
        <v>34</v>
      </c>
    </row>
    <row r="1685" spans="1:15" x14ac:dyDescent="0.3">
      <c r="A1685" t="s">
        <v>1718</v>
      </c>
      <c r="B1685">
        <v>20260311</v>
      </c>
      <c r="C1685" t="s">
        <v>16</v>
      </c>
      <c r="D1685" t="s">
        <v>29</v>
      </c>
      <c r="E1685" t="s">
        <v>26</v>
      </c>
      <c r="F1685">
        <v>19204</v>
      </c>
      <c r="G1685">
        <v>25135</v>
      </c>
      <c r="H1685">
        <v>2107</v>
      </c>
      <c r="I1685">
        <v>157</v>
      </c>
      <c r="J1685">
        <v>146</v>
      </c>
      <c r="K1685">
        <v>224</v>
      </c>
      <c r="L1685">
        <v>9221</v>
      </c>
      <c r="M1685">
        <v>147</v>
      </c>
      <c r="N1685" s="1">
        <v>0.875</v>
      </c>
      <c r="O1685" t="s">
        <v>23</v>
      </c>
    </row>
    <row r="1686" spans="1:15" x14ac:dyDescent="0.3">
      <c r="A1686" t="s">
        <v>1719</v>
      </c>
      <c r="B1686">
        <v>20260903</v>
      </c>
      <c r="C1686" t="s">
        <v>25</v>
      </c>
      <c r="D1686" t="s">
        <v>36</v>
      </c>
      <c r="E1686" t="s">
        <v>18</v>
      </c>
      <c r="F1686">
        <v>19414</v>
      </c>
      <c r="G1686">
        <v>30686</v>
      </c>
      <c r="H1686">
        <v>1676</v>
      </c>
      <c r="I1686">
        <v>159</v>
      </c>
      <c r="J1686">
        <v>197</v>
      </c>
      <c r="K1686">
        <v>229</v>
      </c>
      <c r="L1686">
        <v>0</v>
      </c>
      <c r="M1686">
        <v>128</v>
      </c>
      <c r="N1686" s="1">
        <v>0.625</v>
      </c>
      <c r="O1686" t="s">
        <v>49</v>
      </c>
    </row>
    <row r="1687" spans="1:15" x14ac:dyDescent="0.3">
      <c r="A1687" t="s">
        <v>1720</v>
      </c>
      <c r="B1687">
        <v>20251023</v>
      </c>
      <c r="C1687" t="s">
        <v>32</v>
      </c>
      <c r="D1687" t="s">
        <v>61</v>
      </c>
      <c r="E1687" t="s">
        <v>41</v>
      </c>
      <c r="F1687">
        <v>28370</v>
      </c>
      <c r="G1687">
        <v>33459</v>
      </c>
      <c r="H1687">
        <v>1013</v>
      </c>
      <c r="I1687">
        <v>103</v>
      </c>
      <c r="J1687">
        <v>108</v>
      </c>
      <c r="K1687">
        <v>95</v>
      </c>
      <c r="L1687">
        <v>22793</v>
      </c>
      <c r="M1687">
        <v>372</v>
      </c>
      <c r="N1687" s="1">
        <v>0.55208333333333337</v>
      </c>
      <c r="O1687" t="s">
        <v>38</v>
      </c>
    </row>
    <row r="1688" spans="1:15" x14ac:dyDescent="0.3">
      <c r="A1688" t="s">
        <v>1721</v>
      </c>
      <c r="B1688">
        <v>20260922</v>
      </c>
      <c r="C1688" t="s">
        <v>32</v>
      </c>
      <c r="D1688" t="s">
        <v>36</v>
      </c>
      <c r="E1688" t="s">
        <v>26</v>
      </c>
      <c r="F1688">
        <v>3707</v>
      </c>
      <c r="G1688">
        <v>4416</v>
      </c>
      <c r="H1688">
        <v>427</v>
      </c>
      <c r="I1688">
        <v>43</v>
      </c>
      <c r="J1688">
        <v>73</v>
      </c>
      <c r="K1688">
        <v>47</v>
      </c>
      <c r="L1688">
        <v>2439</v>
      </c>
      <c r="M1688">
        <v>31</v>
      </c>
      <c r="N1688" s="1">
        <v>0.41666666666666669</v>
      </c>
      <c r="O1688" t="s">
        <v>23</v>
      </c>
    </row>
    <row r="1689" spans="1:15" x14ac:dyDescent="0.3">
      <c r="A1689" t="s">
        <v>1722</v>
      </c>
      <c r="B1689">
        <v>20260420</v>
      </c>
      <c r="C1689" t="s">
        <v>44</v>
      </c>
      <c r="D1689" t="s">
        <v>29</v>
      </c>
      <c r="E1689" t="s">
        <v>46</v>
      </c>
      <c r="F1689">
        <v>78836</v>
      </c>
      <c r="G1689">
        <v>97062</v>
      </c>
      <c r="H1689">
        <v>9164</v>
      </c>
      <c r="I1689">
        <v>376</v>
      </c>
      <c r="J1689">
        <v>1579</v>
      </c>
      <c r="K1689">
        <v>1323</v>
      </c>
      <c r="L1689">
        <v>34039</v>
      </c>
      <c r="M1689">
        <v>379</v>
      </c>
      <c r="N1689" s="1">
        <v>0.77083333333333337</v>
      </c>
      <c r="O1689" t="s">
        <v>38</v>
      </c>
    </row>
    <row r="1690" spans="1:15" x14ac:dyDescent="0.3">
      <c r="A1690" t="s">
        <v>1723</v>
      </c>
      <c r="B1690">
        <v>20250601</v>
      </c>
      <c r="C1690" t="s">
        <v>16</v>
      </c>
      <c r="D1690" t="s">
        <v>61</v>
      </c>
      <c r="E1690" t="s">
        <v>46</v>
      </c>
      <c r="F1690">
        <v>34296</v>
      </c>
      <c r="G1690">
        <v>49524</v>
      </c>
      <c r="H1690">
        <v>4075</v>
      </c>
      <c r="I1690">
        <v>363</v>
      </c>
      <c r="J1690">
        <v>796</v>
      </c>
      <c r="K1690">
        <v>426</v>
      </c>
      <c r="L1690">
        <v>19179</v>
      </c>
      <c r="M1690">
        <v>215</v>
      </c>
      <c r="N1690" s="1">
        <v>0.4375</v>
      </c>
      <c r="O1690" t="s">
        <v>53</v>
      </c>
    </row>
    <row r="1691" spans="1:15" x14ac:dyDescent="0.3">
      <c r="A1691" t="s">
        <v>1724</v>
      </c>
      <c r="B1691">
        <v>20260622</v>
      </c>
      <c r="C1691" t="s">
        <v>44</v>
      </c>
      <c r="D1691" t="s">
        <v>68</v>
      </c>
      <c r="E1691" t="s">
        <v>51</v>
      </c>
      <c r="F1691">
        <v>115907</v>
      </c>
      <c r="G1691">
        <v>171097</v>
      </c>
      <c r="H1691">
        <v>10066</v>
      </c>
      <c r="I1691">
        <v>1338</v>
      </c>
      <c r="J1691">
        <v>1186</v>
      </c>
      <c r="K1691">
        <v>878</v>
      </c>
      <c r="L1691">
        <v>0</v>
      </c>
      <c r="M1691">
        <v>1388</v>
      </c>
      <c r="N1691" s="1">
        <v>0.36458333333333331</v>
      </c>
      <c r="O1691" t="s">
        <v>27</v>
      </c>
    </row>
    <row r="1692" spans="1:15" x14ac:dyDescent="0.3">
      <c r="A1692" t="s">
        <v>1725</v>
      </c>
      <c r="B1692">
        <v>20250527</v>
      </c>
      <c r="C1692" t="s">
        <v>40</v>
      </c>
      <c r="D1692" t="s">
        <v>61</v>
      </c>
      <c r="E1692" t="s">
        <v>26</v>
      </c>
      <c r="F1692">
        <v>4767</v>
      </c>
      <c r="G1692">
        <v>6768</v>
      </c>
      <c r="H1692">
        <v>363</v>
      </c>
      <c r="I1692">
        <v>27</v>
      </c>
      <c r="J1692">
        <v>58</v>
      </c>
      <c r="K1692">
        <v>27</v>
      </c>
      <c r="L1692">
        <v>3368</v>
      </c>
      <c r="M1692">
        <v>41</v>
      </c>
      <c r="N1692" s="1">
        <v>0.9375</v>
      </c>
      <c r="O1692" t="s">
        <v>53</v>
      </c>
    </row>
    <row r="1693" spans="1:15" x14ac:dyDescent="0.3">
      <c r="A1693" t="s">
        <v>1726</v>
      </c>
      <c r="B1693">
        <v>20250724</v>
      </c>
      <c r="C1693" t="s">
        <v>40</v>
      </c>
      <c r="D1693" t="s">
        <v>61</v>
      </c>
      <c r="E1693" t="s">
        <v>22</v>
      </c>
      <c r="F1693">
        <v>10490</v>
      </c>
      <c r="G1693">
        <v>15086</v>
      </c>
      <c r="H1693">
        <v>1145</v>
      </c>
      <c r="I1693">
        <v>52</v>
      </c>
      <c r="J1693">
        <v>215</v>
      </c>
      <c r="K1693">
        <v>40</v>
      </c>
      <c r="L1693">
        <v>0</v>
      </c>
      <c r="M1693">
        <v>39</v>
      </c>
      <c r="N1693" s="1">
        <v>0.72916666666666663</v>
      </c>
      <c r="O1693" t="s">
        <v>53</v>
      </c>
    </row>
    <row r="1694" spans="1:15" x14ac:dyDescent="0.3">
      <c r="A1694" t="s">
        <v>1727</v>
      </c>
      <c r="B1694">
        <v>20260730</v>
      </c>
      <c r="C1694" t="s">
        <v>32</v>
      </c>
      <c r="D1694" t="s">
        <v>21</v>
      </c>
      <c r="E1694" t="s">
        <v>46</v>
      </c>
      <c r="F1694">
        <v>12901</v>
      </c>
      <c r="G1694">
        <v>16340</v>
      </c>
      <c r="H1694">
        <v>1200</v>
      </c>
      <c r="I1694">
        <v>67</v>
      </c>
      <c r="J1694">
        <v>177</v>
      </c>
      <c r="K1694">
        <v>134</v>
      </c>
      <c r="L1694">
        <v>7621</v>
      </c>
      <c r="M1694">
        <v>141</v>
      </c>
      <c r="N1694" s="1">
        <v>0.69791666666666663</v>
      </c>
      <c r="O1694" t="s">
        <v>30</v>
      </c>
    </row>
    <row r="1695" spans="1:15" x14ac:dyDescent="0.3">
      <c r="A1695" t="s">
        <v>1728</v>
      </c>
      <c r="B1695">
        <v>20250603</v>
      </c>
      <c r="C1695" t="s">
        <v>16</v>
      </c>
      <c r="D1695" t="s">
        <v>21</v>
      </c>
      <c r="E1695" t="s">
        <v>41</v>
      </c>
      <c r="F1695">
        <v>33028</v>
      </c>
      <c r="G1695">
        <v>53828</v>
      </c>
      <c r="H1695">
        <v>2591</v>
      </c>
      <c r="I1695">
        <v>149</v>
      </c>
      <c r="J1695">
        <v>138</v>
      </c>
      <c r="K1695">
        <v>102</v>
      </c>
      <c r="L1695">
        <v>21188</v>
      </c>
      <c r="M1695">
        <v>161</v>
      </c>
      <c r="N1695" s="1">
        <v>0.375</v>
      </c>
      <c r="O1695" t="s">
        <v>30</v>
      </c>
    </row>
    <row r="1696" spans="1:15" x14ac:dyDescent="0.3">
      <c r="A1696" t="s">
        <v>1729</v>
      </c>
      <c r="B1696">
        <v>20250918</v>
      </c>
      <c r="C1696" t="s">
        <v>40</v>
      </c>
      <c r="D1696" t="s">
        <v>36</v>
      </c>
      <c r="E1696" t="s">
        <v>22</v>
      </c>
      <c r="F1696">
        <v>15277</v>
      </c>
      <c r="G1696">
        <v>20773</v>
      </c>
      <c r="H1696">
        <v>1290</v>
      </c>
      <c r="I1696">
        <v>167</v>
      </c>
      <c r="J1696">
        <v>112</v>
      </c>
      <c r="K1696">
        <v>58</v>
      </c>
      <c r="L1696">
        <v>0</v>
      </c>
      <c r="M1696">
        <v>91</v>
      </c>
      <c r="N1696" s="1">
        <v>0.9375</v>
      </c>
      <c r="O1696" t="s">
        <v>30</v>
      </c>
    </row>
    <row r="1697" spans="1:15" x14ac:dyDescent="0.3">
      <c r="A1697" t="s">
        <v>1730</v>
      </c>
      <c r="B1697">
        <v>20260331</v>
      </c>
      <c r="C1697" t="s">
        <v>40</v>
      </c>
      <c r="D1697" t="s">
        <v>21</v>
      </c>
      <c r="E1697" t="s">
        <v>51</v>
      </c>
      <c r="F1697">
        <v>13348</v>
      </c>
      <c r="G1697">
        <v>18104</v>
      </c>
      <c r="H1697">
        <v>1133</v>
      </c>
      <c r="I1697">
        <v>87</v>
      </c>
      <c r="J1697">
        <v>63</v>
      </c>
      <c r="K1697">
        <v>83</v>
      </c>
      <c r="L1697">
        <v>0</v>
      </c>
      <c r="M1697">
        <v>166</v>
      </c>
      <c r="N1697" s="1">
        <v>0.85416666666666663</v>
      </c>
      <c r="O1697" t="s">
        <v>30</v>
      </c>
    </row>
    <row r="1698" spans="1:15" x14ac:dyDescent="0.3">
      <c r="A1698" t="s">
        <v>1731</v>
      </c>
      <c r="B1698">
        <v>20250115</v>
      </c>
      <c r="C1698" t="s">
        <v>25</v>
      </c>
      <c r="D1698" t="s">
        <v>29</v>
      </c>
      <c r="E1698" t="s">
        <v>46</v>
      </c>
      <c r="F1698">
        <v>25458</v>
      </c>
      <c r="G1698">
        <v>30596</v>
      </c>
      <c r="H1698">
        <v>2944</v>
      </c>
      <c r="I1698">
        <v>346</v>
      </c>
      <c r="J1698">
        <v>450</v>
      </c>
      <c r="K1698">
        <v>316</v>
      </c>
      <c r="L1698">
        <v>14664</v>
      </c>
      <c r="M1698">
        <v>244</v>
      </c>
      <c r="N1698" s="1">
        <v>0.38541666666666669</v>
      </c>
      <c r="O1698" t="s">
        <v>47</v>
      </c>
    </row>
    <row r="1699" spans="1:15" x14ac:dyDescent="0.3">
      <c r="A1699" t="s">
        <v>1732</v>
      </c>
      <c r="B1699">
        <v>20260601</v>
      </c>
      <c r="C1699" t="s">
        <v>40</v>
      </c>
      <c r="D1699" t="s">
        <v>61</v>
      </c>
      <c r="E1699" t="s">
        <v>26</v>
      </c>
      <c r="F1699">
        <v>16523</v>
      </c>
      <c r="G1699">
        <v>21412</v>
      </c>
      <c r="H1699">
        <v>802</v>
      </c>
      <c r="I1699">
        <v>25</v>
      </c>
      <c r="J1699">
        <v>26</v>
      </c>
      <c r="K1699">
        <v>122</v>
      </c>
      <c r="L1699">
        <v>12588</v>
      </c>
      <c r="M1699">
        <v>287</v>
      </c>
      <c r="N1699" s="1">
        <v>0.40625</v>
      </c>
      <c r="O1699" t="s">
        <v>19</v>
      </c>
    </row>
    <row r="1700" spans="1:15" x14ac:dyDescent="0.3">
      <c r="A1700" t="s">
        <v>1733</v>
      </c>
      <c r="B1700">
        <v>20260930</v>
      </c>
      <c r="C1700" t="s">
        <v>32</v>
      </c>
      <c r="D1700" t="s">
        <v>36</v>
      </c>
      <c r="E1700" t="s">
        <v>41</v>
      </c>
      <c r="F1700">
        <v>15213</v>
      </c>
      <c r="G1700">
        <v>17560</v>
      </c>
      <c r="H1700">
        <v>849</v>
      </c>
      <c r="I1700">
        <v>34</v>
      </c>
      <c r="J1700">
        <v>130</v>
      </c>
      <c r="K1700">
        <v>67</v>
      </c>
      <c r="L1700">
        <v>8795</v>
      </c>
      <c r="M1700">
        <v>184</v>
      </c>
      <c r="N1700" s="1">
        <v>0.40625</v>
      </c>
      <c r="O1700" t="s">
        <v>38</v>
      </c>
    </row>
    <row r="1701" spans="1:15" x14ac:dyDescent="0.3">
      <c r="A1701" t="s">
        <v>1734</v>
      </c>
      <c r="B1701">
        <v>20260526</v>
      </c>
      <c r="C1701" t="s">
        <v>40</v>
      </c>
      <c r="D1701" t="s">
        <v>33</v>
      </c>
      <c r="E1701" t="s">
        <v>51</v>
      </c>
      <c r="F1701">
        <v>23394</v>
      </c>
      <c r="G1701">
        <v>26724</v>
      </c>
      <c r="H1701">
        <v>1877</v>
      </c>
      <c r="I1701">
        <v>141</v>
      </c>
      <c r="J1701">
        <v>107</v>
      </c>
      <c r="K1701">
        <v>236</v>
      </c>
      <c r="L1701">
        <v>0</v>
      </c>
      <c r="M1701">
        <v>139</v>
      </c>
      <c r="N1701" s="1">
        <v>0.77083333333333337</v>
      </c>
      <c r="O1701" t="s">
        <v>30</v>
      </c>
    </row>
    <row r="1702" spans="1:15" x14ac:dyDescent="0.3">
      <c r="A1702" t="s">
        <v>1735</v>
      </c>
      <c r="B1702">
        <v>20260730</v>
      </c>
      <c r="C1702" t="s">
        <v>44</v>
      </c>
      <c r="D1702" t="s">
        <v>21</v>
      </c>
      <c r="E1702" t="s">
        <v>26</v>
      </c>
      <c r="F1702">
        <v>17505</v>
      </c>
      <c r="G1702">
        <v>18537</v>
      </c>
      <c r="H1702">
        <v>1769</v>
      </c>
      <c r="I1702">
        <v>210</v>
      </c>
      <c r="J1702">
        <v>84</v>
      </c>
      <c r="K1702">
        <v>98</v>
      </c>
      <c r="L1702">
        <v>8524</v>
      </c>
      <c r="M1702">
        <v>64</v>
      </c>
      <c r="N1702" s="1">
        <v>0.35416666666666669</v>
      </c>
      <c r="O1702" t="s">
        <v>53</v>
      </c>
    </row>
    <row r="1703" spans="1:15" x14ac:dyDescent="0.3">
      <c r="A1703" t="s">
        <v>1736</v>
      </c>
      <c r="B1703">
        <v>20260924</v>
      </c>
      <c r="C1703" t="s">
        <v>16</v>
      </c>
      <c r="D1703" t="s">
        <v>68</v>
      </c>
      <c r="E1703" t="s">
        <v>26</v>
      </c>
      <c r="F1703">
        <v>8355</v>
      </c>
      <c r="G1703">
        <v>10450</v>
      </c>
      <c r="H1703">
        <v>561</v>
      </c>
      <c r="I1703">
        <v>41</v>
      </c>
      <c r="J1703">
        <v>65</v>
      </c>
      <c r="K1703">
        <v>21</v>
      </c>
      <c r="L1703">
        <v>4439</v>
      </c>
      <c r="M1703">
        <v>9</v>
      </c>
      <c r="N1703" s="1">
        <v>0.38541666666666669</v>
      </c>
      <c r="O1703" t="s">
        <v>30</v>
      </c>
    </row>
    <row r="1704" spans="1:15" x14ac:dyDescent="0.3">
      <c r="A1704" t="s">
        <v>1737</v>
      </c>
      <c r="B1704">
        <v>20250504</v>
      </c>
      <c r="C1704" t="s">
        <v>25</v>
      </c>
      <c r="D1704" t="s">
        <v>61</v>
      </c>
      <c r="E1704" t="s">
        <v>26</v>
      </c>
      <c r="F1704">
        <v>8367</v>
      </c>
      <c r="G1704">
        <v>9868</v>
      </c>
      <c r="H1704">
        <v>689</v>
      </c>
      <c r="I1704">
        <v>50</v>
      </c>
      <c r="J1704">
        <v>41</v>
      </c>
      <c r="K1704">
        <v>38</v>
      </c>
      <c r="L1704">
        <v>3964</v>
      </c>
      <c r="M1704">
        <v>57</v>
      </c>
      <c r="N1704" s="1">
        <v>0.75</v>
      </c>
      <c r="O1704" t="s">
        <v>49</v>
      </c>
    </row>
    <row r="1705" spans="1:15" x14ac:dyDescent="0.3">
      <c r="A1705" t="s">
        <v>1738</v>
      </c>
      <c r="B1705">
        <v>20260905</v>
      </c>
      <c r="C1705" t="s">
        <v>32</v>
      </c>
      <c r="D1705" t="s">
        <v>29</v>
      </c>
      <c r="E1705" t="s">
        <v>41</v>
      </c>
      <c r="F1705">
        <v>30097</v>
      </c>
      <c r="G1705">
        <v>35404</v>
      </c>
      <c r="H1705">
        <v>2031</v>
      </c>
      <c r="I1705">
        <v>92</v>
      </c>
      <c r="J1705">
        <v>229</v>
      </c>
      <c r="K1705">
        <v>120</v>
      </c>
      <c r="L1705">
        <v>22237</v>
      </c>
      <c r="M1705">
        <v>276</v>
      </c>
      <c r="N1705" s="1">
        <v>0.5625</v>
      </c>
      <c r="O1705" t="s">
        <v>38</v>
      </c>
    </row>
    <row r="1706" spans="1:15" x14ac:dyDescent="0.3">
      <c r="A1706" t="s">
        <v>1739</v>
      </c>
      <c r="B1706">
        <v>20260729</v>
      </c>
      <c r="C1706" t="s">
        <v>44</v>
      </c>
      <c r="D1706" t="s">
        <v>29</v>
      </c>
      <c r="E1706" t="s">
        <v>41</v>
      </c>
      <c r="F1706">
        <v>59385</v>
      </c>
      <c r="G1706">
        <v>89343</v>
      </c>
      <c r="H1706">
        <v>6778</v>
      </c>
      <c r="I1706">
        <v>436</v>
      </c>
      <c r="J1706">
        <v>655</v>
      </c>
      <c r="K1706">
        <v>951</v>
      </c>
      <c r="L1706">
        <v>42452</v>
      </c>
      <c r="M1706">
        <v>103</v>
      </c>
      <c r="N1706" s="1">
        <v>0.63541666666666663</v>
      </c>
      <c r="O1706" t="s">
        <v>23</v>
      </c>
    </row>
    <row r="1707" spans="1:15" x14ac:dyDescent="0.3">
      <c r="A1707" t="s">
        <v>1740</v>
      </c>
      <c r="B1707">
        <v>20260215</v>
      </c>
      <c r="C1707" t="s">
        <v>44</v>
      </c>
      <c r="D1707" t="s">
        <v>17</v>
      </c>
      <c r="E1707" t="s">
        <v>46</v>
      </c>
      <c r="F1707">
        <v>43046</v>
      </c>
      <c r="G1707">
        <v>47772</v>
      </c>
      <c r="H1707">
        <v>2733</v>
      </c>
      <c r="I1707">
        <v>118</v>
      </c>
      <c r="J1707">
        <v>452</v>
      </c>
      <c r="K1707">
        <v>427</v>
      </c>
      <c r="L1707">
        <v>16972</v>
      </c>
      <c r="M1707">
        <v>522</v>
      </c>
      <c r="N1707" s="1">
        <v>0.5625</v>
      </c>
      <c r="O1707" t="s">
        <v>42</v>
      </c>
    </row>
    <row r="1708" spans="1:15" x14ac:dyDescent="0.3">
      <c r="A1708" t="s">
        <v>1741</v>
      </c>
      <c r="B1708">
        <v>20250908</v>
      </c>
      <c r="C1708" t="s">
        <v>44</v>
      </c>
      <c r="D1708" t="s">
        <v>36</v>
      </c>
      <c r="E1708" t="s">
        <v>18</v>
      </c>
      <c r="F1708">
        <v>16686</v>
      </c>
      <c r="G1708">
        <v>20373</v>
      </c>
      <c r="H1708">
        <v>1671</v>
      </c>
      <c r="I1708">
        <v>68</v>
      </c>
      <c r="J1708">
        <v>200</v>
      </c>
      <c r="K1708">
        <v>85</v>
      </c>
      <c r="L1708">
        <v>0</v>
      </c>
      <c r="M1708">
        <v>297</v>
      </c>
      <c r="N1708" s="1">
        <v>0.375</v>
      </c>
      <c r="O1708" t="s">
        <v>27</v>
      </c>
    </row>
    <row r="1709" spans="1:15" x14ac:dyDescent="0.3">
      <c r="A1709" t="s">
        <v>1742</v>
      </c>
      <c r="B1709">
        <v>20250418</v>
      </c>
      <c r="C1709" t="s">
        <v>40</v>
      </c>
      <c r="D1709" t="s">
        <v>33</v>
      </c>
      <c r="E1709" t="s">
        <v>22</v>
      </c>
      <c r="F1709">
        <v>22609</v>
      </c>
      <c r="G1709">
        <v>24023</v>
      </c>
      <c r="H1709">
        <v>983</v>
      </c>
      <c r="I1709">
        <v>133</v>
      </c>
      <c r="J1709">
        <v>158</v>
      </c>
      <c r="K1709">
        <v>81</v>
      </c>
      <c r="L1709">
        <v>0</v>
      </c>
      <c r="M1709">
        <v>295</v>
      </c>
      <c r="N1709" s="1">
        <v>0.30208333333333331</v>
      </c>
      <c r="O1709" t="s">
        <v>53</v>
      </c>
    </row>
    <row r="1710" spans="1:15" x14ac:dyDescent="0.3">
      <c r="A1710" t="s">
        <v>1743</v>
      </c>
      <c r="B1710">
        <v>20250204</v>
      </c>
      <c r="C1710" t="s">
        <v>40</v>
      </c>
      <c r="D1710" t="s">
        <v>36</v>
      </c>
      <c r="E1710" t="s">
        <v>41</v>
      </c>
      <c r="F1710">
        <v>12382</v>
      </c>
      <c r="G1710">
        <v>14038</v>
      </c>
      <c r="H1710">
        <v>650</v>
      </c>
      <c r="I1710">
        <v>45</v>
      </c>
      <c r="J1710">
        <v>100</v>
      </c>
      <c r="K1710">
        <v>74</v>
      </c>
      <c r="L1710">
        <v>4586</v>
      </c>
      <c r="M1710">
        <v>73</v>
      </c>
      <c r="N1710" s="1">
        <v>0.52083333333333337</v>
      </c>
      <c r="O1710" t="s">
        <v>19</v>
      </c>
    </row>
    <row r="1711" spans="1:15" x14ac:dyDescent="0.3">
      <c r="A1711" t="s">
        <v>1744</v>
      </c>
      <c r="B1711">
        <v>20260125</v>
      </c>
      <c r="C1711" t="s">
        <v>44</v>
      </c>
      <c r="D1711" t="s">
        <v>29</v>
      </c>
      <c r="E1711" t="s">
        <v>26</v>
      </c>
      <c r="F1711">
        <v>17134</v>
      </c>
      <c r="G1711">
        <v>28101</v>
      </c>
      <c r="H1711">
        <v>1907</v>
      </c>
      <c r="I1711">
        <v>198</v>
      </c>
      <c r="J1711">
        <v>129</v>
      </c>
      <c r="K1711">
        <v>77</v>
      </c>
      <c r="L1711">
        <v>10673</v>
      </c>
      <c r="M1711">
        <v>181</v>
      </c>
      <c r="N1711" s="1">
        <v>0.375</v>
      </c>
      <c r="O1711" t="s">
        <v>30</v>
      </c>
    </row>
    <row r="1712" spans="1:15" x14ac:dyDescent="0.3">
      <c r="A1712" t="s">
        <v>1745</v>
      </c>
      <c r="B1712">
        <v>20260813</v>
      </c>
      <c r="C1712" t="s">
        <v>44</v>
      </c>
      <c r="D1712" t="s">
        <v>17</v>
      </c>
      <c r="E1712" t="s">
        <v>18</v>
      </c>
      <c r="F1712">
        <v>23346</v>
      </c>
      <c r="G1712">
        <v>38274</v>
      </c>
      <c r="H1712">
        <v>1374</v>
      </c>
      <c r="I1712">
        <v>104</v>
      </c>
      <c r="J1712">
        <v>274</v>
      </c>
      <c r="K1712">
        <v>199</v>
      </c>
      <c r="L1712">
        <v>0</v>
      </c>
      <c r="M1712">
        <v>365</v>
      </c>
      <c r="N1712" s="1">
        <v>0.48958333333333331</v>
      </c>
      <c r="O1712" t="s">
        <v>38</v>
      </c>
    </row>
    <row r="1713" spans="1:15" x14ac:dyDescent="0.3">
      <c r="A1713" t="s">
        <v>1746</v>
      </c>
      <c r="B1713">
        <v>20250527</v>
      </c>
      <c r="C1713" t="s">
        <v>32</v>
      </c>
      <c r="D1713" t="s">
        <v>17</v>
      </c>
      <c r="E1713" t="s">
        <v>51</v>
      </c>
      <c r="F1713">
        <v>15321</v>
      </c>
      <c r="G1713">
        <v>24318</v>
      </c>
      <c r="H1713">
        <v>1458</v>
      </c>
      <c r="I1713">
        <v>194</v>
      </c>
      <c r="J1713">
        <v>249</v>
      </c>
      <c r="K1713">
        <v>102</v>
      </c>
      <c r="M1713">
        <v>128</v>
      </c>
      <c r="N1713" s="1">
        <v>0.60416666666666663</v>
      </c>
      <c r="O1713" t="s">
        <v>38</v>
      </c>
    </row>
    <row r="1714" spans="1:15" x14ac:dyDescent="0.3">
      <c r="A1714" t="s">
        <v>1747</v>
      </c>
      <c r="B1714">
        <v>20250928</v>
      </c>
      <c r="C1714" t="s">
        <v>40</v>
      </c>
      <c r="D1714" t="s">
        <v>33</v>
      </c>
      <c r="E1714" t="s">
        <v>41</v>
      </c>
      <c r="F1714">
        <v>51176</v>
      </c>
      <c r="G1714">
        <v>58017</v>
      </c>
      <c r="H1714">
        <v>4662</v>
      </c>
      <c r="I1714">
        <v>147</v>
      </c>
      <c r="J1714">
        <v>778</v>
      </c>
      <c r="K1714">
        <v>296</v>
      </c>
      <c r="L1714">
        <v>22093</v>
      </c>
      <c r="M1714">
        <v>630</v>
      </c>
      <c r="N1714" s="1">
        <v>0.3125</v>
      </c>
      <c r="O1714" t="s">
        <v>47</v>
      </c>
    </row>
    <row r="1715" spans="1:15" x14ac:dyDescent="0.3">
      <c r="A1715" t="s">
        <v>1748</v>
      </c>
      <c r="B1715">
        <v>20251016</v>
      </c>
      <c r="C1715" t="s">
        <v>44</v>
      </c>
      <c r="D1715" t="s">
        <v>33</v>
      </c>
      <c r="E1715" t="s">
        <v>46</v>
      </c>
      <c r="F1715">
        <v>86632</v>
      </c>
      <c r="G1715">
        <v>135770</v>
      </c>
      <c r="H1715">
        <v>4079</v>
      </c>
      <c r="I1715">
        <v>473</v>
      </c>
      <c r="J1715">
        <v>350</v>
      </c>
      <c r="K1715">
        <v>343</v>
      </c>
      <c r="L1715">
        <v>44697</v>
      </c>
      <c r="M1715">
        <v>89</v>
      </c>
      <c r="N1715" s="1">
        <v>0.38541666666666669</v>
      </c>
      <c r="O1715" t="s">
        <v>34</v>
      </c>
    </row>
    <row r="1716" spans="1:15" x14ac:dyDescent="0.3">
      <c r="A1716" t="s">
        <v>1749</v>
      </c>
      <c r="B1716">
        <v>20250117</v>
      </c>
      <c r="C1716" t="s">
        <v>44</v>
      </c>
      <c r="D1716" t="s">
        <v>21</v>
      </c>
      <c r="E1716" t="s">
        <v>46</v>
      </c>
      <c r="F1716">
        <v>54618</v>
      </c>
      <c r="G1716">
        <v>82096</v>
      </c>
      <c r="H1716">
        <v>6221</v>
      </c>
      <c r="I1716">
        <v>495</v>
      </c>
      <c r="J1716">
        <v>508</v>
      </c>
      <c r="K1716">
        <v>782</v>
      </c>
      <c r="L1716">
        <v>21925</v>
      </c>
      <c r="M1716">
        <v>515</v>
      </c>
      <c r="N1716" s="1">
        <v>0.71875</v>
      </c>
      <c r="O1716" t="s">
        <v>47</v>
      </c>
    </row>
    <row r="1717" spans="1:15" x14ac:dyDescent="0.3">
      <c r="A1717" t="s">
        <v>1750</v>
      </c>
      <c r="B1717">
        <v>20260930</v>
      </c>
      <c r="C1717" t="s">
        <v>32</v>
      </c>
      <c r="D1717" t="s">
        <v>21</v>
      </c>
      <c r="E1717" t="s">
        <v>46</v>
      </c>
      <c r="F1717">
        <v>9448</v>
      </c>
      <c r="G1717">
        <v>11825</v>
      </c>
      <c r="H1717">
        <v>424</v>
      </c>
      <c r="I1717">
        <v>56</v>
      </c>
      <c r="J1717">
        <v>66</v>
      </c>
      <c r="K1717">
        <v>62</v>
      </c>
      <c r="L1717">
        <v>5885</v>
      </c>
      <c r="M1717">
        <v>134</v>
      </c>
      <c r="N1717" s="1">
        <v>0.39583333333333331</v>
      </c>
      <c r="O1717" t="s">
        <v>27</v>
      </c>
    </row>
    <row r="1718" spans="1:15" x14ac:dyDescent="0.3">
      <c r="A1718" t="s">
        <v>1751</v>
      </c>
      <c r="B1718">
        <v>20260131</v>
      </c>
      <c r="C1718" t="s">
        <v>16</v>
      </c>
      <c r="E1718" t="s">
        <v>46</v>
      </c>
      <c r="F1718">
        <v>50342</v>
      </c>
      <c r="G1718">
        <v>66479</v>
      </c>
      <c r="H1718">
        <v>1941</v>
      </c>
      <c r="I1718">
        <v>123</v>
      </c>
      <c r="J1718">
        <v>376</v>
      </c>
      <c r="K1718">
        <v>297</v>
      </c>
      <c r="L1718">
        <v>26592</v>
      </c>
      <c r="M1718">
        <v>77</v>
      </c>
      <c r="N1718" s="1">
        <v>0.48958333333333331</v>
      </c>
      <c r="O1718" t="s">
        <v>47</v>
      </c>
    </row>
    <row r="1719" spans="1:15" x14ac:dyDescent="0.3">
      <c r="A1719" t="s">
        <v>1752</v>
      </c>
      <c r="B1719">
        <v>20260602</v>
      </c>
      <c r="C1719" t="s">
        <v>40</v>
      </c>
      <c r="D1719" t="s">
        <v>17</v>
      </c>
      <c r="E1719" t="s">
        <v>46</v>
      </c>
      <c r="F1719">
        <v>48502</v>
      </c>
      <c r="G1719">
        <v>73225</v>
      </c>
      <c r="H1719">
        <v>1964</v>
      </c>
      <c r="I1719">
        <v>113</v>
      </c>
      <c r="J1719">
        <v>368</v>
      </c>
      <c r="K1719">
        <v>165</v>
      </c>
      <c r="L1719">
        <v>31396</v>
      </c>
      <c r="M1719">
        <v>828</v>
      </c>
      <c r="N1719" s="1">
        <v>0.48958333333333331</v>
      </c>
      <c r="O1719" t="s">
        <v>53</v>
      </c>
    </row>
    <row r="1720" spans="1:15" x14ac:dyDescent="0.3">
      <c r="A1720" t="s">
        <v>1753</v>
      </c>
      <c r="B1720">
        <v>20260414</v>
      </c>
      <c r="C1720" t="s">
        <v>40</v>
      </c>
      <c r="D1720" t="s">
        <v>29</v>
      </c>
      <c r="E1720" t="s">
        <v>46</v>
      </c>
      <c r="F1720">
        <v>21588</v>
      </c>
      <c r="G1720">
        <v>26723</v>
      </c>
      <c r="H1720">
        <v>1255</v>
      </c>
      <c r="I1720">
        <v>49</v>
      </c>
      <c r="J1720">
        <v>93</v>
      </c>
      <c r="K1720">
        <v>74</v>
      </c>
      <c r="L1720">
        <v>7687</v>
      </c>
      <c r="M1720">
        <v>299</v>
      </c>
      <c r="N1720" s="1">
        <v>0.77083333333333337</v>
      </c>
      <c r="O1720" t="s">
        <v>47</v>
      </c>
    </row>
    <row r="1721" spans="1:15" x14ac:dyDescent="0.3">
      <c r="A1721" t="s">
        <v>1754</v>
      </c>
      <c r="B1721">
        <v>20260822</v>
      </c>
      <c r="C1721" t="s">
        <v>44</v>
      </c>
      <c r="D1721" t="s">
        <v>21</v>
      </c>
      <c r="E1721" t="s">
        <v>26</v>
      </c>
      <c r="F1721">
        <v>18678</v>
      </c>
      <c r="G1721">
        <v>23690</v>
      </c>
      <c r="H1721">
        <v>1855</v>
      </c>
      <c r="I1721">
        <v>229</v>
      </c>
      <c r="J1721">
        <v>148</v>
      </c>
      <c r="K1721">
        <v>75</v>
      </c>
      <c r="L1721">
        <v>15788</v>
      </c>
      <c r="M1721">
        <v>53</v>
      </c>
      <c r="N1721" s="1">
        <v>0.66666666666666663</v>
      </c>
      <c r="O1721" t="s">
        <v>27</v>
      </c>
    </row>
    <row r="1722" spans="1:15" x14ac:dyDescent="0.3">
      <c r="A1722" t="s">
        <v>1755</v>
      </c>
      <c r="B1722">
        <v>20250701</v>
      </c>
      <c r="C1722" t="s">
        <v>25</v>
      </c>
      <c r="D1722" t="s">
        <v>61</v>
      </c>
      <c r="E1722" t="s">
        <v>18</v>
      </c>
      <c r="F1722">
        <v>24572</v>
      </c>
      <c r="G1722">
        <v>32649</v>
      </c>
      <c r="H1722">
        <v>1418</v>
      </c>
      <c r="I1722">
        <v>168</v>
      </c>
      <c r="J1722">
        <v>210</v>
      </c>
      <c r="K1722">
        <v>102</v>
      </c>
      <c r="L1722">
        <v>0</v>
      </c>
      <c r="M1722">
        <v>336</v>
      </c>
      <c r="N1722" s="1">
        <v>0.9375</v>
      </c>
      <c r="O1722" t="s">
        <v>34</v>
      </c>
    </row>
    <row r="1723" spans="1:15" x14ac:dyDescent="0.3">
      <c r="A1723" t="s">
        <v>1756</v>
      </c>
      <c r="B1723">
        <v>20260715</v>
      </c>
      <c r="C1723" t="s">
        <v>40</v>
      </c>
      <c r="D1723" t="s">
        <v>36</v>
      </c>
      <c r="E1723" t="s">
        <v>46</v>
      </c>
      <c r="F1723">
        <v>56204</v>
      </c>
      <c r="G1723">
        <v>79027</v>
      </c>
      <c r="H1723">
        <v>5710</v>
      </c>
      <c r="I1723">
        <v>222</v>
      </c>
      <c r="J1723">
        <v>963</v>
      </c>
      <c r="K1723">
        <v>888</v>
      </c>
      <c r="L1723">
        <v>48181</v>
      </c>
      <c r="M1723">
        <v>211</v>
      </c>
      <c r="N1723" s="1">
        <v>0.875</v>
      </c>
      <c r="O1723" t="s">
        <v>34</v>
      </c>
    </row>
    <row r="1724" spans="1:15" x14ac:dyDescent="0.3">
      <c r="A1724" t="s">
        <v>1757</v>
      </c>
      <c r="B1724">
        <v>20250406</v>
      </c>
      <c r="C1724" t="s">
        <v>16</v>
      </c>
      <c r="D1724" t="s">
        <v>68</v>
      </c>
      <c r="E1724" t="s">
        <v>51</v>
      </c>
      <c r="F1724">
        <v>18489</v>
      </c>
      <c r="G1724">
        <v>30356</v>
      </c>
      <c r="H1724">
        <v>1858</v>
      </c>
      <c r="I1724">
        <v>257</v>
      </c>
      <c r="J1724">
        <v>129</v>
      </c>
      <c r="K1724">
        <v>68</v>
      </c>
      <c r="L1724">
        <v>0</v>
      </c>
      <c r="M1724">
        <v>302</v>
      </c>
      <c r="N1724" s="1">
        <v>0.88541666666666663</v>
      </c>
      <c r="O1724" t="s">
        <v>27</v>
      </c>
    </row>
    <row r="1725" spans="1:15" x14ac:dyDescent="0.3">
      <c r="A1725" t="s">
        <v>1758</v>
      </c>
      <c r="B1725">
        <v>20260408</v>
      </c>
      <c r="C1725" t="s">
        <v>40</v>
      </c>
      <c r="D1725" t="s">
        <v>61</v>
      </c>
      <c r="E1725" t="s">
        <v>26</v>
      </c>
      <c r="F1725">
        <v>13662</v>
      </c>
      <c r="G1725">
        <v>14525</v>
      </c>
      <c r="H1725">
        <v>468</v>
      </c>
      <c r="I1725">
        <v>29</v>
      </c>
      <c r="J1725">
        <v>45</v>
      </c>
      <c r="K1725">
        <v>48</v>
      </c>
      <c r="L1725">
        <v>10759</v>
      </c>
      <c r="M1725">
        <v>234</v>
      </c>
      <c r="N1725" s="1">
        <v>0.75</v>
      </c>
      <c r="O1725" t="s">
        <v>19</v>
      </c>
    </row>
    <row r="1726" spans="1:15" x14ac:dyDescent="0.3">
      <c r="A1726" t="s">
        <v>1759</v>
      </c>
      <c r="B1726">
        <v>20250812</v>
      </c>
      <c r="C1726" t="s">
        <v>40</v>
      </c>
      <c r="D1726" t="s">
        <v>21</v>
      </c>
      <c r="E1726" t="s">
        <v>46</v>
      </c>
      <c r="F1726">
        <v>39840</v>
      </c>
      <c r="G1726">
        <v>58320</v>
      </c>
      <c r="H1726">
        <v>1913</v>
      </c>
      <c r="I1726">
        <v>127</v>
      </c>
      <c r="J1726">
        <v>117</v>
      </c>
      <c r="K1726">
        <v>278</v>
      </c>
      <c r="L1726">
        <v>33386</v>
      </c>
      <c r="M1726">
        <v>273</v>
      </c>
      <c r="N1726" s="1">
        <v>0.85416666666666663</v>
      </c>
      <c r="O1726" t="s">
        <v>27</v>
      </c>
    </row>
    <row r="1727" spans="1:15" x14ac:dyDescent="0.3">
      <c r="A1727" t="s">
        <v>1760</v>
      </c>
      <c r="B1727">
        <v>20250926</v>
      </c>
      <c r="C1727" t="s">
        <v>16</v>
      </c>
      <c r="E1727" t="s">
        <v>18</v>
      </c>
      <c r="F1727">
        <v>34386</v>
      </c>
      <c r="G1727">
        <v>48243</v>
      </c>
      <c r="H1727">
        <v>2123</v>
      </c>
      <c r="J1727">
        <v>406</v>
      </c>
      <c r="K1727">
        <v>299</v>
      </c>
      <c r="L1727">
        <v>0</v>
      </c>
      <c r="M1727">
        <v>54</v>
      </c>
      <c r="N1727" s="1">
        <v>0.52083333333333337</v>
      </c>
      <c r="O1727" t="s">
        <v>19</v>
      </c>
    </row>
    <row r="1728" spans="1:15" x14ac:dyDescent="0.3">
      <c r="A1728" t="s">
        <v>1761</v>
      </c>
      <c r="B1728">
        <v>20260416</v>
      </c>
      <c r="C1728" t="s">
        <v>32</v>
      </c>
      <c r="D1728" t="s">
        <v>21</v>
      </c>
      <c r="E1728" t="s">
        <v>46</v>
      </c>
      <c r="F1728">
        <v>20942</v>
      </c>
      <c r="G1728">
        <v>33775</v>
      </c>
      <c r="H1728">
        <v>1623</v>
      </c>
      <c r="I1728">
        <v>68</v>
      </c>
      <c r="J1728">
        <v>274</v>
      </c>
      <c r="K1728">
        <v>151</v>
      </c>
      <c r="L1728">
        <v>16425</v>
      </c>
      <c r="M1728">
        <v>55</v>
      </c>
      <c r="N1728" s="1">
        <v>0.35416666666666669</v>
      </c>
      <c r="O1728" t="s">
        <v>34</v>
      </c>
    </row>
    <row r="1729" spans="1:15" x14ac:dyDescent="0.3">
      <c r="A1729" t="s">
        <v>1762</v>
      </c>
      <c r="B1729">
        <v>20250424</v>
      </c>
      <c r="C1729" t="s">
        <v>40</v>
      </c>
      <c r="D1729" t="s">
        <v>29</v>
      </c>
      <c r="E1729" t="s">
        <v>26</v>
      </c>
      <c r="F1729">
        <v>28903</v>
      </c>
      <c r="G1729">
        <v>37484</v>
      </c>
      <c r="H1729">
        <v>1415</v>
      </c>
      <c r="I1729">
        <v>167</v>
      </c>
      <c r="J1729">
        <v>62</v>
      </c>
      <c r="K1729">
        <v>201</v>
      </c>
      <c r="L1729">
        <v>13085</v>
      </c>
      <c r="M1729">
        <v>229</v>
      </c>
      <c r="N1729" s="1">
        <v>0.79166666666666663</v>
      </c>
      <c r="O1729" t="s">
        <v>30</v>
      </c>
    </row>
    <row r="1730" spans="1:15" x14ac:dyDescent="0.3">
      <c r="A1730" t="s">
        <v>1763</v>
      </c>
      <c r="B1730">
        <v>20260705</v>
      </c>
      <c r="C1730" t="s">
        <v>32</v>
      </c>
      <c r="D1730" t="s">
        <v>68</v>
      </c>
      <c r="E1730" t="s">
        <v>46</v>
      </c>
      <c r="F1730">
        <v>12836</v>
      </c>
      <c r="G1730">
        <v>19227</v>
      </c>
      <c r="H1730">
        <v>541</v>
      </c>
      <c r="I1730">
        <v>60</v>
      </c>
      <c r="J1730">
        <v>100</v>
      </c>
      <c r="K1730">
        <v>14</v>
      </c>
      <c r="L1730">
        <v>8708</v>
      </c>
      <c r="M1730">
        <v>92</v>
      </c>
      <c r="N1730" s="1">
        <v>0.46875</v>
      </c>
      <c r="O1730" t="s">
        <v>47</v>
      </c>
    </row>
    <row r="1731" spans="1:15" x14ac:dyDescent="0.3">
      <c r="A1731" t="s">
        <v>1764</v>
      </c>
      <c r="B1731">
        <v>20250409</v>
      </c>
      <c r="C1731" t="s">
        <v>40</v>
      </c>
      <c r="D1731" t="s">
        <v>36</v>
      </c>
      <c r="E1731" t="s">
        <v>51</v>
      </c>
      <c r="F1731">
        <v>21403</v>
      </c>
      <c r="G1731">
        <v>29676</v>
      </c>
      <c r="H1731">
        <v>1241</v>
      </c>
      <c r="I1731">
        <v>47</v>
      </c>
      <c r="J1731">
        <v>216</v>
      </c>
      <c r="K1731">
        <v>97</v>
      </c>
      <c r="L1731">
        <v>0</v>
      </c>
      <c r="M1731">
        <v>273</v>
      </c>
      <c r="N1731" s="1">
        <v>0.35416666666666669</v>
      </c>
      <c r="O1731" t="s">
        <v>53</v>
      </c>
    </row>
    <row r="1732" spans="1:15" x14ac:dyDescent="0.3">
      <c r="A1732" t="s">
        <v>1765</v>
      </c>
      <c r="B1732">
        <v>20260902</v>
      </c>
      <c r="C1732" t="s">
        <v>16</v>
      </c>
      <c r="D1732" t="s">
        <v>29</v>
      </c>
      <c r="E1732" t="s">
        <v>41</v>
      </c>
      <c r="F1732">
        <v>12327</v>
      </c>
      <c r="G1732">
        <v>14693</v>
      </c>
      <c r="H1732">
        <v>1178</v>
      </c>
      <c r="I1732">
        <v>34</v>
      </c>
      <c r="J1732">
        <v>66</v>
      </c>
      <c r="K1732">
        <v>35</v>
      </c>
      <c r="L1732">
        <v>7163</v>
      </c>
      <c r="M1732">
        <v>201</v>
      </c>
      <c r="N1732" s="1">
        <v>0.36458333333333331</v>
      </c>
      <c r="O1732" t="s">
        <v>38</v>
      </c>
    </row>
    <row r="1733" spans="1:15" x14ac:dyDescent="0.3">
      <c r="A1733" t="s">
        <v>1766</v>
      </c>
      <c r="B1733">
        <v>20260422</v>
      </c>
      <c r="C1733" t="s">
        <v>40</v>
      </c>
      <c r="D1733" t="s">
        <v>36</v>
      </c>
      <c r="E1733" t="s">
        <v>18</v>
      </c>
      <c r="F1733">
        <v>14547</v>
      </c>
      <c r="G1733">
        <v>16829</v>
      </c>
      <c r="H1733">
        <v>1209</v>
      </c>
      <c r="I1733">
        <v>84</v>
      </c>
      <c r="J1733">
        <v>112</v>
      </c>
      <c r="K1733">
        <v>104</v>
      </c>
      <c r="L1733">
        <v>0</v>
      </c>
      <c r="M1733">
        <v>47</v>
      </c>
      <c r="N1733" s="1">
        <v>0.63541666666666663</v>
      </c>
      <c r="O1733" t="s">
        <v>42</v>
      </c>
    </row>
    <row r="1734" spans="1:15" x14ac:dyDescent="0.3">
      <c r="A1734" t="s">
        <v>1767</v>
      </c>
      <c r="B1734">
        <v>20251210</v>
      </c>
      <c r="C1734" t="s">
        <v>32</v>
      </c>
      <c r="D1734" t="s">
        <v>61</v>
      </c>
      <c r="E1734" t="s">
        <v>46</v>
      </c>
      <c r="F1734">
        <v>12886</v>
      </c>
      <c r="G1734">
        <v>21254</v>
      </c>
      <c r="H1734">
        <v>581</v>
      </c>
      <c r="I1734">
        <v>43</v>
      </c>
      <c r="J1734">
        <v>82</v>
      </c>
      <c r="K1734">
        <v>49</v>
      </c>
      <c r="L1734">
        <v>8306</v>
      </c>
      <c r="M1734">
        <v>175</v>
      </c>
      <c r="N1734" s="1">
        <v>0.83333333333333337</v>
      </c>
      <c r="O1734" t="s">
        <v>42</v>
      </c>
    </row>
    <row r="1735" spans="1:15" x14ac:dyDescent="0.3">
      <c r="A1735" t="s">
        <v>1768</v>
      </c>
      <c r="B1735">
        <v>20250703</v>
      </c>
      <c r="C1735" t="s">
        <v>44</v>
      </c>
      <c r="D1735" t="s">
        <v>33</v>
      </c>
      <c r="E1735" t="s">
        <v>51</v>
      </c>
      <c r="F1735">
        <v>58604</v>
      </c>
      <c r="G1735">
        <v>81649</v>
      </c>
      <c r="H1735">
        <v>2320</v>
      </c>
      <c r="I1735">
        <v>207</v>
      </c>
      <c r="J1735">
        <v>223</v>
      </c>
      <c r="K1735">
        <v>168</v>
      </c>
      <c r="L1735">
        <v>0</v>
      </c>
      <c r="M1735">
        <v>254</v>
      </c>
      <c r="N1735" s="1">
        <v>0.34375</v>
      </c>
      <c r="O1735" t="s">
        <v>38</v>
      </c>
    </row>
    <row r="1736" spans="1:15" x14ac:dyDescent="0.3">
      <c r="A1736" t="s">
        <v>1769</v>
      </c>
      <c r="B1736">
        <v>20260120</v>
      </c>
      <c r="C1736" t="s">
        <v>32</v>
      </c>
      <c r="D1736" t="s">
        <v>17</v>
      </c>
      <c r="E1736" t="s">
        <v>18</v>
      </c>
      <c r="F1736">
        <v>3957</v>
      </c>
      <c r="G1736">
        <v>5507</v>
      </c>
      <c r="H1736">
        <v>404</v>
      </c>
      <c r="I1736">
        <v>38</v>
      </c>
      <c r="J1736">
        <v>15</v>
      </c>
      <c r="K1736">
        <v>30</v>
      </c>
      <c r="L1736">
        <v>0</v>
      </c>
      <c r="M1736">
        <v>54</v>
      </c>
      <c r="N1736" s="1">
        <v>0.41666666666666669</v>
      </c>
      <c r="O1736" t="s">
        <v>38</v>
      </c>
    </row>
    <row r="1737" spans="1:15" x14ac:dyDescent="0.3">
      <c r="A1737" t="s">
        <v>1770</v>
      </c>
      <c r="B1737">
        <v>20260128</v>
      </c>
      <c r="C1737" t="s">
        <v>32</v>
      </c>
      <c r="D1737" t="s">
        <v>61</v>
      </c>
      <c r="E1737" t="s">
        <v>41</v>
      </c>
      <c r="F1737">
        <v>4676</v>
      </c>
      <c r="G1737">
        <v>5433</v>
      </c>
      <c r="H1737">
        <v>365</v>
      </c>
      <c r="I1737">
        <v>29</v>
      </c>
      <c r="J1737">
        <v>39</v>
      </c>
      <c r="K1737">
        <v>43</v>
      </c>
      <c r="L1737">
        <v>2818</v>
      </c>
      <c r="M1737">
        <v>68</v>
      </c>
      <c r="N1737" s="1">
        <v>0.38541666666666669</v>
      </c>
      <c r="O1737" t="s">
        <v>42</v>
      </c>
    </row>
    <row r="1738" spans="1:15" x14ac:dyDescent="0.3">
      <c r="A1738" t="s">
        <v>1771</v>
      </c>
      <c r="B1738">
        <v>20250208</v>
      </c>
      <c r="C1738" t="s">
        <v>40</v>
      </c>
      <c r="D1738" t="s">
        <v>61</v>
      </c>
      <c r="E1738" t="s">
        <v>41</v>
      </c>
      <c r="F1738">
        <v>25059</v>
      </c>
      <c r="G1738">
        <v>33033</v>
      </c>
      <c r="H1738">
        <v>813</v>
      </c>
      <c r="I1738">
        <v>37</v>
      </c>
      <c r="J1738">
        <v>150</v>
      </c>
      <c r="K1738">
        <v>53</v>
      </c>
      <c r="L1738">
        <v>17615</v>
      </c>
      <c r="M1738">
        <v>424</v>
      </c>
      <c r="N1738" s="1">
        <v>0.84375</v>
      </c>
      <c r="O1738" t="s">
        <v>47</v>
      </c>
    </row>
    <row r="1739" spans="1:15" x14ac:dyDescent="0.3">
      <c r="A1739" t="s">
        <v>1772</v>
      </c>
      <c r="B1739">
        <v>20260222</v>
      </c>
      <c r="C1739" t="s">
        <v>16</v>
      </c>
      <c r="D1739" t="s">
        <v>29</v>
      </c>
      <c r="E1739" t="s">
        <v>41</v>
      </c>
      <c r="F1739">
        <v>48308</v>
      </c>
      <c r="G1739">
        <v>74630</v>
      </c>
      <c r="H1739">
        <v>3261</v>
      </c>
      <c r="I1739">
        <v>271</v>
      </c>
      <c r="J1739">
        <v>230</v>
      </c>
      <c r="K1739">
        <v>190</v>
      </c>
      <c r="L1739">
        <v>37981</v>
      </c>
      <c r="M1739">
        <v>143</v>
      </c>
      <c r="N1739" s="1">
        <v>0.58333333333333337</v>
      </c>
      <c r="O1739" t="s">
        <v>19</v>
      </c>
    </row>
    <row r="1740" spans="1:15" x14ac:dyDescent="0.3">
      <c r="A1740" t="s">
        <v>1773</v>
      </c>
      <c r="B1740">
        <v>20250817</v>
      </c>
      <c r="C1740" t="s">
        <v>25</v>
      </c>
      <c r="D1740" t="s">
        <v>33</v>
      </c>
      <c r="E1740" t="s">
        <v>46</v>
      </c>
      <c r="F1740">
        <v>44407</v>
      </c>
      <c r="G1740">
        <v>56741</v>
      </c>
      <c r="H1740">
        <v>4166</v>
      </c>
      <c r="I1740">
        <v>580</v>
      </c>
      <c r="J1740">
        <v>444</v>
      </c>
      <c r="K1740">
        <v>159</v>
      </c>
      <c r="L1740">
        <v>24718</v>
      </c>
      <c r="M1740">
        <v>323</v>
      </c>
      <c r="N1740" s="1">
        <v>0.46875</v>
      </c>
      <c r="O1740" t="s">
        <v>38</v>
      </c>
    </row>
    <row r="1741" spans="1:15" x14ac:dyDescent="0.3">
      <c r="A1741" t="s">
        <v>1774</v>
      </c>
      <c r="B1741">
        <v>20251215</v>
      </c>
      <c r="C1741" t="s">
        <v>40</v>
      </c>
      <c r="D1741" t="s">
        <v>33</v>
      </c>
      <c r="E1741" t="s">
        <v>51</v>
      </c>
      <c r="F1741">
        <v>26901</v>
      </c>
      <c r="G1741">
        <v>41313</v>
      </c>
      <c r="H1741">
        <v>2708</v>
      </c>
      <c r="I1741">
        <v>173</v>
      </c>
      <c r="J1741">
        <v>272</v>
      </c>
      <c r="K1741">
        <v>80</v>
      </c>
      <c r="L1741">
        <v>0</v>
      </c>
      <c r="M1741">
        <v>165</v>
      </c>
      <c r="N1741" s="1">
        <v>0.45833333333333331</v>
      </c>
      <c r="O1741" t="s">
        <v>23</v>
      </c>
    </row>
    <row r="1742" spans="1:15" x14ac:dyDescent="0.3">
      <c r="A1742" t="s">
        <v>1775</v>
      </c>
      <c r="B1742">
        <v>20250608</v>
      </c>
      <c r="C1742" t="s">
        <v>16</v>
      </c>
      <c r="D1742" t="s">
        <v>17</v>
      </c>
      <c r="E1742" t="s">
        <v>26</v>
      </c>
      <c r="F1742">
        <v>18429</v>
      </c>
      <c r="G1742">
        <v>24495</v>
      </c>
      <c r="H1742">
        <v>766</v>
      </c>
      <c r="I1742">
        <v>37</v>
      </c>
      <c r="J1742">
        <v>140</v>
      </c>
      <c r="K1742">
        <v>62</v>
      </c>
      <c r="L1742">
        <v>15046</v>
      </c>
      <c r="M1742">
        <v>158</v>
      </c>
      <c r="N1742" s="1">
        <v>0.71875</v>
      </c>
      <c r="O1742" t="s">
        <v>47</v>
      </c>
    </row>
    <row r="1743" spans="1:15" x14ac:dyDescent="0.3">
      <c r="A1743" t="s">
        <v>1776</v>
      </c>
      <c r="B1743">
        <v>20260905</v>
      </c>
      <c r="C1743" t="s">
        <v>25</v>
      </c>
      <c r="D1743" t="s">
        <v>17</v>
      </c>
      <c r="E1743" t="s">
        <v>41</v>
      </c>
      <c r="F1743">
        <v>42998</v>
      </c>
      <c r="G1743">
        <v>69449</v>
      </c>
      <c r="H1743">
        <v>3154</v>
      </c>
      <c r="I1743">
        <v>150</v>
      </c>
      <c r="J1743">
        <v>141</v>
      </c>
      <c r="K1743">
        <v>485</v>
      </c>
      <c r="L1743">
        <v>18240</v>
      </c>
      <c r="M1743">
        <v>187</v>
      </c>
      <c r="N1743" s="1">
        <v>0.875</v>
      </c>
      <c r="O1743" t="s">
        <v>42</v>
      </c>
    </row>
    <row r="1744" spans="1:15" x14ac:dyDescent="0.3">
      <c r="A1744" t="s">
        <v>1777</v>
      </c>
      <c r="B1744">
        <v>20260301</v>
      </c>
      <c r="C1744" t="s">
        <v>44</v>
      </c>
      <c r="D1744" t="s">
        <v>61</v>
      </c>
      <c r="E1744" t="s">
        <v>26</v>
      </c>
      <c r="F1744">
        <v>18531</v>
      </c>
      <c r="G1744">
        <v>28032</v>
      </c>
      <c r="H1744">
        <v>1635</v>
      </c>
      <c r="I1744">
        <v>89</v>
      </c>
      <c r="K1744">
        <v>231</v>
      </c>
      <c r="L1744">
        <v>15363</v>
      </c>
      <c r="M1744">
        <v>248</v>
      </c>
      <c r="N1744" s="1">
        <v>0.60416666666666663</v>
      </c>
      <c r="O1744" t="s">
        <v>53</v>
      </c>
    </row>
    <row r="1745" spans="1:15" x14ac:dyDescent="0.3">
      <c r="A1745" t="s">
        <v>1778</v>
      </c>
      <c r="B1745">
        <v>20250805</v>
      </c>
      <c r="C1745" t="s">
        <v>25</v>
      </c>
      <c r="D1745" t="s">
        <v>21</v>
      </c>
      <c r="E1745" t="s">
        <v>46</v>
      </c>
      <c r="F1745">
        <v>22702</v>
      </c>
      <c r="G1745">
        <v>27492</v>
      </c>
      <c r="H1745">
        <v>751</v>
      </c>
      <c r="I1745">
        <v>43</v>
      </c>
      <c r="J1745">
        <v>45</v>
      </c>
      <c r="K1745">
        <v>116</v>
      </c>
      <c r="L1745">
        <v>14038</v>
      </c>
      <c r="M1745">
        <v>107</v>
      </c>
      <c r="N1745" s="1">
        <v>0.59375</v>
      </c>
      <c r="O1745" t="s">
        <v>47</v>
      </c>
    </row>
    <row r="1746" spans="1:15" x14ac:dyDescent="0.3">
      <c r="A1746" t="s">
        <v>1779</v>
      </c>
      <c r="B1746">
        <v>20260202</v>
      </c>
      <c r="C1746" t="s">
        <v>16</v>
      </c>
      <c r="D1746" t="s">
        <v>33</v>
      </c>
      <c r="E1746" t="s">
        <v>46</v>
      </c>
      <c r="F1746">
        <v>64377</v>
      </c>
      <c r="G1746">
        <v>68369</v>
      </c>
      <c r="H1746">
        <v>3659</v>
      </c>
      <c r="I1746">
        <v>465</v>
      </c>
      <c r="J1746">
        <v>211</v>
      </c>
      <c r="K1746">
        <v>413</v>
      </c>
      <c r="L1746">
        <v>45937</v>
      </c>
      <c r="M1746">
        <v>386</v>
      </c>
      <c r="N1746" s="1">
        <v>0.9375</v>
      </c>
      <c r="O1746" t="s">
        <v>23</v>
      </c>
    </row>
    <row r="1747" spans="1:15" x14ac:dyDescent="0.3">
      <c r="A1747" t="s">
        <v>1780</v>
      </c>
      <c r="B1747">
        <v>20250108</v>
      </c>
      <c r="C1747" t="s">
        <v>40</v>
      </c>
      <c r="D1747" t="s">
        <v>17</v>
      </c>
      <c r="E1747" t="s">
        <v>22</v>
      </c>
      <c r="F1747">
        <v>13362</v>
      </c>
      <c r="G1747">
        <v>17322</v>
      </c>
      <c r="H1747">
        <v>608</v>
      </c>
      <c r="J1747">
        <v>76</v>
      </c>
      <c r="K1747">
        <v>86</v>
      </c>
      <c r="L1747">
        <v>0</v>
      </c>
      <c r="M1747">
        <v>194</v>
      </c>
      <c r="N1747" s="1">
        <v>0.44791666666666669</v>
      </c>
      <c r="O1747" t="s">
        <v>34</v>
      </c>
    </row>
    <row r="1748" spans="1:15" x14ac:dyDescent="0.3">
      <c r="A1748" t="s">
        <v>1781</v>
      </c>
      <c r="B1748">
        <v>20250626</v>
      </c>
      <c r="C1748" t="s">
        <v>32</v>
      </c>
      <c r="D1748" t="s">
        <v>21</v>
      </c>
      <c r="E1748" t="s">
        <v>22</v>
      </c>
      <c r="F1748">
        <v>2211</v>
      </c>
      <c r="G1748">
        <v>2819</v>
      </c>
      <c r="H1748">
        <v>134</v>
      </c>
      <c r="I1748">
        <v>5</v>
      </c>
      <c r="J1748">
        <v>7</v>
      </c>
      <c r="K1748">
        <v>2</v>
      </c>
      <c r="L1748">
        <v>0</v>
      </c>
      <c r="M1748">
        <v>38</v>
      </c>
      <c r="N1748" s="1">
        <v>0.625</v>
      </c>
      <c r="O1748" t="s">
        <v>49</v>
      </c>
    </row>
    <row r="1749" spans="1:15" x14ac:dyDescent="0.3">
      <c r="A1749" t="s">
        <v>1782</v>
      </c>
      <c r="B1749">
        <v>20251115</v>
      </c>
      <c r="C1749" t="s">
        <v>16</v>
      </c>
      <c r="D1749" t="s">
        <v>36</v>
      </c>
      <c r="E1749" t="s">
        <v>18</v>
      </c>
      <c r="F1749">
        <v>18983</v>
      </c>
      <c r="G1749">
        <v>20109</v>
      </c>
      <c r="H1749">
        <v>1768</v>
      </c>
      <c r="I1749">
        <v>218</v>
      </c>
      <c r="J1749">
        <v>287</v>
      </c>
      <c r="K1749">
        <v>171</v>
      </c>
      <c r="L1749">
        <v>0</v>
      </c>
      <c r="M1749">
        <v>163</v>
      </c>
      <c r="N1749" s="1">
        <v>0.84375</v>
      </c>
      <c r="O1749" t="s">
        <v>47</v>
      </c>
    </row>
    <row r="1750" spans="1:15" x14ac:dyDescent="0.3">
      <c r="A1750" t="s">
        <v>1783</v>
      </c>
      <c r="B1750">
        <v>20250430</v>
      </c>
      <c r="C1750" t="s">
        <v>44</v>
      </c>
      <c r="D1750" t="s">
        <v>17</v>
      </c>
      <c r="E1750" t="s">
        <v>18</v>
      </c>
      <c r="F1750">
        <v>65928</v>
      </c>
      <c r="G1750">
        <v>97936</v>
      </c>
      <c r="H1750">
        <v>6691</v>
      </c>
      <c r="I1750">
        <v>467</v>
      </c>
      <c r="J1750">
        <v>497</v>
      </c>
      <c r="K1750">
        <v>459</v>
      </c>
      <c r="L1750">
        <v>0</v>
      </c>
      <c r="M1750">
        <v>1105</v>
      </c>
      <c r="N1750" s="1">
        <v>0.69791666666666663</v>
      </c>
      <c r="O1750" t="s">
        <v>53</v>
      </c>
    </row>
    <row r="1751" spans="1:15" x14ac:dyDescent="0.3">
      <c r="A1751" t="s">
        <v>1784</v>
      </c>
      <c r="B1751">
        <v>20250726</v>
      </c>
      <c r="C1751" t="s">
        <v>25</v>
      </c>
      <c r="D1751" t="s">
        <v>33</v>
      </c>
      <c r="E1751" t="s">
        <v>18</v>
      </c>
      <c r="F1751">
        <v>12234</v>
      </c>
      <c r="G1751">
        <v>15376</v>
      </c>
      <c r="H1751">
        <v>380</v>
      </c>
      <c r="I1751">
        <v>28</v>
      </c>
      <c r="J1751">
        <v>52</v>
      </c>
      <c r="K1751">
        <v>51</v>
      </c>
      <c r="L1751">
        <v>0</v>
      </c>
      <c r="M1751">
        <v>105</v>
      </c>
      <c r="N1751" s="1">
        <v>0.40625</v>
      </c>
      <c r="O1751" t="s">
        <v>27</v>
      </c>
    </row>
    <row r="1752" spans="1:15" x14ac:dyDescent="0.3">
      <c r="A1752" t="s">
        <v>1785</v>
      </c>
      <c r="B1752">
        <v>20260319</v>
      </c>
      <c r="C1752" t="s">
        <v>16</v>
      </c>
      <c r="D1752" t="s">
        <v>68</v>
      </c>
      <c r="E1752" t="s">
        <v>46</v>
      </c>
      <c r="F1752">
        <v>52087</v>
      </c>
      <c r="G1752">
        <v>60908</v>
      </c>
      <c r="H1752">
        <v>1521</v>
      </c>
      <c r="I1752">
        <v>175</v>
      </c>
      <c r="J1752">
        <v>176</v>
      </c>
      <c r="K1752">
        <v>112</v>
      </c>
      <c r="L1752">
        <v>40142</v>
      </c>
      <c r="M1752">
        <v>128</v>
      </c>
      <c r="N1752" s="1">
        <v>0.75</v>
      </c>
      <c r="O1752" t="s">
        <v>27</v>
      </c>
    </row>
    <row r="1753" spans="1:15" x14ac:dyDescent="0.3">
      <c r="A1753" t="s">
        <v>1786</v>
      </c>
      <c r="B1753">
        <v>20251208</v>
      </c>
      <c r="C1753" t="s">
        <v>44</v>
      </c>
      <c r="D1753" t="s">
        <v>29</v>
      </c>
      <c r="E1753" t="s">
        <v>41</v>
      </c>
      <c r="F1753">
        <v>29191</v>
      </c>
      <c r="G1753">
        <v>33148</v>
      </c>
      <c r="H1753">
        <v>2357</v>
      </c>
      <c r="I1753">
        <v>304</v>
      </c>
      <c r="J1753">
        <v>445</v>
      </c>
      <c r="K1753">
        <v>373</v>
      </c>
      <c r="L1753">
        <v>20219</v>
      </c>
      <c r="M1753">
        <v>498</v>
      </c>
      <c r="N1753" s="1">
        <v>0.72916666666666663</v>
      </c>
      <c r="O1753" t="s">
        <v>27</v>
      </c>
    </row>
    <row r="1754" spans="1:15" x14ac:dyDescent="0.3">
      <c r="A1754" t="s">
        <v>1787</v>
      </c>
      <c r="B1754">
        <v>20260817</v>
      </c>
      <c r="C1754" t="s">
        <v>40</v>
      </c>
      <c r="D1754" t="s">
        <v>33</v>
      </c>
      <c r="E1754" t="s">
        <v>22</v>
      </c>
      <c r="F1754">
        <v>6997</v>
      </c>
      <c r="G1754">
        <v>9999</v>
      </c>
      <c r="H1754">
        <v>444</v>
      </c>
      <c r="I1754">
        <v>21</v>
      </c>
      <c r="J1754">
        <v>45</v>
      </c>
      <c r="K1754">
        <v>15</v>
      </c>
      <c r="L1754">
        <v>0</v>
      </c>
      <c r="M1754">
        <v>54</v>
      </c>
      <c r="N1754" s="1">
        <v>0.48958333333333331</v>
      </c>
      <c r="O1754" t="s">
        <v>27</v>
      </c>
    </row>
    <row r="1755" spans="1:15" x14ac:dyDescent="0.3">
      <c r="A1755" t="s">
        <v>1788</v>
      </c>
      <c r="B1755">
        <v>20260708</v>
      </c>
      <c r="C1755" t="s">
        <v>44</v>
      </c>
      <c r="D1755" t="s">
        <v>33</v>
      </c>
      <c r="E1755" t="s">
        <v>51</v>
      </c>
      <c r="F1755">
        <v>55546</v>
      </c>
      <c r="G1755">
        <v>62499</v>
      </c>
      <c r="H1755">
        <v>2598</v>
      </c>
      <c r="I1755">
        <v>135</v>
      </c>
      <c r="J1755">
        <v>139</v>
      </c>
      <c r="K1755">
        <v>161</v>
      </c>
      <c r="L1755">
        <v>0</v>
      </c>
      <c r="M1755">
        <v>658</v>
      </c>
      <c r="N1755" s="1">
        <v>0.35416666666666669</v>
      </c>
      <c r="O1755" t="s">
        <v>38</v>
      </c>
    </row>
    <row r="1756" spans="1:15" x14ac:dyDescent="0.3">
      <c r="A1756" t="s">
        <v>1789</v>
      </c>
      <c r="B1756">
        <v>20260603</v>
      </c>
      <c r="C1756" t="s">
        <v>44</v>
      </c>
      <c r="D1756" t="s">
        <v>17</v>
      </c>
      <c r="E1756" t="s">
        <v>41</v>
      </c>
      <c r="F1756">
        <v>59163</v>
      </c>
      <c r="G1756">
        <v>86038</v>
      </c>
      <c r="H1756">
        <v>3556</v>
      </c>
      <c r="I1756">
        <v>344</v>
      </c>
      <c r="J1756">
        <v>184</v>
      </c>
      <c r="K1756">
        <v>554</v>
      </c>
      <c r="L1756">
        <v>38385</v>
      </c>
      <c r="M1756">
        <v>203</v>
      </c>
      <c r="N1756" s="1">
        <v>0.55208333333333337</v>
      </c>
      <c r="O1756" t="s">
        <v>27</v>
      </c>
    </row>
    <row r="1757" spans="1:15" x14ac:dyDescent="0.3">
      <c r="A1757" t="s">
        <v>1790</v>
      </c>
      <c r="B1757">
        <v>20260218</v>
      </c>
      <c r="C1757" t="s">
        <v>32</v>
      </c>
      <c r="D1757" t="s">
        <v>33</v>
      </c>
      <c r="E1757" t="s">
        <v>46</v>
      </c>
      <c r="F1757">
        <v>17871</v>
      </c>
      <c r="G1757">
        <v>28233</v>
      </c>
      <c r="H1757">
        <v>1939</v>
      </c>
      <c r="I1757">
        <v>127</v>
      </c>
      <c r="J1757">
        <v>363</v>
      </c>
      <c r="K1757">
        <v>112</v>
      </c>
      <c r="L1757">
        <v>7098</v>
      </c>
      <c r="M1757">
        <v>84</v>
      </c>
      <c r="N1757" s="1">
        <v>0.61458333333333337</v>
      </c>
      <c r="O1757" t="s">
        <v>34</v>
      </c>
    </row>
    <row r="1758" spans="1:15" x14ac:dyDescent="0.3">
      <c r="A1758" t="s">
        <v>1791</v>
      </c>
      <c r="B1758">
        <v>20260508</v>
      </c>
      <c r="C1758" t="s">
        <v>25</v>
      </c>
      <c r="D1758" t="s">
        <v>61</v>
      </c>
      <c r="E1758" t="s">
        <v>51</v>
      </c>
      <c r="F1758">
        <v>17815</v>
      </c>
      <c r="G1758">
        <v>26786</v>
      </c>
      <c r="H1758">
        <v>714</v>
      </c>
      <c r="I1758">
        <v>65</v>
      </c>
      <c r="J1758">
        <v>136</v>
      </c>
      <c r="K1758">
        <v>41</v>
      </c>
      <c r="L1758">
        <v>0</v>
      </c>
      <c r="M1758">
        <v>199</v>
      </c>
      <c r="N1758" s="1">
        <v>0.82291666666666663</v>
      </c>
      <c r="O1758" t="s">
        <v>53</v>
      </c>
    </row>
    <row r="1759" spans="1:15" x14ac:dyDescent="0.3">
      <c r="A1759" t="s">
        <v>1792</v>
      </c>
      <c r="B1759">
        <v>20260108</v>
      </c>
      <c r="C1759" t="s">
        <v>16</v>
      </c>
      <c r="D1759" t="s">
        <v>21</v>
      </c>
      <c r="E1759" t="s">
        <v>18</v>
      </c>
      <c r="F1759">
        <v>109286</v>
      </c>
      <c r="G1759">
        <v>162648</v>
      </c>
      <c r="H1759">
        <v>7797</v>
      </c>
      <c r="I1759">
        <v>392</v>
      </c>
      <c r="J1759">
        <v>765</v>
      </c>
      <c r="K1759">
        <v>627</v>
      </c>
      <c r="L1759">
        <v>0</v>
      </c>
      <c r="M1759">
        <v>1891</v>
      </c>
      <c r="N1759" s="1">
        <v>0.48958333333333331</v>
      </c>
      <c r="O1759" t="s">
        <v>34</v>
      </c>
    </row>
    <row r="1760" spans="1:15" x14ac:dyDescent="0.3">
      <c r="A1760" t="s">
        <v>1793</v>
      </c>
      <c r="B1760">
        <v>20250526</v>
      </c>
      <c r="C1760" t="s">
        <v>25</v>
      </c>
      <c r="E1760" t="s">
        <v>51</v>
      </c>
      <c r="F1760">
        <v>6201</v>
      </c>
      <c r="G1760">
        <v>6617</v>
      </c>
      <c r="H1760">
        <v>162</v>
      </c>
      <c r="I1760">
        <v>21</v>
      </c>
      <c r="J1760">
        <v>14</v>
      </c>
      <c r="K1760">
        <v>7</v>
      </c>
      <c r="L1760">
        <v>0</v>
      </c>
      <c r="M1760">
        <v>25</v>
      </c>
      <c r="N1760" s="1">
        <v>0.5</v>
      </c>
      <c r="O1760" t="s">
        <v>42</v>
      </c>
    </row>
    <row r="1761" spans="1:15" x14ac:dyDescent="0.3">
      <c r="A1761" t="s">
        <v>1794</v>
      </c>
      <c r="B1761">
        <v>20260719</v>
      </c>
      <c r="C1761" t="s">
        <v>44</v>
      </c>
      <c r="D1761" t="s">
        <v>17</v>
      </c>
      <c r="E1761" t="s">
        <v>22</v>
      </c>
      <c r="F1761">
        <v>44280</v>
      </c>
      <c r="G1761">
        <v>63721</v>
      </c>
      <c r="H1761">
        <v>2446</v>
      </c>
      <c r="I1761">
        <v>195</v>
      </c>
      <c r="J1761">
        <v>239</v>
      </c>
      <c r="K1761">
        <v>147</v>
      </c>
      <c r="L1761">
        <v>0</v>
      </c>
      <c r="M1761">
        <v>467</v>
      </c>
      <c r="N1761" s="1">
        <v>0.64583333333333337</v>
      </c>
      <c r="O1761" t="s">
        <v>49</v>
      </c>
    </row>
    <row r="1762" spans="1:15" x14ac:dyDescent="0.3">
      <c r="A1762" t="s">
        <v>1795</v>
      </c>
      <c r="B1762">
        <v>20260110</v>
      </c>
      <c r="C1762" t="s">
        <v>32</v>
      </c>
      <c r="D1762" t="s">
        <v>36</v>
      </c>
      <c r="E1762" t="s">
        <v>41</v>
      </c>
      <c r="F1762">
        <v>21649</v>
      </c>
      <c r="G1762">
        <v>35309</v>
      </c>
      <c r="H1762">
        <v>808</v>
      </c>
      <c r="I1762">
        <v>88</v>
      </c>
      <c r="J1762">
        <v>115</v>
      </c>
      <c r="K1762">
        <v>64</v>
      </c>
      <c r="L1762">
        <v>9395</v>
      </c>
      <c r="M1762">
        <v>114</v>
      </c>
      <c r="N1762" s="1">
        <v>0.65625</v>
      </c>
      <c r="O1762" t="s">
        <v>42</v>
      </c>
    </row>
    <row r="1763" spans="1:15" x14ac:dyDescent="0.3">
      <c r="A1763" t="s">
        <v>1796</v>
      </c>
      <c r="B1763">
        <v>20250504</v>
      </c>
      <c r="C1763" t="s">
        <v>44</v>
      </c>
      <c r="D1763" t="s">
        <v>33</v>
      </c>
      <c r="E1763" t="s">
        <v>46</v>
      </c>
      <c r="F1763">
        <v>55040</v>
      </c>
      <c r="G1763">
        <v>83476</v>
      </c>
      <c r="H1763">
        <v>2513</v>
      </c>
      <c r="I1763">
        <v>262</v>
      </c>
      <c r="J1763">
        <v>493</v>
      </c>
      <c r="K1763">
        <v>119</v>
      </c>
      <c r="L1763">
        <v>43740</v>
      </c>
      <c r="M1763">
        <v>597</v>
      </c>
      <c r="N1763" s="1">
        <v>0.76041666666666663</v>
      </c>
      <c r="O1763" t="s">
        <v>30</v>
      </c>
    </row>
    <row r="1764" spans="1:15" x14ac:dyDescent="0.3">
      <c r="A1764" t="s">
        <v>1797</v>
      </c>
      <c r="B1764">
        <v>20260708</v>
      </c>
      <c r="C1764" t="s">
        <v>44</v>
      </c>
      <c r="D1764" t="s">
        <v>68</v>
      </c>
      <c r="E1764" t="s">
        <v>22</v>
      </c>
      <c r="F1764">
        <v>19881</v>
      </c>
      <c r="G1764">
        <v>26013</v>
      </c>
      <c r="H1764">
        <v>1307</v>
      </c>
      <c r="I1764">
        <v>103</v>
      </c>
      <c r="J1764">
        <v>42</v>
      </c>
      <c r="K1764">
        <v>208</v>
      </c>
      <c r="L1764">
        <v>0</v>
      </c>
      <c r="M1764">
        <v>240</v>
      </c>
      <c r="N1764" s="1">
        <v>0.32291666666666669</v>
      </c>
      <c r="O1764" t="s">
        <v>38</v>
      </c>
    </row>
    <row r="1765" spans="1:15" x14ac:dyDescent="0.3">
      <c r="A1765" t="s">
        <v>1798</v>
      </c>
      <c r="B1765">
        <v>20260430</v>
      </c>
      <c r="C1765" t="s">
        <v>25</v>
      </c>
      <c r="D1765" t="s">
        <v>61</v>
      </c>
      <c r="E1765" t="s">
        <v>46</v>
      </c>
      <c r="F1765">
        <v>8531</v>
      </c>
      <c r="G1765">
        <v>11485</v>
      </c>
      <c r="H1765">
        <v>742</v>
      </c>
      <c r="I1765">
        <v>76</v>
      </c>
      <c r="J1765">
        <v>36</v>
      </c>
      <c r="K1765">
        <v>58</v>
      </c>
      <c r="L1765">
        <v>4512</v>
      </c>
      <c r="M1765">
        <v>49</v>
      </c>
      <c r="N1765" s="1">
        <v>0.42708333333333331</v>
      </c>
      <c r="O1765" t="s">
        <v>23</v>
      </c>
    </row>
    <row r="1766" spans="1:15" x14ac:dyDescent="0.3">
      <c r="A1766" t="s">
        <v>1799</v>
      </c>
      <c r="B1766">
        <v>20260221</v>
      </c>
      <c r="C1766" t="s">
        <v>16</v>
      </c>
      <c r="D1766" t="s">
        <v>29</v>
      </c>
      <c r="E1766" t="s">
        <v>46</v>
      </c>
      <c r="F1766">
        <v>43789</v>
      </c>
      <c r="G1766">
        <v>67986</v>
      </c>
      <c r="H1766">
        <v>3499</v>
      </c>
      <c r="I1766">
        <v>198</v>
      </c>
      <c r="J1766">
        <v>606</v>
      </c>
      <c r="K1766">
        <v>406</v>
      </c>
      <c r="L1766">
        <v>20999</v>
      </c>
      <c r="M1766">
        <v>252</v>
      </c>
      <c r="N1766" s="1">
        <v>0.57291666666666663</v>
      </c>
      <c r="O1766" t="s">
        <v>42</v>
      </c>
    </row>
    <row r="1767" spans="1:15" x14ac:dyDescent="0.3">
      <c r="A1767" t="s">
        <v>1800</v>
      </c>
      <c r="B1767">
        <v>20250830</v>
      </c>
      <c r="C1767" t="s">
        <v>32</v>
      </c>
      <c r="D1767" t="s">
        <v>21</v>
      </c>
      <c r="E1767" t="s">
        <v>18</v>
      </c>
      <c r="F1767">
        <v>11718</v>
      </c>
      <c r="G1767">
        <v>14499</v>
      </c>
      <c r="H1767">
        <v>682</v>
      </c>
      <c r="I1767">
        <v>67</v>
      </c>
      <c r="J1767">
        <v>77</v>
      </c>
      <c r="K1767">
        <v>27</v>
      </c>
      <c r="L1767">
        <v>0</v>
      </c>
      <c r="M1767">
        <v>61</v>
      </c>
      <c r="N1767" s="1">
        <v>0.44791666666666669</v>
      </c>
      <c r="O1767" t="s">
        <v>30</v>
      </c>
    </row>
    <row r="1768" spans="1:15" x14ac:dyDescent="0.3">
      <c r="A1768" t="s">
        <v>1801</v>
      </c>
      <c r="B1768">
        <v>20260411</v>
      </c>
      <c r="C1768" t="s">
        <v>32</v>
      </c>
      <c r="D1768" t="s">
        <v>33</v>
      </c>
      <c r="E1768" t="s">
        <v>46</v>
      </c>
      <c r="F1768">
        <v>7574</v>
      </c>
      <c r="G1768">
        <v>10705</v>
      </c>
      <c r="H1768">
        <v>373</v>
      </c>
      <c r="I1768">
        <v>38</v>
      </c>
      <c r="J1768">
        <v>25</v>
      </c>
      <c r="K1768">
        <v>19</v>
      </c>
      <c r="L1768">
        <v>4301</v>
      </c>
      <c r="M1768">
        <v>131</v>
      </c>
      <c r="N1768" s="1">
        <v>0.72916666666666663</v>
      </c>
      <c r="O1768" t="s">
        <v>38</v>
      </c>
    </row>
    <row r="1769" spans="1:15" x14ac:dyDescent="0.3">
      <c r="A1769" t="s">
        <v>1802</v>
      </c>
      <c r="B1769">
        <v>20260525</v>
      </c>
      <c r="C1769" t="s">
        <v>40</v>
      </c>
      <c r="D1769" t="s">
        <v>29</v>
      </c>
      <c r="E1769" t="s">
        <v>51</v>
      </c>
      <c r="F1769">
        <v>14784</v>
      </c>
      <c r="G1769">
        <v>17706</v>
      </c>
      <c r="H1769">
        <v>1585</v>
      </c>
      <c r="I1769">
        <v>220</v>
      </c>
      <c r="J1769">
        <v>115</v>
      </c>
      <c r="K1769">
        <v>247</v>
      </c>
      <c r="L1769">
        <v>0</v>
      </c>
      <c r="M1769">
        <v>144</v>
      </c>
      <c r="N1769" s="1">
        <v>0.78125</v>
      </c>
      <c r="O1769" t="s">
        <v>49</v>
      </c>
    </row>
    <row r="1770" spans="1:15" x14ac:dyDescent="0.3">
      <c r="A1770" t="s">
        <v>1803</v>
      </c>
      <c r="B1770">
        <v>20250413</v>
      </c>
      <c r="C1770" t="s">
        <v>16</v>
      </c>
      <c r="D1770" t="s">
        <v>68</v>
      </c>
      <c r="E1770" t="s">
        <v>22</v>
      </c>
      <c r="F1770">
        <v>19194</v>
      </c>
      <c r="G1770">
        <v>21406</v>
      </c>
      <c r="H1770">
        <v>718</v>
      </c>
      <c r="I1770">
        <v>32</v>
      </c>
      <c r="J1770">
        <v>66</v>
      </c>
      <c r="K1770">
        <v>49</v>
      </c>
      <c r="L1770">
        <v>0</v>
      </c>
      <c r="M1770">
        <v>239</v>
      </c>
      <c r="N1770" s="1">
        <v>0.29166666666666669</v>
      </c>
      <c r="O1770" t="s">
        <v>34</v>
      </c>
    </row>
    <row r="1771" spans="1:15" x14ac:dyDescent="0.3">
      <c r="A1771" t="s">
        <v>1804</v>
      </c>
      <c r="B1771">
        <v>20250918</v>
      </c>
      <c r="C1771" t="s">
        <v>25</v>
      </c>
      <c r="D1771" t="s">
        <v>21</v>
      </c>
      <c r="E1771" t="s">
        <v>41</v>
      </c>
      <c r="F1771">
        <v>21973</v>
      </c>
      <c r="G1771">
        <v>23707</v>
      </c>
      <c r="H1771">
        <v>1177</v>
      </c>
      <c r="I1771">
        <v>118</v>
      </c>
      <c r="J1771">
        <v>58</v>
      </c>
      <c r="K1771">
        <v>141</v>
      </c>
      <c r="L1771">
        <v>19720</v>
      </c>
      <c r="M1771">
        <v>96</v>
      </c>
      <c r="N1771" s="1">
        <v>0.32291666666666669</v>
      </c>
      <c r="O1771" t="s">
        <v>19</v>
      </c>
    </row>
    <row r="1772" spans="1:15" x14ac:dyDescent="0.3">
      <c r="A1772" t="s">
        <v>1805</v>
      </c>
      <c r="B1772">
        <v>20260512</v>
      </c>
      <c r="C1772" t="s">
        <v>25</v>
      </c>
      <c r="D1772" t="s">
        <v>17</v>
      </c>
      <c r="E1772" t="s">
        <v>22</v>
      </c>
      <c r="F1772">
        <v>12449</v>
      </c>
      <c r="G1772">
        <v>18450</v>
      </c>
      <c r="H1772">
        <v>1361</v>
      </c>
      <c r="I1772">
        <v>40</v>
      </c>
      <c r="J1772">
        <v>97</v>
      </c>
      <c r="K1772">
        <v>107</v>
      </c>
      <c r="L1772">
        <v>0</v>
      </c>
      <c r="M1772">
        <v>99</v>
      </c>
      <c r="N1772" s="1">
        <v>0.36458333333333331</v>
      </c>
      <c r="O1772" t="s">
        <v>42</v>
      </c>
    </row>
    <row r="1773" spans="1:15" x14ac:dyDescent="0.3">
      <c r="A1773" t="s">
        <v>1806</v>
      </c>
      <c r="B1773">
        <v>20260726</v>
      </c>
      <c r="C1773" t="s">
        <v>16</v>
      </c>
      <c r="D1773" t="s">
        <v>33</v>
      </c>
      <c r="E1773" t="s">
        <v>46</v>
      </c>
      <c r="F1773">
        <v>36568</v>
      </c>
      <c r="G1773">
        <v>55036</v>
      </c>
      <c r="H1773">
        <v>3463</v>
      </c>
      <c r="I1773">
        <v>102</v>
      </c>
      <c r="J1773">
        <v>454</v>
      </c>
      <c r="K1773">
        <v>174</v>
      </c>
      <c r="L1773">
        <v>27039</v>
      </c>
      <c r="M1773">
        <v>82</v>
      </c>
      <c r="N1773" s="1">
        <v>0.625</v>
      </c>
      <c r="O1773" t="s">
        <v>19</v>
      </c>
    </row>
    <row r="1774" spans="1:15" x14ac:dyDescent="0.3">
      <c r="A1774" t="s">
        <v>1807</v>
      </c>
      <c r="B1774">
        <v>20260718</v>
      </c>
      <c r="C1774" t="s">
        <v>40</v>
      </c>
      <c r="D1774" t="s">
        <v>21</v>
      </c>
      <c r="E1774" t="s">
        <v>41</v>
      </c>
      <c r="F1774">
        <v>17224</v>
      </c>
      <c r="G1774">
        <v>27850</v>
      </c>
      <c r="H1774">
        <v>1491</v>
      </c>
      <c r="I1774">
        <v>142</v>
      </c>
      <c r="J1774">
        <v>293</v>
      </c>
      <c r="K1774">
        <v>100</v>
      </c>
      <c r="L1774">
        <v>7087</v>
      </c>
      <c r="M1774">
        <v>19</v>
      </c>
      <c r="N1774" s="1">
        <v>0.41666666666666669</v>
      </c>
      <c r="O1774" t="s">
        <v>49</v>
      </c>
    </row>
    <row r="1775" spans="1:15" x14ac:dyDescent="0.3">
      <c r="A1775" t="s">
        <v>1808</v>
      </c>
      <c r="B1775">
        <v>20260324</v>
      </c>
      <c r="C1775" t="s">
        <v>16</v>
      </c>
      <c r="D1775" t="s">
        <v>17</v>
      </c>
      <c r="E1775" t="s">
        <v>46</v>
      </c>
      <c r="F1775">
        <v>22600</v>
      </c>
      <c r="G1775">
        <v>34066</v>
      </c>
      <c r="H1775">
        <v>1190</v>
      </c>
      <c r="I1775">
        <v>65</v>
      </c>
      <c r="J1775">
        <v>97</v>
      </c>
      <c r="K1775">
        <v>51</v>
      </c>
      <c r="L1775">
        <v>17031</v>
      </c>
      <c r="M1775">
        <v>228</v>
      </c>
      <c r="N1775" s="1">
        <v>0.86458333333333337</v>
      </c>
      <c r="O1775" t="s">
        <v>53</v>
      </c>
    </row>
    <row r="1776" spans="1:15" x14ac:dyDescent="0.3">
      <c r="A1776" t="s">
        <v>1809</v>
      </c>
      <c r="B1776">
        <v>20260126</v>
      </c>
      <c r="C1776" t="s">
        <v>16</v>
      </c>
      <c r="D1776" t="s">
        <v>33</v>
      </c>
      <c r="E1776" t="s">
        <v>41</v>
      </c>
      <c r="F1776">
        <v>30003</v>
      </c>
      <c r="G1776">
        <v>35609</v>
      </c>
      <c r="H1776">
        <v>2214</v>
      </c>
      <c r="I1776">
        <v>166</v>
      </c>
      <c r="J1776">
        <v>348</v>
      </c>
      <c r="K1776">
        <v>346</v>
      </c>
      <c r="L1776">
        <v>26863</v>
      </c>
      <c r="M1776">
        <v>64</v>
      </c>
      <c r="N1776" s="1">
        <v>0.29166666666666669</v>
      </c>
      <c r="O1776" t="s">
        <v>38</v>
      </c>
    </row>
    <row r="1777" spans="1:15" x14ac:dyDescent="0.3">
      <c r="A1777" t="s">
        <v>1810</v>
      </c>
      <c r="B1777">
        <v>20260530</v>
      </c>
      <c r="C1777" t="s">
        <v>32</v>
      </c>
      <c r="D1777" t="s">
        <v>36</v>
      </c>
      <c r="E1777" t="s">
        <v>18</v>
      </c>
      <c r="F1777">
        <v>6812</v>
      </c>
      <c r="G1777">
        <v>8728</v>
      </c>
      <c r="H1777">
        <v>358</v>
      </c>
      <c r="I1777">
        <v>27</v>
      </c>
      <c r="J1777">
        <v>59</v>
      </c>
      <c r="K1777">
        <v>28</v>
      </c>
      <c r="L1777">
        <v>0</v>
      </c>
      <c r="M1777">
        <v>98</v>
      </c>
      <c r="N1777" s="1">
        <v>0.82291666666666663</v>
      </c>
      <c r="O1777" t="s">
        <v>27</v>
      </c>
    </row>
    <row r="1778" spans="1:15" x14ac:dyDescent="0.3">
      <c r="A1778" t="s">
        <v>1811</v>
      </c>
      <c r="B1778">
        <v>20260708</v>
      </c>
      <c r="C1778" t="s">
        <v>40</v>
      </c>
      <c r="D1778" t="s">
        <v>21</v>
      </c>
      <c r="E1778" t="s">
        <v>26</v>
      </c>
      <c r="F1778">
        <v>4473</v>
      </c>
      <c r="G1778">
        <v>5661</v>
      </c>
      <c r="H1778">
        <v>353</v>
      </c>
      <c r="I1778">
        <v>41</v>
      </c>
      <c r="J1778">
        <v>19</v>
      </c>
      <c r="K1778">
        <v>34</v>
      </c>
      <c r="L1778">
        <v>2768</v>
      </c>
      <c r="M1778">
        <v>54</v>
      </c>
      <c r="N1778" s="1">
        <v>0.57291666666666663</v>
      </c>
      <c r="O1778" t="s">
        <v>49</v>
      </c>
    </row>
    <row r="1779" spans="1:15" x14ac:dyDescent="0.3">
      <c r="A1779" t="s">
        <v>1812</v>
      </c>
      <c r="B1779">
        <v>20250902</v>
      </c>
      <c r="C1779" t="s">
        <v>40</v>
      </c>
      <c r="D1779" t="s">
        <v>68</v>
      </c>
      <c r="E1779" t="s">
        <v>51</v>
      </c>
      <c r="F1779">
        <v>28349</v>
      </c>
      <c r="G1779">
        <v>43531</v>
      </c>
      <c r="H1779">
        <v>2911</v>
      </c>
      <c r="I1779">
        <v>401</v>
      </c>
      <c r="J1779">
        <v>554</v>
      </c>
      <c r="K1779">
        <v>465</v>
      </c>
      <c r="L1779">
        <v>0</v>
      </c>
      <c r="M1779">
        <v>296</v>
      </c>
      <c r="N1779" s="1">
        <v>0.61458333333333337</v>
      </c>
      <c r="O1779" t="s">
        <v>27</v>
      </c>
    </row>
    <row r="1780" spans="1:15" x14ac:dyDescent="0.3">
      <c r="A1780" t="s">
        <v>1813</v>
      </c>
      <c r="B1780">
        <v>20260527</v>
      </c>
      <c r="C1780" t="s">
        <v>44</v>
      </c>
      <c r="D1780" t="s">
        <v>17</v>
      </c>
      <c r="E1780" t="s">
        <v>26</v>
      </c>
      <c r="F1780">
        <v>70855</v>
      </c>
      <c r="G1780">
        <v>93902</v>
      </c>
      <c r="H1780">
        <v>3971</v>
      </c>
      <c r="I1780">
        <v>517</v>
      </c>
      <c r="J1780">
        <v>658</v>
      </c>
      <c r="K1780">
        <v>522</v>
      </c>
      <c r="L1780">
        <v>60300</v>
      </c>
      <c r="M1780">
        <v>562</v>
      </c>
      <c r="N1780" s="1">
        <v>0.30208333333333331</v>
      </c>
      <c r="O1780" t="s">
        <v>27</v>
      </c>
    </row>
    <row r="1781" spans="1:15" x14ac:dyDescent="0.3">
      <c r="A1781" t="s">
        <v>1814</v>
      </c>
      <c r="B1781">
        <v>20250426</v>
      </c>
      <c r="C1781" t="s">
        <v>32</v>
      </c>
      <c r="D1781" t="s">
        <v>33</v>
      </c>
      <c r="E1781" t="s">
        <v>26</v>
      </c>
      <c r="F1781">
        <v>3490</v>
      </c>
      <c r="G1781">
        <v>3848</v>
      </c>
      <c r="H1781">
        <v>242</v>
      </c>
      <c r="I1781">
        <v>16</v>
      </c>
      <c r="J1781">
        <v>41</v>
      </c>
      <c r="K1781">
        <v>5</v>
      </c>
      <c r="L1781">
        <v>2546</v>
      </c>
      <c r="M1781">
        <v>62</v>
      </c>
      <c r="N1781" s="1">
        <v>0.63541666666666663</v>
      </c>
      <c r="O1781" t="s">
        <v>27</v>
      </c>
    </row>
    <row r="1782" spans="1:15" x14ac:dyDescent="0.3">
      <c r="A1782" t="s">
        <v>1815</v>
      </c>
      <c r="B1782">
        <v>20260613</v>
      </c>
      <c r="C1782" t="s">
        <v>44</v>
      </c>
      <c r="D1782" t="s">
        <v>17</v>
      </c>
      <c r="E1782" t="s">
        <v>51</v>
      </c>
      <c r="F1782">
        <v>85687</v>
      </c>
      <c r="G1782">
        <v>104008</v>
      </c>
      <c r="H1782">
        <v>6886</v>
      </c>
      <c r="I1782">
        <v>812</v>
      </c>
      <c r="J1782">
        <v>1359</v>
      </c>
      <c r="K1782">
        <v>475</v>
      </c>
      <c r="L1782">
        <v>0</v>
      </c>
      <c r="M1782">
        <v>1074</v>
      </c>
      <c r="N1782" s="1">
        <v>0.34375</v>
      </c>
      <c r="O1782" t="s">
        <v>53</v>
      </c>
    </row>
    <row r="1783" spans="1:15" x14ac:dyDescent="0.3">
      <c r="A1783" t="s">
        <v>1816</v>
      </c>
      <c r="B1783">
        <v>20250601</v>
      </c>
      <c r="C1783" t="s">
        <v>25</v>
      </c>
      <c r="D1783" t="s">
        <v>17</v>
      </c>
      <c r="E1783" t="s">
        <v>41</v>
      </c>
      <c r="F1783">
        <v>7293</v>
      </c>
      <c r="G1783">
        <v>8422</v>
      </c>
      <c r="H1783">
        <v>227</v>
      </c>
      <c r="I1783">
        <v>10</v>
      </c>
      <c r="J1783">
        <v>44</v>
      </c>
      <c r="K1783">
        <v>9</v>
      </c>
      <c r="L1783">
        <v>5875</v>
      </c>
      <c r="M1783">
        <v>21</v>
      </c>
      <c r="N1783" s="1">
        <v>0.70833333333333337</v>
      </c>
      <c r="O1783" t="s">
        <v>47</v>
      </c>
    </row>
    <row r="1784" spans="1:15" x14ac:dyDescent="0.3">
      <c r="A1784" t="s">
        <v>1817</v>
      </c>
      <c r="B1784">
        <v>20260524</v>
      </c>
      <c r="C1784" t="s">
        <v>32</v>
      </c>
      <c r="D1784" t="s">
        <v>36</v>
      </c>
      <c r="E1784" t="s">
        <v>41</v>
      </c>
      <c r="F1784">
        <v>14623</v>
      </c>
      <c r="G1784">
        <v>20778</v>
      </c>
      <c r="H1784">
        <v>840</v>
      </c>
      <c r="I1784">
        <v>91</v>
      </c>
      <c r="J1784">
        <v>94</v>
      </c>
      <c r="K1784">
        <v>36</v>
      </c>
      <c r="L1784">
        <v>7944</v>
      </c>
      <c r="M1784">
        <v>92</v>
      </c>
      <c r="N1784" s="1">
        <v>0.67708333333333337</v>
      </c>
      <c r="O1784" t="s">
        <v>19</v>
      </c>
    </row>
    <row r="1785" spans="1:15" x14ac:dyDescent="0.3">
      <c r="A1785" t="s">
        <v>1818</v>
      </c>
      <c r="B1785">
        <v>20250428</v>
      </c>
      <c r="C1785" t="s">
        <v>32</v>
      </c>
      <c r="D1785" t="s">
        <v>68</v>
      </c>
      <c r="E1785" t="s">
        <v>46</v>
      </c>
      <c r="F1785">
        <v>19711</v>
      </c>
      <c r="G1785">
        <v>25638</v>
      </c>
      <c r="H1785">
        <v>1180</v>
      </c>
      <c r="I1785">
        <v>52</v>
      </c>
      <c r="J1785">
        <v>181</v>
      </c>
      <c r="K1785">
        <v>157</v>
      </c>
      <c r="L1785">
        <v>7425</v>
      </c>
      <c r="M1785">
        <v>154</v>
      </c>
      <c r="N1785" s="1">
        <v>0.85416666666666663</v>
      </c>
      <c r="O1785" t="s">
        <v>38</v>
      </c>
    </row>
    <row r="1786" spans="1:15" x14ac:dyDescent="0.3">
      <c r="A1786" t="s">
        <v>1819</v>
      </c>
      <c r="B1786">
        <v>20251122</v>
      </c>
      <c r="C1786" t="s">
        <v>16</v>
      </c>
      <c r="D1786" t="s">
        <v>68</v>
      </c>
      <c r="E1786" t="s">
        <v>41</v>
      </c>
      <c r="F1786">
        <v>41179</v>
      </c>
      <c r="G1786">
        <v>45817</v>
      </c>
      <c r="H1786">
        <v>1679</v>
      </c>
      <c r="I1786">
        <v>153</v>
      </c>
      <c r="J1786">
        <v>137</v>
      </c>
      <c r="K1786">
        <v>190</v>
      </c>
      <c r="L1786">
        <v>33976</v>
      </c>
      <c r="M1786">
        <v>665</v>
      </c>
      <c r="N1786" s="1">
        <v>0.70833333333333337</v>
      </c>
      <c r="O1786" t="s">
        <v>49</v>
      </c>
    </row>
    <row r="1787" spans="1:15" x14ac:dyDescent="0.3">
      <c r="A1787" t="s">
        <v>1820</v>
      </c>
      <c r="B1787">
        <v>20260110</v>
      </c>
      <c r="C1787" t="s">
        <v>44</v>
      </c>
      <c r="D1787" t="s">
        <v>68</v>
      </c>
      <c r="E1787" t="s">
        <v>41</v>
      </c>
      <c r="F1787">
        <v>28001</v>
      </c>
      <c r="G1787">
        <v>45851</v>
      </c>
      <c r="H1787">
        <v>1440</v>
      </c>
      <c r="I1787">
        <v>94</v>
      </c>
      <c r="J1787">
        <v>139</v>
      </c>
      <c r="K1787">
        <v>155</v>
      </c>
      <c r="L1787">
        <v>19673</v>
      </c>
      <c r="M1787">
        <v>134</v>
      </c>
      <c r="N1787" s="1">
        <v>0.34375</v>
      </c>
      <c r="O1787" t="s">
        <v>53</v>
      </c>
    </row>
    <row r="1788" spans="1:15" x14ac:dyDescent="0.3">
      <c r="A1788" t="s">
        <v>1821</v>
      </c>
      <c r="B1788">
        <v>20260920</v>
      </c>
      <c r="C1788" t="s">
        <v>44</v>
      </c>
      <c r="D1788" t="s">
        <v>21</v>
      </c>
      <c r="E1788" t="s">
        <v>18</v>
      </c>
      <c r="F1788">
        <v>102610</v>
      </c>
      <c r="G1788">
        <v>110806</v>
      </c>
      <c r="H1788">
        <v>6482</v>
      </c>
      <c r="I1788">
        <v>597</v>
      </c>
      <c r="J1788">
        <v>967</v>
      </c>
      <c r="K1788">
        <v>1010</v>
      </c>
      <c r="L1788">
        <v>0</v>
      </c>
      <c r="M1788">
        <v>1567</v>
      </c>
      <c r="N1788" s="1">
        <v>0.36458333333333331</v>
      </c>
      <c r="O1788" t="s">
        <v>23</v>
      </c>
    </row>
    <row r="1789" spans="1:15" x14ac:dyDescent="0.3">
      <c r="A1789" t="s">
        <v>1822</v>
      </c>
      <c r="B1789">
        <v>20250819</v>
      </c>
      <c r="C1789" t="s">
        <v>16</v>
      </c>
      <c r="D1789" t="s">
        <v>21</v>
      </c>
      <c r="E1789" t="s">
        <v>26</v>
      </c>
      <c r="F1789">
        <v>10280</v>
      </c>
      <c r="G1789">
        <v>15059</v>
      </c>
      <c r="H1789">
        <v>272</v>
      </c>
      <c r="I1789">
        <v>11</v>
      </c>
      <c r="J1789">
        <v>38</v>
      </c>
      <c r="K1789">
        <v>37</v>
      </c>
      <c r="L1789">
        <v>6040</v>
      </c>
      <c r="M1789">
        <v>18</v>
      </c>
      <c r="N1789" s="1">
        <v>0.54166666666666663</v>
      </c>
      <c r="O1789" t="s">
        <v>34</v>
      </c>
    </row>
    <row r="1790" spans="1:15" x14ac:dyDescent="0.3">
      <c r="A1790" t="s">
        <v>1823</v>
      </c>
      <c r="B1790">
        <v>20251030</v>
      </c>
      <c r="C1790" t="s">
        <v>44</v>
      </c>
      <c r="D1790" t="s">
        <v>33</v>
      </c>
      <c r="E1790" t="s">
        <v>41</v>
      </c>
      <c r="F1790">
        <v>41553</v>
      </c>
      <c r="G1790">
        <v>52308</v>
      </c>
      <c r="H1790">
        <v>1704</v>
      </c>
      <c r="I1790">
        <v>114</v>
      </c>
      <c r="J1790">
        <v>258</v>
      </c>
      <c r="K1790">
        <v>97</v>
      </c>
      <c r="L1790">
        <v>16106</v>
      </c>
      <c r="M1790">
        <v>327</v>
      </c>
      <c r="N1790" s="1">
        <v>0.78125</v>
      </c>
      <c r="O1790" t="s">
        <v>19</v>
      </c>
    </row>
    <row r="1791" spans="1:15" x14ac:dyDescent="0.3">
      <c r="A1791" t="s">
        <v>1824</v>
      </c>
      <c r="B1791">
        <v>20260824</v>
      </c>
      <c r="C1791" t="s">
        <v>25</v>
      </c>
      <c r="D1791" t="s">
        <v>21</v>
      </c>
      <c r="E1791" t="s">
        <v>51</v>
      </c>
      <c r="F1791">
        <v>18635</v>
      </c>
      <c r="G1791">
        <v>25953</v>
      </c>
      <c r="H1791">
        <v>980</v>
      </c>
      <c r="I1791">
        <v>115</v>
      </c>
      <c r="J1791">
        <v>186</v>
      </c>
      <c r="K1791">
        <v>78</v>
      </c>
      <c r="L1791">
        <v>0</v>
      </c>
      <c r="M1791">
        <v>232</v>
      </c>
      <c r="N1791" s="1">
        <v>0.6875</v>
      </c>
      <c r="O1791" t="s">
        <v>34</v>
      </c>
    </row>
    <row r="1792" spans="1:15" x14ac:dyDescent="0.3">
      <c r="A1792" t="s">
        <v>1825</v>
      </c>
      <c r="B1792">
        <v>20260305</v>
      </c>
      <c r="C1792" t="s">
        <v>25</v>
      </c>
      <c r="D1792" t="s">
        <v>68</v>
      </c>
      <c r="E1792" t="s">
        <v>22</v>
      </c>
      <c r="F1792">
        <v>6569</v>
      </c>
      <c r="G1792">
        <v>10156</v>
      </c>
      <c r="H1792">
        <v>236</v>
      </c>
      <c r="I1792">
        <v>25</v>
      </c>
      <c r="J1792">
        <v>32</v>
      </c>
      <c r="K1792">
        <v>17</v>
      </c>
      <c r="L1792">
        <v>0</v>
      </c>
      <c r="M1792">
        <v>50</v>
      </c>
      <c r="N1792" s="1">
        <v>0.65625</v>
      </c>
      <c r="O1792" t="s">
        <v>38</v>
      </c>
    </row>
    <row r="1793" spans="1:15" x14ac:dyDescent="0.3">
      <c r="A1793" t="s">
        <v>1826</v>
      </c>
      <c r="B1793">
        <v>20250806</v>
      </c>
      <c r="C1793" t="s">
        <v>16</v>
      </c>
      <c r="D1793" t="s">
        <v>68</v>
      </c>
      <c r="E1793" t="s">
        <v>51</v>
      </c>
      <c r="F1793">
        <v>27915</v>
      </c>
      <c r="G1793">
        <v>41229</v>
      </c>
      <c r="H1793">
        <v>2226</v>
      </c>
      <c r="I1793">
        <v>283</v>
      </c>
      <c r="J1793">
        <v>284</v>
      </c>
      <c r="K1793">
        <v>188</v>
      </c>
      <c r="L1793">
        <v>0</v>
      </c>
      <c r="M1793">
        <v>161</v>
      </c>
      <c r="N1793" s="1">
        <v>0.41666666666666669</v>
      </c>
      <c r="O1793" t="s">
        <v>47</v>
      </c>
    </row>
    <row r="1794" spans="1:15" x14ac:dyDescent="0.3">
      <c r="A1794" t="s">
        <v>1827</v>
      </c>
      <c r="B1794">
        <v>20250811</v>
      </c>
      <c r="C1794" t="s">
        <v>32</v>
      </c>
      <c r="D1794" t="s">
        <v>68</v>
      </c>
      <c r="E1794" t="s">
        <v>41</v>
      </c>
      <c r="F1794">
        <v>37253</v>
      </c>
      <c r="G1794">
        <v>46935</v>
      </c>
      <c r="H1794">
        <v>3856</v>
      </c>
      <c r="I1794">
        <v>402</v>
      </c>
      <c r="J1794">
        <v>359</v>
      </c>
      <c r="K1794">
        <v>487</v>
      </c>
      <c r="L1794">
        <v>29771</v>
      </c>
      <c r="M1794">
        <v>593</v>
      </c>
      <c r="N1794" s="1">
        <v>0.57291666666666663</v>
      </c>
      <c r="O1794" t="s">
        <v>27</v>
      </c>
    </row>
    <row r="1795" spans="1:15" x14ac:dyDescent="0.3">
      <c r="A1795" t="s">
        <v>1828</v>
      </c>
      <c r="B1795">
        <v>20250624</v>
      </c>
      <c r="C1795" t="s">
        <v>44</v>
      </c>
      <c r="D1795" t="s">
        <v>68</v>
      </c>
      <c r="E1795" t="s">
        <v>18</v>
      </c>
      <c r="F1795">
        <v>38958</v>
      </c>
      <c r="G1795">
        <v>60742</v>
      </c>
      <c r="H1795">
        <v>4186</v>
      </c>
      <c r="I1795">
        <v>454</v>
      </c>
      <c r="J1795">
        <v>387</v>
      </c>
      <c r="K1795">
        <v>638</v>
      </c>
      <c r="L1795">
        <v>0</v>
      </c>
      <c r="M1795">
        <v>612</v>
      </c>
      <c r="N1795" s="1">
        <v>0.48958333333333331</v>
      </c>
      <c r="O1795" t="s">
        <v>30</v>
      </c>
    </row>
    <row r="1796" spans="1:15" x14ac:dyDescent="0.3">
      <c r="A1796" t="s">
        <v>1829</v>
      </c>
      <c r="B1796">
        <v>20260211</v>
      </c>
      <c r="C1796" t="s">
        <v>32</v>
      </c>
      <c r="D1796" t="s">
        <v>68</v>
      </c>
      <c r="E1796" t="s">
        <v>41</v>
      </c>
      <c r="F1796">
        <v>7708</v>
      </c>
      <c r="G1796">
        <v>9467</v>
      </c>
      <c r="H1796">
        <v>729</v>
      </c>
      <c r="I1796">
        <v>101</v>
      </c>
      <c r="J1796">
        <v>46</v>
      </c>
      <c r="K1796">
        <v>37</v>
      </c>
      <c r="L1796">
        <v>5932</v>
      </c>
      <c r="M1796">
        <v>83</v>
      </c>
      <c r="N1796" s="1">
        <v>0.69791666666666663</v>
      </c>
      <c r="O1796" t="s">
        <v>27</v>
      </c>
    </row>
    <row r="1797" spans="1:15" x14ac:dyDescent="0.3">
      <c r="A1797" t="s">
        <v>1830</v>
      </c>
      <c r="B1797">
        <v>20251117</v>
      </c>
      <c r="C1797" t="s">
        <v>16</v>
      </c>
      <c r="D1797" t="s">
        <v>29</v>
      </c>
      <c r="E1797" t="s">
        <v>46</v>
      </c>
      <c r="F1797">
        <v>20384</v>
      </c>
      <c r="G1797">
        <v>24159</v>
      </c>
      <c r="H1797">
        <v>1053</v>
      </c>
      <c r="I1797">
        <v>41</v>
      </c>
      <c r="J1797">
        <v>119</v>
      </c>
      <c r="K1797">
        <v>119</v>
      </c>
      <c r="L1797">
        <v>17226</v>
      </c>
      <c r="M1797">
        <v>121</v>
      </c>
      <c r="N1797" s="1">
        <v>0.45833333333333331</v>
      </c>
      <c r="O1797" t="s">
        <v>47</v>
      </c>
    </row>
    <row r="1798" spans="1:15" x14ac:dyDescent="0.3">
      <c r="A1798" t="s">
        <v>1831</v>
      </c>
      <c r="B1798">
        <v>20260610</v>
      </c>
      <c r="C1798" t="s">
        <v>16</v>
      </c>
      <c r="D1798" t="s">
        <v>21</v>
      </c>
      <c r="E1798" t="s">
        <v>51</v>
      </c>
      <c r="F1798">
        <v>52585</v>
      </c>
      <c r="G1798">
        <v>66049</v>
      </c>
      <c r="H1798">
        <v>2766</v>
      </c>
      <c r="J1798">
        <v>265</v>
      </c>
      <c r="K1798">
        <v>420</v>
      </c>
      <c r="L1798">
        <v>0</v>
      </c>
      <c r="M1798">
        <v>500</v>
      </c>
      <c r="N1798" s="1">
        <v>0.90625</v>
      </c>
      <c r="O1798" t="s">
        <v>38</v>
      </c>
    </row>
    <row r="1799" spans="1:15" x14ac:dyDescent="0.3">
      <c r="A1799" t="s">
        <v>1832</v>
      </c>
      <c r="B1799">
        <v>20260526</v>
      </c>
      <c r="C1799" t="s">
        <v>25</v>
      </c>
      <c r="D1799" t="s">
        <v>68</v>
      </c>
      <c r="E1799" t="s">
        <v>22</v>
      </c>
      <c r="F1799">
        <v>6589</v>
      </c>
      <c r="G1799">
        <v>8010</v>
      </c>
      <c r="H1799">
        <v>562</v>
      </c>
      <c r="I1799">
        <v>62</v>
      </c>
      <c r="J1799">
        <v>62</v>
      </c>
      <c r="K1799">
        <v>72</v>
      </c>
      <c r="L1799">
        <v>0</v>
      </c>
      <c r="M1799">
        <v>57</v>
      </c>
      <c r="N1799" s="1">
        <v>0.55208333333333337</v>
      </c>
      <c r="O1799" t="s">
        <v>38</v>
      </c>
    </row>
    <row r="1800" spans="1:15" x14ac:dyDescent="0.3">
      <c r="A1800" t="s">
        <v>1833</v>
      </c>
      <c r="B1800">
        <v>20250102</v>
      </c>
      <c r="C1800" t="s">
        <v>40</v>
      </c>
      <c r="D1800" t="s">
        <v>68</v>
      </c>
      <c r="E1800" t="s">
        <v>46</v>
      </c>
      <c r="F1800">
        <v>13465</v>
      </c>
      <c r="G1800">
        <v>16749</v>
      </c>
      <c r="H1800">
        <v>1210</v>
      </c>
      <c r="I1800">
        <v>139</v>
      </c>
      <c r="J1800">
        <v>169</v>
      </c>
      <c r="K1800">
        <v>155</v>
      </c>
      <c r="L1800">
        <v>5319</v>
      </c>
      <c r="M1800">
        <v>207</v>
      </c>
      <c r="N1800" s="1">
        <v>0.90625</v>
      </c>
      <c r="O1800" t="s">
        <v>23</v>
      </c>
    </row>
    <row r="1801" spans="1:15" x14ac:dyDescent="0.3">
      <c r="A1801" t="s">
        <v>1834</v>
      </c>
      <c r="B1801">
        <v>20260702</v>
      </c>
      <c r="C1801" t="s">
        <v>44</v>
      </c>
      <c r="D1801" t="s">
        <v>33</v>
      </c>
      <c r="E1801" t="s">
        <v>51</v>
      </c>
      <c r="F1801">
        <v>27247</v>
      </c>
      <c r="G1801">
        <v>44046</v>
      </c>
      <c r="H1801">
        <v>2520</v>
      </c>
      <c r="I1801">
        <v>291</v>
      </c>
      <c r="J1801">
        <v>97</v>
      </c>
      <c r="K1801">
        <v>88</v>
      </c>
      <c r="L1801">
        <v>0</v>
      </c>
      <c r="M1801">
        <v>155</v>
      </c>
      <c r="N1801" s="1">
        <v>0.91666666666666663</v>
      </c>
      <c r="O1801" t="s">
        <v>19</v>
      </c>
    </row>
    <row r="1802" spans="1:15" x14ac:dyDescent="0.3">
      <c r="A1802" t="s">
        <v>1835</v>
      </c>
      <c r="B1802">
        <v>20250727</v>
      </c>
      <c r="C1802" t="s">
        <v>40</v>
      </c>
      <c r="D1802" t="s">
        <v>21</v>
      </c>
      <c r="E1802" t="s">
        <v>46</v>
      </c>
      <c r="F1802">
        <v>13363</v>
      </c>
      <c r="G1802">
        <v>19932</v>
      </c>
      <c r="H1802">
        <v>858</v>
      </c>
      <c r="I1802">
        <v>106</v>
      </c>
      <c r="J1802">
        <v>43</v>
      </c>
      <c r="K1802">
        <v>129</v>
      </c>
      <c r="L1802">
        <v>10794</v>
      </c>
      <c r="M1802">
        <v>161</v>
      </c>
      <c r="N1802" s="1">
        <v>0.35416666666666669</v>
      </c>
      <c r="O1802" t="s">
        <v>34</v>
      </c>
    </row>
    <row r="1803" spans="1:15" x14ac:dyDescent="0.3">
      <c r="A1803" t="s">
        <v>1836</v>
      </c>
      <c r="B1803">
        <v>20250628</v>
      </c>
      <c r="C1803" t="s">
        <v>16</v>
      </c>
      <c r="D1803" t="s">
        <v>61</v>
      </c>
      <c r="E1803" t="s">
        <v>26</v>
      </c>
      <c r="F1803">
        <v>16110</v>
      </c>
      <c r="G1803">
        <v>19979</v>
      </c>
      <c r="H1803">
        <v>455</v>
      </c>
      <c r="I1803">
        <v>26</v>
      </c>
      <c r="J1803">
        <v>46</v>
      </c>
      <c r="K1803">
        <v>65</v>
      </c>
      <c r="L1803">
        <v>9434</v>
      </c>
      <c r="M1803">
        <v>253</v>
      </c>
      <c r="N1803" s="1">
        <v>0.69791666666666663</v>
      </c>
      <c r="O1803" t="s">
        <v>19</v>
      </c>
    </row>
    <row r="1804" spans="1:15" x14ac:dyDescent="0.3">
      <c r="A1804" t="s">
        <v>1837</v>
      </c>
      <c r="B1804">
        <v>20260811</v>
      </c>
      <c r="C1804" t="s">
        <v>25</v>
      </c>
      <c r="D1804" t="s">
        <v>17</v>
      </c>
      <c r="E1804" t="s">
        <v>46</v>
      </c>
      <c r="F1804">
        <v>20764</v>
      </c>
      <c r="G1804">
        <v>29555</v>
      </c>
      <c r="H1804">
        <v>1115</v>
      </c>
      <c r="I1804">
        <v>139</v>
      </c>
      <c r="J1804">
        <v>42</v>
      </c>
      <c r="K1804">
        <v>38</v>
      </c>
      <c r="L1804">
        <v>14621</v>
      </c>
      <c r="M1804">
        <v>125</v>
      </c>
      <c r="N1804" s="1">
        <v>0.84375</v>
      </c>
      <c r="O1804" t="s">
        <v>19</v>
      </c>
    </row>
    <row r="1805" spans="1:15" x14ac:dyDescent="0.3">
      <c r="A1805" t="s">
        <v>1838</v>
      </c>
      <c r="B1805">
        <v>20260816</v>
      </c>
      <c r="C1805" t="s">
        <v>16</v>
      </c>
      <c r="D1805" t="s">
        <v>17</v>
      </c>
      <c r="E1805" t="s">
        <v>26</v>
      </c>
      <c r="F1805">
        <v>34130</v>
      </c>
      <c r="G1805">
        <v>55883</v>
      </c>
      <c r="H1805">
        <v>966</v>
      </c>
      <c r="I1805">
        <v>30</v>
      </c>
      <c r="J1805">
        <v>97</v>
      </c>
      <c r="K1805">
        <v>66</v>
      </c>
      <c r="L1805">
        <v>15076</v>
      </c>
      <c r="M1805">
        <v>311</v>
      </c>
      <c r="N1805" s="1">
        <v>0.78125</v>
      </c>
      <c r="O1805" t="s">
        <v>53</v>
      </c>
    </row>
    <row r="1806" spans="1:15" x14ac:dyDescent="0.3">
      <c r="A1806" t="s">
        <v>1839</v>
      </c>
      <c r="B1806">
        <v>20250418</v>
      </c>
      <c r="C1806" t="s">
        <v>40</v>
      </c>
      <c r="D1806" t="s">
        <v>29</v>
      </c>
      <c r="E1806" t="s">
        <v>41</v>
      </c>
      <c r="F1806">
        <v>39411</v>
      </c>
      <c r="G1806">
        <v>53981</v>
      </c>
      <c r="H1806">
        <v>3414</v>
      </c>
      <c r="I1806">
        <v>227</v>
      </c>
      <c r="J1806">
        <v>416</v>
      </c>
      <c r="K1806">
        <v>340</v>
      </c>
      <c r="L1806">
        <v>18082</v>
      </c>
      <c r="M1806">
        <v>507</v>
      </c>
      <c r="N1806" s="1">
        <v>0.57291666666666663</v>
      </c>
      <c r="O1806" t="s">
        <v>42</v>
      </c>
    </row>
    <row r="1807" spans="1:15" x14ac:dyDescent="0.3">
      <c r="A1807" t="s">
        <v>1840</v>
      </c>
      <c r="B1807">
        <v>20251215</v>
      </c>
      <c r="C1807" t="s">
        <v>44</v>
      </c>
      <c r="D1807" t="s">
        <v>17</v>
      </c>
      <c r="E1807" t="s">
        <v>46</v>
      </c>
      <c r="F1807">
        <v>72913</v>
      </c>
      <c r="G1807">
        <v>77354</v>
      </c>
      <c r="H1807">
        <v>2709</v>
      </c>
      <c r="I1807">
        <v>79</v>
      </c>
      <c r="J1807">
        <v>277</v>
      </c>
      <c r="K1807">
        <v>266</v>
      </c>
      <c r="L1807">
        <v>29371</v>
      </c>
      <c r="M1807">
        <v>1233</v>
      </c>
      <c r="N1807" s="1">
        <v>0.36458333333333331</v>
      </c>
      <c r="O1807" t="s">
        <v>49</v>
      </c>
    </row>
    <row r="1808" spans="1:15" x14ac:dyDescent="0.3">
      <c r="A1808" t="s">
        <v>1841</v>
      </c>
      <c r="B1808">
        <v>20250528</v>
      </c>
      <c r="C1808" t="s">
        <v>25</v>
      </c>
      <c r="D1808" t="s">
        <v>17</v>
      </c>
      <c r="E1808" t="s">
        <v>46</v>
      </c>
      <c r="F1808">
        <v>25724</v>
      </c>
      <c r="G1808">
        <v>39929</v>
      </c>
      <c r="H1808">
        <v>2980</v>
      </c>
      <c r="I1808">
        <v>120</v>
      </c>
      <c r="J1808">
        <v>239</v>
      </c>
      <c r="K1808">
        <v>296</v>
      </c>
      <c r="L1808">
        <v>10907</v>
      </c>
      <c r="M1808">
        <v>41</v>
      </c>
      <c r="N1808" s="1">
        <v>0.5</v>
      </c>
      <c r="O1808" t="s">
        <v>27</v>
      </c>
    </row>
    <row r="1809" spans="1:15" x14ac:dyDescent="0.3">
      <c r="A1809" t="s">
        <v>1842</v>
      </c>
      <c r="B1809">
        <v>20260321</v>
      </c>
      <c r="C1809" t="s">
        <v>16</v>
      </c>
      <c r="D1809" t="s">
        <v>21</v>
      </c>
      <c r="E1809" t="s">
        <v>26</v>
      </c>
      <c r="F1809">
        <v>14637</v>
      </c>
      <c r="G1809">
        <v>22413</v>
      </c>
      <c r="H1809">
        <v>487</v>
      </c>
      <c r="I1809">
        <v>39</v>
      </c>
      <c r="J1809">
        <v>43</v>
      </c>
      <c r="K1809">
        <v>62</v>
      </c>
      <c r="L1809">
        <v>6498</v>
      </c>
      <c r="M1809">
        <v>84</v>
      </c>
      <c r="N1809" s="1">
        <v>0.8125</v>
      </c>
      <c r="O1809" t="s">
        <v>30</v>
      </c>
    </row>
    <row r="1810" spans="1:15" x14ac:dyDescent="0.3">
      <c r="A1810" t="s">
        <v>1843</v>
      </c>
      <c r="B1810">
        <v>20250329</v>
      </c>
      <c r="C1810" t="s">
        <v>32</v>
      </c>
      <c r="D1810" t="s">
        <v>17</v>
      </c>
      <c r="E1810" t="s">
        <v>41</v>
      </c>
      <c r="F1810">
        <v>31263</v>
      </c>
      <c r="G1810">
        <v>33869</v>
      </c>
      <c r="H1810">
        <v>2070</v>
      </c>
      <c r="I1810">
        <v>161</v>
      </c>
      <c r="J1810">
        <v>144</v>
      </c>
      <c r="K1810">
        <v>120</v>
      </c>
      <c r="L1810">
        <v>15628</v>
      </c>
      <c r="M1810">
        <v>398</v>
      </c>
      <c r="N1810" s="1">
        <v>0.92708333333333337</v>
      </c>
      <c r="O1810" t="s">
        <v>53</v>
      </c>
    </row>
    <row r="1811" spans="1:15" x14ac:dyDescent="0.3">
      <c r="A1811" t="s">
        <v>1844</v>
      </c>
      <c r="B1811">
        <v>20251008</v>
      </c>
      <c r="C1811" t="s">
        <v>40</v>
      </c>
      <c r="D1811" t="s">
        <v>29</v>
      </c>
      <c r="E1811" t="s">
        <v>41</v>
      </c>
      <c r="F1811">
        <v>47621</v>
      </c>
      <c r="G1811">
        <v>77567</v>
      </c>
      <c r="H1811">
        <v>2492</v>
      </c>
      <c r="I1811">
        <v>151</v>
      </c>
      <c r="J1811">
        <v>325</v>
      </c>
      <c r="K1811">
        <v>321</v>
      </c>
      <c r="L1811">
        <v>34969</v>
      </c>
      <c r="M1811">
        <v>107</v>
      </c>
      <c r="N1811" s="1">
        <v>0.8125</v>
      </c>
      <c r="O1811" t="s">
        <v>30</v>
      </c>
    </row>
    <row r="1812" spans="1:15" x14ac:dyDescent="0.3">
      <c r="A1812" t="s">
        <v>1845</v>
      </c>
      <c r="B1812">
        <v>20260912</v>
      </c>
      <c r="C1812" t="s">
        <v>25</v>
      </c>
      <c r="D1812" t="s">
        <v>33</v>
      </c>
      <c r="E1812" t="s">
        <v>18</v>
      </c>
      <c r="F1812">
        <v>11266</v>
      </c>
      <c r="G1812">
        <v>13219</v>
      </c>
      <c r="H1812">
        <v>635</v>
      </c>
      <c r="I1812">
        <v>86</v>
      </c>
      <c r="J1812">
        <v>42</v>
      </c>
      <c r="K1812">
        <v>46</v>
      </c>
      <c r="L1812">
        <v>0</v>
      </c>
      <c r="M1812">
        <v>194</v>
      </c>
      <c r="N1812" s="1">
        <v>0.34375</v>
      </c>
      <c r="O1812" t="s">
        <v>34</v>
      </c>
    </row>
    <row r="1813" spans="1:15" x14ac:dyDescent="0.3">
      <c r="A1813" t="s">
        <v>1846</v>
      </c>
      <c r="B1813">
        <v>20260404</v>
      </c>
      <c r="C1813" t="s">
        <v>44</v>
      </c>
      <c r="D1813" t="s">
        <v>33</v>
      </c>
      <c r="E1813" t="s">
        <v>46</v>
      </c>
      <c r="F1813">
        <v>168275</v>
      </c>
      <c r="G1813">
        <v>234570</v>
      </c>
      <c r="H1813">
        <v>9326</v>
      </c>
      <c r="I1813">
        <v>710</v>
      </c>
      <c r="J1813">
        <v>1765</v>
      </c>
      <c r="K1813">
        <v>1217</v>
      </c>
      <c r="L1813">
        <v>105856</v>
      </c>
      <c r="M1813">
        <v>331</v>
      </c>
      <c r="N1813" s="1">
        <v>0.8125</v>
      </c>
      <c r="O1813" t="s">
        <v>38</v>
      </c>
    </row>
    <row r="1814" spans="1:15" x14ac:dyDescent="0.3">
      <c r="A1814" t="s">
        <v>1847</v>
      </c>
      <c r="B1814">
        <v>20250908</v>
      </c>
      <c r="C1814" t="s">
        <v>16</v>
      </c>
      <c r="D1814" t="s">
        <v>33</v>
      </c>
      <c r="E1814" t="s">
        <v>51</v>
      </c>
      <c r="F1814">
        <v>20069</v>
      </c>
      <c r="G1814">
        <v>22767</v>
      </c>
      <c r="H1814">
        <v>1853</v>
      </c>
      <c r="I1814">
        <v>220</v>
      </c>
      <c r="J1814">
        <v>239</v>
      </c>
      <c r="K1814">
        <v>162</v>
      </c>
      <c r="L1814">
        <v>0</v>
      </c>
      <c r="M1814">
        <v>253</v>
      </c>
      <c r="N1814" s="1">
        <v>0.53125</v>
      </c>
      <c r="O1814" t="s">
        <v>38</v>
      </c>
    </row>
    <row r="1815" spans="1:15" x14ac:dyDescent="0.3">
      <c r="A1815" t="s">
        <v>1848</v>
      </c>
      <c r="B1815">
        <v>20251102</v>
      </c>
      <c r="C1815" t="s">
        <v>40</v>
      </c>
      <c r="D1815" t="s">
        <v>17</v>
      </c>
      <c r="E1815" t="s">
        <v>41</v>
      </c>
      <c r="F1815">
        <v>13297</v>
      </c>
      <c r="G1815">
        <v>20292</v>
      </c>
      <c r="H1815">
        <v>949</v>
      </c>
      <c r="I1815">
        <v>105</v>
      </c>
      <c r="J1815">
        <v>76</v>
      </c>
      <c r="K1815">
        <v>43</v>
      </c>
      <c r="L1815">
        <v>10988</v>
      </c>
      <c r="M1815">
        <v>57</v>
      </c>
      <c r="N1815" s="1">
        <v>0.92708333333333337</v>
      </c>
      <c r="O1815" t="s">
        <v>42</v>
      </c>
    </row>
    <row r="1816" spans="1:15" x14ac:dyDescent="0.3">
      <c r="A1816" t="s">
        <v>1849</v>
      </c>
      <c r="B1816">
        <v>20260112</v>
      </c>
      <c r="C1816" t="s">
        <v>40</v>
      </c>
      <c r="D1816" t="s">
        <v>29</v>
      </c>
      <c r="E1816" t="s">
        <v>41</v>
      </c>
      <c r="F1816">
        <v>29905</v>
      </c>
      <c r="G1816">
        <v>40085</v>
      </c>
      <c r="H1816">
        <v>2741</v>
      </c>
      <c r="I1816">
        <v>378</v>
      </c>
      <c r="J1816">
        <v>101</v>
      </c>
      <c r="K1816">
        <v>213</v>
      </c>
      <c r="L1816">
        <v>16687</v>
      </c>
      <c r="M1816">
        <v>174</v>
      </c>
      <c r="N1816" s="1">
        <v>0.89583333333333337</v>
      </c>
      <c r="O1816" t="s">
        <v>42</v>
      </c>
    </row>
    <row r="1817" spans="1:15" x14ac:dyDescent="0.3">
      <c r="A1817" t="s">
        <v>1850</v>
      </c>
      <c r="B1817">
        <v>20250427</v>
      </c>
      <c r="C1817" t="s">
        <v>16</v>
      </c>
      <c r="D1817" t="s">
        <v>17</v>
      </c>
      <c r="E1817" t="s">
        <v>22</v>
      </c>
      <c r="F1817">
        <v>56211</v>
      </c>
      <c r="G1817">
        <v>73890</v>
      </c>
      <c r="H1817">
        <v>6351</v>
      </c>
      <c r="I1817">
        <v>702</v>
      </c>
      <c r="J1817">
        <v>911</v>
      </c>
      <c r="K1817">
        <v>937</v>
      </c>
      <c r="L1817">
        <v>0</v>
      </c>
      <c r="M1817">
        <v>409</v>
      </c>
      <c r="N1817" s="1">
        <v>0.59375</v>
      </c>
      <c r="O1817" t="s">
        <v>49</v>
      </c>
    </row>
    <row r="1818" spans="1:15" x14ac:dyDescent="0.3">
      <c r="A1818" t="s">
        <v>1851</v>
      </c>
      <c r="B1818">
        <v>20251004</v>
      </c>
      <c r="C1818" t="s">
        <v>16</v>
      </c>
      <c r="D1818" t="s">
        <v>61</v>
      </c>
      <c r="E1818" t="s">
        <v>18</v>
      </c>
      <c r="F1818">
        <v>13233</v>
      </c>
      <c r="G1818">
        <v>14590</v>
      </c>
      <c r="H1818">
        <v>1205</v>
      </c>
      <c r="I1818">
        <v>163</v>
      </c>
      <c r="J1818">
        <v>141</v>
      </c>
      <c r="K1818">
        <v>187</v>
      </c>
      <c r="L1818">
        <v>0</v>
      </c>
      <c r="M1818">
        <v>36</v>
      </c>
      <c r="N1818" s="1">
        <v>0.58333333333333337</v>
      </c>
      <c r="O1818" t="s">
        <v>30</v>
      </c>
    </row>
    <row r="1819" spans="1:15" x14ac:dyDescent="0.3">
      <c r="A1819" t="s">
        <v>1852</v>
      </c>
      <c r="B1819">
        <v>20260430</v>
      </c>
      <c r="C1819" t="s">
        <v>16</v>
      </c>
      <c r="D1819" t="s">
        <v>17</v>
      </c>
      <c r="E1819" t="s">
        <v>18</v>
      </c>
      <c r="F1819">
        <v>13324</v>
      </c>
      <c r="G1819">
        <v>17402</v>
      </c>
      <c r="H1819">
        <v>1550</v>
      </c>
      <c r="I1819">
        <v>183</v>
      </c>
      <c r="J1819">
        <v>85</v>
      </c>
      <c r="K1819">
        <v>76</v>
      </c>
      <c r="L1819">
        <v>0</v>
      </c>
      <c r="M1819">
        <v>69</v>
      </c>
      <c r="N1819" s="1">
        <v>0.45833333333333331</v>
      </c>
      <c r="O1819" t="s">
        <v>49</v>
      </c>
    </row>
    <row r="1820" spans="1:15" x14ac:dyDescent="0.3">
      <c r="A1820" t="s">
        <v>1853</v>
      </c>
      <c r="B1820">
        <v>20250330</v>
      </c>
      <c r="C1820" t="s">
        <v>25</v>
      </c>
      <c r="D1820" t="s">
        <v>61</v>
      </c>
      <c r="E1820" t="s">
        <v>46</v>
      </c>
      <c r="F1820">
        <v>6956</v>
      </c>
      <c r="G1820">
        <v>9373</v>
      </c>
      <c r="H1820">
        <v>573</v>
      </c>
      <c r="I1820">
        <v>80</v>
      </c>
      <c r="J1820">
        <v>112</v>
      </c>
      <c r="K1820">
        <v>72</v>
      </c>
      <c r="L1820">
        <v>6153</v>
      </c>
      <c r="M1820">
        <v>66</v>
      </c>
      <c r="N1820" s="1">
        <v>0.91666666666666663</v>
      </c>
      <c r="O1820" t="s">
        <v>27</v>
      </c>
    </row>
    <row r="1821" spans="1:15" x14ac:dyDescent="0.3">
      <c r="A1821" t="s">
        <v>1854</v>
      </c>
      <c r="B1821">
        <v>20250412</v>
      </c>
      <c r="C1821" t="s">
        <v>16</v>
      </c>
      <c r="D1821" t="s">
        <v>68</v>
      </c>
      <c r="E1821" t="s">
        <v>46</v>
      </c>
      <c r="F1821">
        <v>22887</v>
      </c>
      <c r="G1821">
        <v>33328</v>
      </c>
      <c r="H1821">
        <v>1707</v>
      </c>
      <c r="I1821">
        <v>150</v>
      </c>
      <c r="J1821">
        <v>283</v>
      </c>
      <c r="K1821">
        <v>137</v>
      </c>
      <c r="L1821">
        <v>11958</v>
      </c>
      <c r="M1821">
        <v>191</v>
      </c>
      <c r="N1821" s="1">
        <v>0.35416666666666669</v>
      </c>
      <c r="O1821" t="s">
        <v>38</v>
      </c>
    </row>
    <row r="1822" spans="1:15" x14ac:dyDescent="0.3">
      <c r="A1822" t="s">
        <v>1855</v>
      </c>
      <c r="B1822">
        <v>20260120</v>
      </c>
      <c r="C1822" t="s">
        <v>16</v>
      </c>
      <c r="D1822" t="s">
        <v>68</v>
      </c>
      <c r="E1822" t="s">
        <v>46</v>
      </c>
      <c r="F1822">
        <v>9797</v>
      </c>
      <c r="G1822">
        <v>12022</v>
      </c>
      <c r="H1822">
        <v>1135</v>
      </c>
      <c r="I1822">
        <v>125</v>
      </c>
      <c r="J1822">
        <v>66</v>
      </c>
      <c r="K1822">
        <v>88</v>
      </c>
      <c r="L1822">
        <v>5990</v>
      </c>
      <c r="M1822">
        <v>77</v>
      </c>
      <c r="N1822" s="1">
        <v>0.63541666666666663</v>
      </c>
      <c r="O1822" t="s">
        <v>49</v>
      </c>
    </row>
    <row r="1823" spans="1:15" x14ac:dyDescent="0.3">
      <c r="A1823" t="s">
        <v>1856</v>
      </c>
      <c r="B1823">
        <v>20260319</v>
      </c>
      <c r="C1823" t="s">
        <v>25</v>
      </c>
      <c r="D1823" t="s">
        <v>21</v>
      </c>
      <c r="E1823" t="s">
        <v>18</v>
      </c>
      <c r="F1823">
        <v>13868</v>
      </c>
      <c r="G1823">
        <v>22082</v>
      </c>
      <c r="H1823">
        <v>405</v>
      </c>
      <c r="I1823">
        <v>39</v>
      </c>
      <c r="J1823">
        <v>17</v>
      </c>
      <c r="K1823">
        <v>28</v>
      </c>
      <c r="L1823">
        <v>0</v>
      </c>
      <c r="M1823">
        <v>249</v>
      </c>
      <c r="N1823" s="1">
        <v>0.64583333333333337</v>
      </c>
      <c r="O1823" t="s">
        <v>19</v>
      </c>
    </row>
    <row r="1824" spans="1:15" x14ac:dyDescent="0.3">
      <c r="A1824" t="s">
        <v>1857</v>
      </c>
      <c r="B1824">
        <v>20260623</v>
      </c>
      <c r="C1824" t="s">
        <v>32</v>
      </c>
      <c r="D1824" t="s">
        <v>21</v>
      </c>
      <c r="E1824" t="s">
        <v>41</v>
      </c>
      <c r="F1824">
        <v>22838</v>
      </c>
      <c r="G1824">
        <v>36299</v>
      </c>
      <c r="H1824">
        <v>1884</v>
      </c>
      <c r="I1824">
        <v>85</v>
      </c>
      <c r="J1824">
        <v>308</v>
      </c>
      <c r="K1824">
        <v>129</v>
      </c>
      <c r="L1824">
        <v>19108</v>
      </c>
      <c r="M1824">
        <v>311</v>
      </c>
      <c r="N1824" s="1">
        <v>0.8125</v>
      </c>
      <c r="O1824" t="s">
        <v>47</v>
      </c>
    </row>
    <row r="1825" spans="1:15" x14ac:dyDescent="0.3">
      <c r="A1825" t="s">
        <v>1858</v>
      </c>
      <c r="B1825">
        <v>20260527</v>
      </c>
      <c r="C1825" t="s">
        <v>16</v>
      </c>
      <c r="D1825" t="s">
        <v>33</v>
      </c>
      <c r="E1825" t="s">
        <v>22</v>
      </c>
      <c r="F1825">
        <v>6256</v>
      </c>
      <c r="G1825">
        <v>7848</v>
      </c>
      <c r="H1825">
        <v>227</v>
      </c>
      <c r="I1825">
        <v>8</v>
      </c>
      <c r="J1825">
        <v>31</v>
      </c>
      <c r="K1825">
        <v>5</v>
      </c>
      <c r="L1825">
        <v>0</v>
      </c>
      <c r="M1825">
        <v>75</v>
      </c>
      <c r="N1825" s="1">
        <v>0.90625</v>
      </c>
      <c r="O1825" t="s">
        <v>49</v>
      </c>
    </row>
    <row r="1826" spans="1:15" x14ac:dyDescent="0.3">
      <c r="A1826" t="s">
        <v>1859</v>
      </c>
      <c r="B1826">
        <v>20250521</v>
      </c>
      <c r="C1826" t="s">
        <v>16</v>
      </c>
      <c r="D1826" t="s">
        <v>21</v>
      </c>
      <c r="E1826" t="s">
        <v>26</v>
      </c>
      <c r="F1826">
        <v>14800</v>
      </c>
      <c r="G1826">
        <v>20506</v>
      </c>
      <c r="H1826">
        <v>715</v>
      </c>
      <c r="I1826">
        <v>20</v>
      </c>
      <c r="J1826">
        <v>118</v>
      </c>
      <c r="K1826">
        <v>44</v>
      </c>
      <c r="L1826">
        <v>9912</v>
      </c>
      <c r="M1826">
        <v>151</v>
      </c>
      <c r="N1826" s="1">
        <v>0.36458333333333331</v>
      </c>
      <c r="O1826" t="s">
        <v>34</v>
      </c>
    </row>
    <row r="1827" spans="1:15" x14ac:dyDescent="0.3">
      <c r="A1827" t="s">
        <v>1860</v>
      </c>
      <c r="B1827">
        <v>20251024</v>
      </c>
      <c r="C1827" t="s">
        <v>44</v>
      </c>
      <c r="D1827" t="s">
        <v>61</v>
      </c>
      <c r="E1827" t="s">
        <v>26</v>
      </c>
      <c r="F1827">
        <v>28150</v>
      </c>
      <c r="G1827">
        <v>33875</v>
      </c>
      <c r="H1827">
        <v>2382</v>
      </c>
      <c r="I1827">
        <v>155</v>
      </c>
      <c r="J1827">
        <v>303</v>
      </c>
      <c r="K1827">
        <v>188</v>
      </c>
      <c r="L1827">
        <v>15463</v>
      </c>
      <c r="M1827">
        <v>350</v>
      </c>
      <c r="N1827" s="1">
        <v>0.73958333333333337</v>
      </c>
      <c r="O1827" t="s">
        <v>53</v>
      </c>
    </row>
    <row r="1828" spans="1:15" x14ac:dyDescent="0.3">
      <c r="A1828" t="s">
        <v>1861</v>
      </c>
      <c r="B1828">
        <v>20250413</v>
      </c>
      <c r="C1828" t="s">
        <v>32</v>
      </c>
      <c r="D1828" t="s">
        <v>68</v>
      </c>
      <c r="E1828" t="s">
        <v>41</v>
      </c>
      <c r="F1828">
        <v>2854</v>
      </c>
      <c r="G1828">
        <v>3976</v>
      </c>
      <c r="H1828">
        <v>176</v>
      </c>
      <c r="I1828">
        <v>16</v>
      </c>
      <c r="J1828">
        <v>34</v>
      </c>
      <c r="K1828">
        <v>4</v>
      </c>
      <c r="L1828">
        <v>1805</v>
      </c>
      <c r="M1828">
        <v>31</v>
      </c>
      <c r="N1828" s="1">
        <v>0.6875</v>
      </c>
      <c r="O1828" t="s">
        <v>47</v>
      </c>
    </row>
    <row r="1829" spans="1:15" x14ac:dyDescent="0.3">
      <c r="A1829" t="s">
        <v>1862</v>
      </c>
      <c r="B1829">
        <v>20250825</v>
      </c>
      <c r="C1829" t="s">
        <v>40</v>
      </c>
      <c r="D1829" t="s">
        <v>17</v>
      </c>
      <c r="E1829" t="s">
        <v>46</v>
      </c>
      <c r="F1829">
        <v>44226</v>
      </c>
      <c r="G1829">
        <v>70048</v>
      </c>
      <c r="H1829">
        <v>1789</v>
      </c>
      <c r="I1829">
        <v>203</v>
      </c>
      <c r="J1829">
        <v>207</v>
      </c>
      <c r="K1829">
        <v>144</v>
      </c>
      <c r="L1829">
        <v>35459</v>
      </c>
      <c r="M1829">
        <v>661</v>
      </c>
      <c r="N1829" s="1">
        <v>0.58333333333333337</v>
      </c>
      <c r="O1829" t="s">
        <v>23</v>
      </c>
    </row>
    <row r="1830" spans="1:15" x14ac:dyDescent="0.3">
      <c r="A1830" t="s">
        <v>1863</v>
      </c>
      <c r="B1830">
        <v>20251123</v>
      </c>
      <c r="C1830" t="s">
        <v>32</v>
      </c>
      <c r="D1830" t="s">
        <v>17</v>
      </c>
      <c r="E1830" t="s">
        <v>18</v>
      </c>
      <c r="F1830">
        <v>2734</v>
      </c>
      <c r="G1830">
        <v>3718</v>
      </c>
      <c r="H1830">
        <v>197</v>
      </c>
      <c r="I1830">
        <v>15</v>
      </c>
      <c r="J1830">
        <v>30</v>
      </c>
      <c r="K1830">
        <v>5</v>
      </c>
      <c r="L1830">
        <v>0</v>
      </c>
      <c r="M1830">
        <v>31</v>
      </c>
      <c r="N1830" s="1">
        <v>0.72916666666666663</v>
      </c>
      <c r="O1830" t="s">
        <v>27</v>
      </c>
    </row>
    <row r="1831" spans="1:15" x14ac:dyDescent="0.3">
      <c r="A1831" t="s">
        <v>1864</v>
      </c>
      <c r="B1831">
        <v>20260802</v>
      </c>
      <c r="C1831" t="s">
        <v>16</v>
      </c>
      <c r="D1831" t="s">
        <v>36</v>
      </c>
      <c r="E1831" t="s">
        <v>18</v>
      </c>
      <c r="F1831">
        <v>30068</v>
      </c>
      <c r="G1831">
        <v>43378</v>
      </c>
      <c r="H1831">
        <v>1217</v>
      </c>
      <c r="I1831">
        <v>44</v>
      </c>
      <c r="J1831">
        <v>165</v>
      </c>
      <c r="K1831">
        <v>164</v>
      </c>
      <c r="L1831">
        <v>0</v>
      </c>
      <c r="M1831">
        <v>531</v>
      </c>
      <c r="N1831" s="1">
        <v>0.5</v>
      </c>
      <c r="O1831" t="s">
        <v>47</v>
      </c>
    </row>
    <row r="1832" spans="1:15" x14ac:dyDescent="0.3">
      <c r="A1832" t="s">
        <v>1865</v>
      </c>
      <c r="B1832">
        <v>20250622</v>
      </c>
      <c r="C1832" t="s">
        <v>44</v>
      </c>
      <c r="D1832" t="s">
        <v>33</v>
      </c>
      <c r="E1832" t="s">
        <v>46</v>
      </c>
      <c r="F1832">
        <v>54804</v>
      </c>
      <c r="G1832">
        <v>60911</v>
      </c>
      <c r="H1832">
        <v>4864</v>
      </c>
      <c r="I1832">
        <v>379</v>
      </c>
      <c r="J1832">
        <v>779</v>
      </c>
      <c r="K1832">
        <v>507</v>
      </c>
      <c r="L1832">
        <v>21127</v>
      </c>
      <c r="M1832">
        <v>131</v>
      </c>
      <c r="N1832" s="1">
        <v>0.71875</v>
      </c>
      <c r="O1832" t="s">
        <v>34</v>
      </c>
    </row>
    <row r="1833" spans="1:15" x14ac:dyDescent="0.3">
      <c r="A1833" t="s">
        <v>1866</v>
      </c>
      <c r="B1833">
        <v>20260521</v>
      </c>
      <c r="C1833" t="s">
        <v>16</v>
      </c>
      <c r="D1833" t="s">
        <v>33</v>
      </c>
      <c r="E1833" t="s">
        <v>46</v>
      </c>
      <c r="F1833">
        <v>45952</v>
      </c>
      <c r="G1833">
        <v>51526</v>
      </c>
      <c r="H1833">
        <v>3042</v>
      </c>
      <c r="I1833">
        <v>383</v>
      </c>
      <c r="J1833">
        <v>188</v>
      </c>
      <c r="K1833">
        <v>91</v>
      </c>
      <c r="L1833">
        <v>22268</v>
      </c>
      <c r="M1833">
        <v>739</v>
      </c>
      <c r="N1833" s="1">
        <v>0.44791666666666669</v>
      </c>
      <c r="O1833" t="s">
        <v>49</v>
      </c>
    </row>
    <row r="1834" spans="1:15" x14ac:dyDescent="0.3">
      <c r="A1834" t="s">
        <v>1867</v>
      </c>
      <c r="B1834">
        <v>20250331</v>
      </c>
      <c r="C1834" t="s">
        <v>16</v>
      </c>
      <c r="D1834" t="s">
        <v>36</v>
      </c>
      <c r="E1834" t="s">
        <v>18</v>
      </c>
      <c r="F1834">
        <v>28246</v>
      </c>
      <c r="G1834">
        <v>29868</v>
      </c>
      <c r="H1834">
        <v>1721</v>
      </c>
      <c r="I1834">
        <v>168</v>
      </c>
      <c r="J1834">
        <v>131</v>
      </c>
      <c r="K1834">
        <v>103</v>
      </c>
      <c r="L1834">
        <v>0</v>
      </c>
      <c r="M1834">
        <v>287</v>
      </c>
      <c r="N1834" s="1">
        <v>0.76041666666666663</v>
      </c>
      <c r="O1834" t="s">
        <v>53</v>
      </c>
    </row>
    <row r="1835" spans="1:15" x14ac:dyDescent="0.3">
      <c r="A1835" t="s">
        <v>1868</v>
      </c>
      <c r="B1835">
        <v>20250523</v>
      </c>
      <c r="C1835" t="s">
        <v>25</v>
      </c>
      <c r="D1835" t="s">
        <v>33</v>
      </c>
      <c r="E1835" t="s">
        <v>41</v>
      </c>
      <c r="F1835">
        <v>10472</v>
      </c>
      <c r="G1835">
        <v>15398</v>
      </c>
      <c r="H1835">
        <v>294</v>
      </c>
      <c r="I1835">
        <v>13</v>
      </c>
      <c r="J1835">
        <v>24</v>
      </c>
      <c r="K1835">
        <v>6</v>
      </c>
      <c r="L1835">
        <v>7768</v>
      </c>
      <c r="M1835">
        <v>110</v>
      </c>
      <c r="N1835" s="1">
        <v>0.77083333333333337</v>
      </c>
      <c r="O1835" t="s">
        <v>38</v>
      </c>
    </row>
    <row r="1836" spans="1:15" x14ac:dyDescent="0.3">
      <c r="A1836" t="s">
        <v>1869</v>
      </c>
      <c r="B1836">
        <v>20260609</v>
      </c>
      <c r="C1836" t="s">
        <v>25</v>
      </c>
      <c r="D1836" t="s">
        <v>29</v>
      </c>
      <c r="E1836" t="s">
        <v>51</v>
      </c>
      <c r="F1836">
        <v>31666</v>
      </c>
      <c r="G1836">
        <v>39963</v>
      </c>
      <c r="H1836">
        <v>2005</v>
      </c>
      <c r="I1836">
        <v>61</v>
      </c>
      <c r="J1836">
        <v>264</v>
      </c>
      <c r="K1836">
        <v>152</v>
      </c>
      <c r="L1836">
        <v>0</v>
      </c>
      <c r="M1836">
        <v>536</v>
      </c>
      <c r="N1836" s="1">
        <v>0.46875</v>
      </c>
      <c r="O1836" t="s">
        <v>53</v>
      </c>
    </row>
    <row r="1837" spans="1:15" x14ac:dyDescent="0.3">
      <c r="A1837" t="s">
        <v>1870</v>
      </c>
      <c r="B1837">
        <v>20251013</v>
      </c>
      <c r="C1837" t="s">
        <v>44</v>
      </c>
      <c r="D1837" t="s">
        <v>29</v>
      </c>
      <c r="E1837" t="s">
        <v>22</v>
      </c>
      <c r="F1837">
        <v>18863</v>
      </c>
      <c r="G1837">
        <v>30902</v>
      </c>
      <c r="H1837">
        <v>1300</v>
      </c>
      <c r="I1837">
        <v>118</v>
      </c>
      <c r="J1837">
        <v>143</v>
      </c>
      <c r="K1837">
        <v>170</v>
      </c>
      <c r="L1837">
        <v>0</v>
      </c>
      <c r="M1837">
        <v>189</v>
      </c>
      <c r="N1837" s="1">
        <v>0.67708333333333337</v>
      </c>
      <c r="O1837" t="s">
        <v>42</v>
      </c>
    </row>
    <row r="1838" spans="1:15" x14ac:dyDescent="0.3">
      <c r="A1838" t="s">
        <v>1871</v>
      </c>
      <c r="B1838">
        <v>20250915</v>
      </c>
      <c r="C1838" t="s">
        <v>44</v>
      </c>
      <c r="D1838" t="s">
        <v>61</v>
      </c>
      <c r="E1838" t="s">
        <v>26</v>
      </c>
      <c r="F1838">
        <v>30396</v>
      </c>
      <c r="G1838">
        <v>42318</v>
      </c>
      <c r="H1838">
        <v>3372</v>
      </c>
      <c r="I1838">
        <v>452</v>
      </c>
      <c r="J1838">
        <v>213</v>
      </c>
      <c r="K1838">
        <v>135</v>
      </c>
      <c r="L1838">
        <v>24029</v>
      </c>
      <c r="M1838">
        <v>127</v>
      </c>
      <c r="N1838" s="1">
        <v>0.65625</v>
      </c>
      <c r="O1838" t="s">
        <v>27</v>
      </c>
    </row>
    <row r="1839" spans="1:15" x14ac:dyDescent="0.3">
      <c r="A1839" t="s">
        <v>144</v>
      </c>
      <c r="B1839">
        <v>20260701</v>
      </c>
      <c r="C1839" t="s">
        <v>40</v>
      </c>
      <c r="D1839" t="s">
        <v>36</v>
      </c>
      <c r="E1839" t="s">
        <v>18</v>
      </c>
      <c r="F1839">
        <v>13492</v>
      </c>
      <c r="G1839">
        <v>22064</v>
      </c>
      <c r="H1839">
        <v>435</v>
      </c>
      <c r="I1839">
        <v>32</v>
      </c>
      <c r="J1839">
        <v>79</v>
      </c>
      <c r="K1839">
        <v>17</v>
      </c>
      <c r="L1839">
        <v>0</v>
      </c>
      <c r="M1839">
        <v>76</v>
      </c>
      <c r="N1839" s="1">
        <v>0.46875</v>
      </c>
      <c r="O1839" t="s">
        <v>23</v>
      </c>
    </row>
    <row r="1840" spans="1:15" x14ac:dyDescent="0.3">
      <c r="A1840" t="s">
        <v>1872</v>
      </c>
      <c r="B1840">
        <v>20260921</v>
      </c>
      <c r="C1840" t="s">
        <v>40</v>
      </c>
      <c r="D1840" t="s">
        <v>68</v>
      </c>
      <c r="E1840" t="s">
        <v>26</v>
      </c>
      <c r="F1840">
        <v>10997</v>
      </c>
      <c r="G1840">
        <v>13694</v>
      </c>
      <c r="H1840">
        <v>899</v>
      </c>
      <c r="I1840">
        <v>39</v>
      </c>
      <c r="J1840">
        <v>169</v>
      </c>
      <c r="K1840">
        <v>25</v>
      </c>
      <c r="L1840">
        <v>9019</v>
      </c>
      <c r="M1840">
        <v>77</v>
      </c>
      <c r="N1840" s="1">
        <v>0.5</v>
      </c>
      <c r="O1840" t="s">
        <v>19</v>
      </c>
    </row>
    <row r="1841" spans="1:15" x14ac:dyDescent="0.3">
      <c r="A1841" t="s">
        <v>1873</v>
      </c>
      <c r="B1841">
        <v>20260531</v>
      </c>
      <c r="C1841" t="s">
        <v>16</v>
      </c>
      <c r="D1841" t="s">
        <v>36</v>
      </c>
      <c r="E1841" t="s">
        <v>51</v>
      </c>
      <c r="F1841">
        <v>25630</v>
      </c>
      <c r="G1841">
        <v>30669</v>
      </c>
      <c r="H1841">
        <v>2129</v>
      </c>
      <c r="I1841">
        <v>241</v>
      </c>
      <c r="J1841">
        <v>102</v>
      </c>
      <c r="K1841">
        <v>234</v>
      </c>
      <c r="L1841">
        <v>0</v>
      </c>
      <c r="M1841">
        <v>49</v>
      </c>
      <c r="N1841" s="1">
        <v>0.67708333333333337</v>
      </c>
    </row>
    <row r="1842" spans="1:15" x14ac:dyDescent="0.3">
      <c r="A1842" t="s">
        <v>1874</v>
      </c>
      <c r="B1842">
        <v>20260815</v>
      </c>
      <c r="C1842" t="s">
        <v>40</v>
      </c>
      <c r="D1842" t="s">
        <v>17</v>
      </c>
      <c r="E1842" t="s">
        <v>18</v>
      </c>
      <c r="F1842">
        <v>35775</v>
      </c>
      <c r="G1842">
        <v>49905</v>
      </c>
      <c r="H1842">
        <v>1254</v>
      </c>
      <c r="I1842">
        <v>45</v>
      </c>
      <c r="J1842">
        <v>183</v>
      </c>
      <c r="K1842">
        <v>75</v>
      </c>
      <c r="L1842">
        <v>0</v>
      </c>
      <c r="M1842">
        <v>344</v>
      </c>
      <c r="N1842" s="1">
        <v>0.40625</v>
      </c>
      <c r="O1842" t="s">
        <v>23</v>
      </c>
    </row>
    <row r="1843" spans="1:15" x14ac:dyDescent="0.3">
      <c r="A1843" t="s">
        <v>1875</v>
      </c>
      <c r="B1843">
        <v>20260113</v>
      </c>
      <c r="C1843" t="s">
        <v>44</v>
      </c>
      <c r="D1843" t="s">
        <v>17</v>
      </c>
      <c r="E1843" t="s">
        <v>26</v>
      </c>
      <c r="F1843">
        <v>30831</v>
      </c>
      <c r="G1843">
        <v>39220</v>
      </c>
      <c r="H1843">
        <v>1613</v>
      </c>
      <c r="I1843">
        <v>81</v>
      </c>
      <c r="J1843">
        <v>239</v>
      </c>
      <c r="K1843">
        <v>194</v>
      </c>
      <c r="M1843">
        <v>166</v>
      </c>
      <c r="N1843" s="1">
        <v>0.45833333333333331</v>
      </c>
      <c r="O1843" t="s">
        <v>34</v>
      </c>
    </row>
    <row r="1844" spans="1:15" x14ac:dyDescent="0.3">
      <c r="A1844" t="s">
        <v>1876</v>
      </c>
      <c r="B1844">
        <v>20260329</v>
      </c>
      <c r="C1844" t="s">
        <v>16</v>
      </c>
      <c r="D1844" t="s">
        <v>33</v>
      </c>
      <c r="E1844" t="s">
        <v>22</v>
      </c>
      <c r="F1844">
        <v>11892</v>
      </c>
      <c r="G1844">
        <v>15411</v>
      </c>
      <c r="H1844">
        <v>400</v>
      </c>
      <c r="I1844">
        <v>53</v>
      </c>
      <c r="J1844">
        <v>39</v>
      </c>
      <c r="K1844">
        <v>9</v>
      </c>
      <c r="L1844">
        <v>0</v>
      </c>
      <c r="M1844">
        <v>24</v>
      </c>
      <c r="N1844" s="1">
        <v>0.35416666666666669</v>
      </c>
      <c r="O1844" t="s">
        <v>53</v>
      </c>
    </row>
    <row r="1845" spans="1:15" x14ac:dyDescent="0.3">
      <c r="A1845" t="s">
        <v>1877</v>
      </c>
      <c r="B1845">
        <v>20260308</v>
      </c>
      <c r="C1845" t="s">
        <v>16</v>
      </c>
      <c r="D1845" t="s">
        <v>21</v>
      </c>
      <c r="E1845" t="s">
        <v>18</v>
      </c>
      <c r="F1845">
        <v>13900</v>
      </c>
      <c r="G1845">
        <v>18251</v>
      </c>
      <c r="H1845">
        <v>948</v>
      </c>
      <c r="I1845">
        <v>45</v>
      </c>
      <c r="J1845">
        <v>78</v>
      </c>
      <c r="K1845">
        <v>27</v>
      </c>
      <c r="L1845">
        <v>0</v>
      </c>
      <c r="M1845">
        <v>99</v>
      </c>
      <c r="N1845" s="1">
        <v>0.70833333333333337</v>
      </c>
      <c r="O1845" t="s">
        <v>49</v>
      </c>
    </row>
    <row r="1846" spans="1:15" x14ac:dyDescent="0.3">
      <c r="A1846" t="s">
        <v>1878</v>
      </c>
      <c r="B1846">
        <v>20260419</v>
      </c>
      <c r="C1846" t="s">
        <v>44</v>
      </c>
      <c r="D1846" t="s">
        <v>17</v>
      </c>
      <c r="E1846" t="s">
        <v>46</v>
      </c>
      <c r="F1846">
        <v>17374</v>
      </c>
      <c r="G1846">
        <v>19281</v>
      </c>
      <c r="H1846">
        <v>1230</v>
      </c>
      <c r="I1846">
        <v>44</v>
      </c>
      <c r="J1846">
        <v>85</v>
      </c>
      <c r="K1846">
        <v>151</v>
      </c>
      <c r="L1846">
        <v>8759</v>
      </c>
      <c r="M1846">
        <v>257</v>
      </c>
      <c r="N1846" s="1">
        <v>0.58333333333333337</v>
      </c>
      <c r="O1846" t="s">
        <v>47</v>
      </c>
    </row>
    <row r="1847" spans="1:15" x14ac:dyDescent="0.3">
      <c r="A1847" t="s">
        <v>1879</v>
      </c>
      <c r="B1847">
        <v>20250206</v>
      </c>
      <c r="C1847" t="s">
        <v>16</v>
      </c>
      <c r="D1847" t="s">
        <v>68</v>
      </c>
      <c r="E1847" t="s">
        <v>41</v>
      </c>
      <c r="F1847">
        <v>22459</v>
      </c>
      <c r="G1847">
        <v>31203</v>
      </c>
      <c r="H1847">
        <v>1043</v>
      </c>
      <c r="I1847">
        <v>99</v>
      </c>
      <c r="J1847">
        <v>92</v>
      </c>
      <c r="K1847">
        <v>161</v>
      </c>
      <c r="L1847">
        <v>9047</v>
      </c>
      <c r="M1847">
        <v>301</v>
      </c>
      <c r="N1847" s="1">
        <v>0.83333333333333337</v>
      </c>
      <c r="O1847" t="s">
        <v>19</v>
      </c>
    </row>
    <row r="1848" spans="1:15" x14ac:dyDescent="0.3">
      <c r="A1848" t="s">
        <v>1880</v>
      </c>
      <c r="B1848">
        <v>20251008</v>
      </c>
      <c r="C1848" t="s">
        <v>16</v>
      </c>
      <c r="D1848" t="s">
        <v>61</v>
      </c>
      <c r="E1848" t="s">
        <v>41</v>
      </c>
      <c r="F1848">
        <v>23817</v>
      </c>
      <c r="G1848">
        <v>27317</v>
      </c>
      <c r="H1848">
        <v>2042</v>
      </c>
      <c r="I1848">
        <v>112</v>
      </c>
      <c r="J1848">
        <v>149</v>
      </c>
      <c r="K1848">
        <v>68</v>
      </c>
      <c r="L1848">
        <v>12565</v>
      </c>
      <c r="M1848">
        <v>80</v>
      </c>
      <c r="N1848" s="1">
        <v>0.92708333333333337</v>
      </c>
      <c r="O1848" t="s">
        <v>49</v>
      </c>
    </row>
    <row r="1849" spans="1:15" x14ac:dyDescent="0.3">
      <c r="A1849" t="s">
        <v>1881</v>
      </c>
      <c r="B1849">
        <v>20250123</v>
      </c>
      <c r="C1849" t="s">
        <v>40</v>
      </c>
      <c r="D1849" t="s">
        <v>17</v>
      </c>
      <c r="E1849" t="s">
        <v>26</v>
      </c>
      <c r="F1849">
        <v>8522</v>
      </c>
      <c r="G1849">
        <v>10020</v>
      </c>
      <c r="H1849">
        <v>382</v>
      </c>
      <c r="I1849">
        <v>9</v>
      </c>
      <c r="J1849">
        <v>33</v>
      </c>
      <c r="K1849">
        <v>27</v>
      </c>
      <c r="L1849">
        <v>3545</v>
      </c>
      <c r="M1849">
        <v>51</v>
      </c>
      <c r="N1849" s="1">
        <v>0.64583333333333337</v>
      </c>
      <c r="O1849" t="s">
        <v>23</v>
      </c>
    </row>
    <row r="1850" spans="1:15" x14ac:dyDescent="0.3">
      <c r="A1850" t="s">
        <v>1882</v>
      </c>
      <c r="B1850">
        <v>20250206</v>
      </c>
      <c r="C1850" t="s">
        <v>25</v>
      </c>
      <c r="D1850" t="s">
        <v>61</v>
      </c>
      <c r="E1850" t="s">
        <v>26</v>
      </c>
      <c r="F1850">
        <v>15331</v>
      </c>
      <c r="G1850">
        <v>25255</v>
      </c>
      <c r="H1850">
        <v>646</v>
      </c>
      <c r="I1850">
        <v>75</v>
      </c>
      <c r="J1850">
        <v>79</v>
      </c>
      <c r="K1850">
        <v>84</v>
      </c>
      <c r="L1850">
        <v>13498</v>
      </c>
      <c r="M1850">
        <v>126</v>
      </c>
      <c r="N1850" s="1">
        <v>0.375</v>
      </c>
      <c r="O1850" t="s">
        <v>30</v>
      </c>
    </row>
    <row r="1851" spans="1:15" x14ac:dyDescent="0.3">
      <c r="A1851" t="s">
        <v>1883</v>
      </c>
      <c r="B1851">
        <v>20250223</v>
      </c>
      <c r="C1851" t="s">
        <v>44</v>
      </c>
      <c r="E1851" t="s">
        <v>18</v>
      </c>
      <c r="F1851">
        <v>31471</v>
      </c>
      <c r="G1851">
        <v>39133</v>
      </c>
      <c r="H1851">
        <v>3499</v>
      </c>
      <c r="I1851">
        <v>358</v>
      </c>
      <c r="J1851">
        <v>358</v>
      </c>
      <c r="K1851">
        <v>196</v>
      </c>
      <c r="L1851">
        <v>0</v>
      </c>
      <c r="M1851">
        <v>323</v>
      </c>
      <c r="N1851" s="1">
        <v>0.82291666666666663</v>
      </c>
      <c r="O1851" t="s">
        <v>38</v>
      </c>
    </row>
    <row r="1852" spans="1:15" x14ac:dyDescent="0.3">
      <c r="A1852" t="s">
        <v>1884</v>
      </c>
      <c r="B1852">
        <v>20250910</v>
      </c>
      <c r="C1852" t="s">
        <v>40</v>
      </c>
      <c r="D1852" t="s">
        <v>17</v>
      </c>
      <c r="E1852" t="s">
        <v>26</v>
      </c>
      <c r="F1852">
        <v>15702</v>
      </c>
      <c r="G1852">
        <v>18423</v>
      </c>
      <c r="H1852">
        <v>423</v>
      </c>
      <c r="I1852">
        <v>37</v>
      </c>
      <c r="J1852">
        <v>23</v>
      </c>
      <c r="K1852">
        <v>53</v>
      </c>
      <c r="L1852">
        <v>6942</v>
      </c>
      <c r="M1852">
        <v>69</v>
      </c>
      <c r="N1852" s="1">
        <v>0.58333333333333337</v>
      </c>
      <c r="O1852" t="s">
        <v>49</v>
      </c>
    </row>
    <row r="1853" spans="1:15" x14ac:dyDescent="0.3">
      <c r="A1853" t="s">
        <v>1885</v>
      </c>
      <c r="B1853">
        <v>20260628</v>
      </c>
      <c r="C1853" t="s">
        <v>25</v>
      </c>
      <c r="D1853" t="s">
        <v>36</v>
      </c>
      <c r="E1853" t="s">
        <v>18</v>
      </c>
      <c r="F1853">
        <v>7939</v>
      </c>
      <c r="G1853">
        <v>11768</v>
      </c>
      <c r="H1853">
        <v>764</v>
      </c>
      <c r="I1853">
        <v>45</v>
      </c>
      <c r="J1853">
        <v>46</v>
      </c>
      <c r="K1853">
        <v>113</v>
      </c>
      <c r="L1853">
        <v>0</v>
      </c>
      <c r="M1853">
        <v>91</v>
      </c>
      <c r="N1853" s="1">
        <v>0.65625</v>
      </c>
      <c r="O1853" t="s">
        <v>49</v>
      </c>
    </row>
    <row r="1854" spans="1:15" x14ac:dyDescent="0.3">
      <c r="A1854" t="s">
        <v>1886</v>
      </c>
      <c r="B1854">
        <v>20260908</v>
      </c>
      <c r="C1854" t="s">
        <v>25</v>
      </c>
      <c r="D1854" t="s">
        <v>68</v>
      </c>
      <c r="E1854" t="s">
        <v>46</v>
      </c>
      <c r="F1854">
        <v>10029</v>
      </c>
      <c r="G1854">
        <v>15078</v>
      </c>
      <c r="H1854">
        <v>728</v>
      </c>
      <c r="I1854">
        <v>30</v>
      </c>
      <c r="J1854">
        <v>37</v>
      </c>
      <c r="K1854">
        <v>28</v>
      </c>
      <c r="L1854">
        <v>4272</v>
      </c>
      <c r="M1854">
        <v>12</v>
      </c>
      <c r="N1854" s="1">
        <v>0.52083333333333337</v>
      </c>
      <c r="O1854" t="s">
        <v>49</v>
      </c>
    </row>
    <row r="1855" spans="1:15" x14ac:dyDescent="0.3">
      <c r="A1855" t="s">
        <v>1887</v>
      </c>
      <c r="B1855">
        <v>20250208</v>
      </c>
      <c r="C1855" t="s">
        <v>44</v>
      </c>
      <c r="D1855" t="s">
        <v>29</v>
      </c>
      <c r="E1855" t="s">
        <v>18</v>
      </c>
      <c r="F1855">
        <v>33840</v>
      </c>
      <c r="G1855">
        <v>40859</v>
      </c>
      <c r="H1855">
        <v>1361</v>
      </c>
      <c r="I1855">
        <v>80</v>
      </c>
      <c r="J1855">
        <v>124</v>
      </c>
      <c r="K1855">
        <v>55</v>
      </c>
      <c r="L1855">
        <v>0</v>
      </c>
      <c r="M1855">
        <v>175</v>
      </c>
      <c r="N1855" s="1">
        <v>0.8125</v>
      </c>
      <c r="O1855" t="s">
        <v>49</v>
      </c>
    </row>
    <row r="1856" spans="1:15" x14ac:dyDescent="0.3">
      <c r="A1856" t="s">
        <v>1888</v>
      </c>
      <c r="B1856">
        <v>20260211</v>
      </c>
      <c r="C1856" t="s">
        <v>44</v>
      </c>
      <c r="D1856" t="s">
        <v>68</v>
      </c>
      <c r="E1856" t="s">
        <v>18</v>
      </c>
      <c r="F1856">
        <v>18996</v>
      </c>
      <c r="G1856">
        <v>22726</v>
      </c>
      <c r="H1856">
        <v>1885</v>
      </c>
      <c r="I1856">
        <v>57</v>
      </c>
      <c r="J1856">
        <v>230</v>
      </c>
      <c r="K1856">
        <v>235</v>
      </c>
      <c r="L1856">
        <v>0</v>
      </c>
      <c r="M1856">
        <v>62</v>
      </c>
      <c r="N1856" s="1">
        <v>0.89583333333333337</v>
      </c>
      <c r="O1856" t="s">
        <v>30</v>
      </c>
    </row>
    <row r="1857" spans="1:15" x14ac:dyDescent="0.3">
      <c r="A1857" t="s">
        <v>1889</v>
      </c>
      <c r="B1857">
        <v>20251115</v>
      </c>
      <c r="C1857" t="s">
        <v>25</v>
      </c>
      <c r="D1857" t="s">
        <v>36</v>
      </c>
      <c r="E1857" t="s">
        <v>22</v>
      </c>
      <c r="F1857">
        <v>6003</v>
      </c>
      <c r="G1857">
        <v>6560</v>
      </c>
      <c r="H1857">
        <v>679</v>
      </c>
      <c r="I1857">
        <v>45</v>
      </c>
      <c r="J1857">
        <v>27</v>
      </c>
      <c r="K1857">
        <v>60</v>
      </c>
      <c r="L1857">
        <v>0</v>
      </c>
      <c r="M1857">
        <v>102</v>
      </c>
      <c r="N1857" s="1">
        <v>0.69791666666666663</v>
      </c>
      <c r="O1857" t="s">
        <v>47</v>
      </c>
    </row>
    <row r="1858" spans="1:15" x14ac:dyDescent="0.3">
      <c r="A1858" t="s">
        <v>1890</v>
      </c>
      <c r="B1858">
        <v>20251230</v>
      </c>
      <c r="C1858" t="s">
        <v>16</v>
      </c>
      <c r="D1858" t="s">
        <v>68</v>
      </c>
      <c r="E1858" t="s">
        <v>26</v>
      </c>
      <c r="F1858">
        <v>4996</v>
      </c>
      <c r="G1858">
        <v>5392</v>
      </c>
      <c r="H1858">
        <v>286</v>
      </c>
      <c r="I1858">
        <v>15</v>
      </c>
      <c r="J1858">
        <v>21</v>
      </c>
      <c r="K1858">
        <v>23</v>
      </c>
      <c r="L1858">
        <v>4401</v>
      </c>
      <c r="M1858">
        <v>65</v>
      </c>
      <c r="N1858" s="1">
        <v>0.32291666666666669</v>
      </c>
      <c r="O1858" t="s">
        <v>49</v>
      </c>
    </row>
    <row r="1859" spans="1:15" x14ac:dyDescent="0.3">
      <c r="A1859" t="s">
        <v>1891</v>
      </c>
      <c r="B1859">
        <v>20250406</v>
      </c>
      <c r="C1859" t="s">
        <v>44</v>
      </c>
      <c r="D1859" t="s">
        <v>33</v>
      </c>
      <c r="E1859" t="s">
        <v>26</v>
      </c>
      <c r="F1859">
        <v>29198</v>
      </c>
      <c r="G1859">
        <v>40351</v>
      </c>
      <c r="H1859">
        <v>1800</v>
      </c>
      <c r="I1859">
        <v>198</v>
      </c>
      <c r="J1859">
        <v>175</v>
      </c>
      <c r="K1859">
        <v>163</v>
      </c>
      <c r="L1859">
        <v>16940</v>
      </c>
      <c r="M1859">
        <v>448</v>
      </c>
      <c r="N1859" s="1">
        <v>0.69791666666666663</v>
      </c>
      <c r="O1859" t="s">
        <v>49</v>
      </c>
    </row>
    <row r="1860" spans="1:15" x14ac:dyDescent="0.3">
      <c r="A1860" t="s">
        <v>1892</v>
      </c>
      <c r="B1860">
        <v>20260819</v>
      </c>
      <c r="C1860" t="s">
        <v>25</v>
      </c>
      <c r="D1860" t="s">
        <v>36</v>
      </c>
      <c r="E1860" t="s">
        <v>18</v>
      </c>
      <c r="F1860">
        <v>12647</v>
      </c>
      <c r="G1860">
        <v>14367</v>
      </c>
      <c r="H1860">
        <v>744</v>
      </c>
      <c r="I1860">
        <v>100</v>
      </c>
      <c r="J1860">
        <v>75</v>
      </c>
      <c r="K1860">
        <v>15</v>
      </c>
      <c r="L1860">
        <v>0</v>
      </c>
      <c r="M1860">
        <v>60</v>
      </c>
      <c r="N1860" s="1">
        <v>0.35416666666666669</v>
      </c>
      <c r="O1860" t="s">
        <v>49</v>
      </c>
    </row>
    <row r="1861" spans="1:15" x14ac:dyDescent="0.3">
      <c r="A1861" t="s">
        <v>1893</v>
      </c>
      <c r="B1861">
        <v>20260512</v>
      </c>
      <c r="C1861" t="s">
        <v>25</v>
      </c>
      <c r="D1861" t="s">
        <v>21</v>
      </c>
      <c r="E1861" t="s">
        <v>18</v>
      </c>
      <c r="F1861">
        <v>3408</v>
      </c>
      <c r="G1861">
        <v>4090</v>
      </c>
      <c r="H1861">
        <v>89</v>
      </c>
      <c r="I1861">
        <v>8</v>
      </c>
      <c r="J1861">
        <v>17</v>
      </c>
      <c r="K1861">
        <v>3</v>
      </c>
      <c r="L1861">
        <v>0</v>
      </c>
      <c r="M1861">
        <v>43</v>
      </c>
      <c r="N1861" s="1">
        <v>0.33333333333333331</v>
      </c>
      <c r="O1861" t="s">
        <v>53</v>
      </c>
    </row>
    <row r="1862" spans="1:15" x14ac:dyDescent="0.3">
      <c r="A1862" t="s">
        <v>1894</v>
      </c>
      <c r="B1862">
        <v>20250910</v>
      </c>
      <c r="C1862" t="s">
        <v>16</v>
      </c>
      <c r="D1862" t="s">
        <v>29</v>
      </c>
      <c r="E1862" t="s">
        <v>51</v>
      </c>
      <c r="F1862">
        <v>32493</v>
      </c>
      <c r="G1862">
        <v>51661</v>
      </c>
      <c r="H1862">
        <v>1560</v>
      </c>
      <c r="I1862">
        <v>99</v>
      </c>
      <c r="J1862">
        <v>160</v>
      </c>
      <c r="K1862">
        <v>201</v>
      </c>
      <c r="L1862">
        <v>0</v>
      </c>
      <c r="M1862">
        <v>516</v>
      </c>
      <c r="N1862" s="1">
        <v>0.90625</v>
      </c>
      <c r="O1862" t="s">
        <v>53</v>
      </c>
    </row>
    <row r="1863" spans="1:15" x14ac:dyDescent="0.3">
      <c r="A1863" t="s">
        <v>1895</v>
      </c>
      <c r="B1863">
        <v>20250117</v>
      </c>
      <c r="C1863" t="s">
        <v>16</v>
      </c>
      <c r="D1863" t="s">
        <v>21</v>
      </c>
      <c r="E1863" t="s">
        <v>26</v>
      </c>
      <c r="F1863">
        <v>29674</v>
      </c>
      <c r="G1863">
        <v>33009</v>
      </c>
      <c r="H1863">
        <v>1904</v>
      </c>
      <c r="I1863">
        <v>103</v>
      </c>
      <c r="J1863">
        <v>314</v>
      </c>
      <c r="K1863">
        <v>221</v>
      </c>
      <c r="L1863">
        <v>15593</v>
      </c>
      <c r="M1863">
        <v>524</v>
      </c>
      <c r="N1863" s="1">
        <v>0.69791666666666663</v>
      </c>
      <c r="O1863" t="s">
        <v>49</v>
      </c>
    </row>
    <row r="1864" spans="1:15" x14ac:dyDescent="0.3">
      <c r="A1864" t="s">
        <v>1896</v>
      </c>
      <c r="B1864">
        <v>20260315</v>
      </c>
      <c r="C1864" t="s">
        <v>25</v>
      </c>
      <c r="E1864" t="s">
        <v>18</v>
      </c>
      <c r="F1864">
        <v>12438</v>
      </c>
      <c r="G1864">
        <v>16038</v>
      </c>
      <c r="H1864">
        <v>1002</v>
      </c>
      <c r="I1864">
        <v>127</v>
      </c>
      <c r="J1864">
        <v>63</v>
      </c>
      <c r="K1864">
        <v>36</v>
      </c>
      <c r="L1864">
        <v>0</v>
      </c>
      <c r="M1864">
        <v>204</v>
      </c>
      <c r="N1864" s="1">
        <v>0.75</v>
      </c>
      <c r="O1864" t="s">
        <v>38</v>
      </c>
    </row>
    <row r="1865" spans="1:15" x14ac:dyDescent="0.3">
      <c r="A1865" t="s">
        <v>1897</v>
      </c>
      <c r="B1865">
        <v>20250414</v>
      </c>
      <c r="C1865" t="s">
        <v>40</v>
      </c>
      <c r="D1865" t="s">
        <v>36</v>
      </c>
      <c r="E1865" t="s">
        <v>46</v>
      </c>
      <c r="F1865">
        <v>73827</v>
      </c>
      <c r="G1865">
        <v>83734</v>
      </c>
      <c r="H1865">
        <v>7055</v>
      </c>
      <c r="I1865">
        <v>574</v>
      </c>
      <c r="J1865">
        <v>1387</v>
      </c>
      <c r="K1865">
        <v>753</v>
      </c>
      <c r="L1865">
        <v>31371</v>
      </c>
      <c r="M1865">
        <v>149</v>
      </c>
      <c r="N1865" s="1">
        <v>0.85416666666666663</v>
      </c>
      <c r="O1865" t="s">
        <v>30</v>
      </c>
    </row>
    <row r="1866" spans="1:15" x14ac:dyDescent="0.3">
      <c r="A1866" t="s">
        <v>1898</v>
      </c>
      <c r="B1866">
        <v>20250116</v>
      </c>
      <c r="C1866" t="s">
        <v>16</v>
      </c>
      <c r="D1866" t="s">
        <v>68</v>
      </c>
      <c r="E1866" t="s">
        <v>22</v>
      </c>
      <c r="F1866">
        <v>12943</v>
      </c>
      <c r="G1866">
        <v>20294</v>
      </c>
      <c r="H1866">
        <v>1519</v>
      </c>
      <c r="I1866">
        <v>188</v>
      </c>
      <c r="J1866">
        <v>101</v>
      </c>
      <c r="K1866">
        <v>88</v>
      </c>
      <c r="L1866">
        <v>0</v>
      </c>
      <c r="M1866">
        <v>150</v>
      </c>
      <c r="N1866" s="1">
        <v>0.55208333333333337</v>
      </c>
      <c r="O1866" t="s">
        <v>23</v>
      </c>
    </row>
    <row r="1867" spans="1:15" x14ac:dyDescent="0.3">
      <c r="A1867" t="s">
        <v>1899</v>
      </c>
      <c r="B1867">
        <v>20260415</v>
      </c>
      <c r="C1867" t="s">
        <v>40</v>
      </c>
      <c r="D1867" t="s">
        <v>36</v>
      </c>
      <c r="E1867" t="s">
        <v>18</v>
      </c>
      <c r="F1867">
        <v>16687</v>
      </c>
      <c r="G1867">
        <v>20243</v>
      </c>
      <c r="H1867">
        <v>773</v>
      </c>
      <c r="I1867">
        <v>83</v>
      </c>
      <c r="J1867">
        <v>87</v>
      </c>
      <c r="K1867">
        <v>99</v>
      </c>
      <c r="L1867">
        <v>0</v>
      </c>
      <c r="M1867">
        <v>167</v>
      </c>
      <c r="N1867" s="1">
        <v>0.59375</v>
      </c>
      <c r="O1867" t="s">
        <v>38</v>
      </c>
    </row>
    <row r="1868" spans="1:15" x14ac:dyDescent="0.3">
      <c r="A1868" t="s">
        <v>1900</v>
      </c>
      <c r="B1868">
        <v>20260828</v>
      </c>
      <c r="C1868" t="s">
        <v>44</v>
      </c>
      <c r="D1868" t="s">
        <v>17</v>
      </c>
      <c r="E1868" t="s">
        <v>18</v>
      </c>
      <c r="F1868">
        <v>65855</v>
      </c>
      <c r="G1868">
        <v>69496</v>
      </c>
      <c r="H1868">
        <v>4576</v>
      </c>
      <c r="I1868">
        <v>508</v>
      </c>
      <c r="J1868">
        <v>415</v>
      </c>
      <c r="K1868">
        <v>446</v>
      </c>
      <c r="L1868">
        <v>0</v>
      </c>
      <c r="M1868">
        <v>176</v>
      </c>
      <c r="N1868" s="1">
        <v>0.6875</v>
      </c>
      <c r="O1868" t="s">
        <v>19</v>
      </c>
    </row>
    <row r="1869" spans="1:15" x14ac:dyDescent="0.3">
      <c r="A1869" t="s">
        <v>1901</v>
      </c>
      <c r="B1869">
        <v>20260327</v>
      </c>
      <c r="C1869" t="s">
        <v>44</v>
      </c>
      <c r="D1869" t="s">
        <v>21</v>
      </c>
      <c r="E1869" t="s">
        <v>46</v>
      </c>
      <c r="F1869">
        <v>40454</v>
      </c>
      <c r="G1869">
        <v>63210</v>
      </c>
      <c r="H1869">
        <v>1540</v>
      </c>
      <c r="I1869">
        <v>118</v>
      </c>
      <c r="J1869">
        <v>93</v>
      </c>
      <c r="K1869">
        <v>192</v>
      </c>
      <c r="L1869">
        <v>20134</v>
      </c>
      <c r="M1869">
        <v>395</v>
      </c>
      <c r="N1869" s="1">
        <v>0.61458333333333337</v>
      </c>
      <c r="O1869" t="s">
        <v>53</v>
      </c>
    </row>
    <row r="1870" spans="1:15" x14ac:dyDescent="0.3">
      <c r="A1870" t="s">
        <v>1902</v>
      </c>
      <c r="B1870">
        <v>20260719</v>
      </c>
      <c r="C1870" t="s">
        <v>40</v>
      </c>
      <c r="E1870" t="s">
        <v>18</v>
      </c>
      <c r="F1870">
        <v>12663</v>
      </c>
      <c r="G1870">
        <v>15510</v>
      </c>
      <c r="H1870">
        <v>568</v>
      </c>
      <c r="I1870">
        <v>21</v>
      </c>
      <c r="J1870">
        <v>86</v>
      </c>
      <c r="K1870">
        <v>85</v>
      </c>
      <c r="L1870">
        <v>0</v>
      </c>
      <c r="M1870">
        <v>31</v>
      </c>
      <c r="N1870" s="1">
        <v>0.61458333333333337</v>
      </c>
      <c r="O1870" t="s">
        <v>19</v>
      </c>
    </row>
    <row r="1871" spans="1:15" x14ac:dyDescent="0.3">
      <c r="A1871" t="s">
        <v>1903</v>
      </c>
      <c r="B1871">
        <v>20250822</v>
      </c>
      <c r="C1871" t="s">
        <v>25</v>
      </c>
      <c r="D1871" t="s">
        <v>33</v>
      </c>
      <c r="E1871" t="s">
        <v>51</v>
      </c>
      <c r="F1871">
        <v>5693</v>
      </c>
      <c r="G1871">
        <v>8995</v>
      </c>
      <c r="H1871">
        <v>597</v>
      </c>
      <c r="I1871">
        <v>55</v>
      </c>
      <c r="J1871">
        <v>57</v>
      </c>
      <c r="K1871">
        <v>24</v>
      </c>
      <c r="L1871">
        <v>0</v>
      </c>
      <c r="M1871">
        <v>18</v>
      </c>
      <c r="N1871" s="1">
        <v>0.33333333333333331</v>
      </c>
      <c r="O1871" t="s">
        <v>19</v>
      </c>
    </row>
    <row r="1872" spans="1:15" x14ac:dyDescent="0.3">
      <c r="A1872" t="s">
        <v>1904</v>
      </c>
      <c r="B1872">
        <v>20251215</v>
      </c>
      <c r="C1872" t="s">
        <v>44</v>
      </c>
      <c r="D1872" t="s">
        <v>21</v>
      </c>
      <c r="E1872" t="s">
        <v>51</v>
      </c>
      <c r="F1872">
        <v>55095</v>
      </c>
      <c r="G1872">
        <v>68474</v>
      </c>
      <c r="H1872">
        <v>1545</v>
      </c>
      <c r="I1872">
        <v>150</v>
      </c>
      <c r="J1872">
        <v>305</v>
      </c>
      <c r="K1872">
        <v>134</v>
      </c>
      <c r="L1872">
        <v>0</v>
      </c>
      <c r="M1872">
        <v>184</v>
      </c>
      <c r="N1872" s="1">
        <v>0.42708333333333331</v>
      </c>
      <c r="O1872" t="s">
        <v>23</v>
      </c>
    </row>
    <row r="1873" spans="1:15" x14ac:dyDescent="0.3">
      <c r="A1873" t="s">
        <v>1905</v>
      </c>
      <c r="B1873">
        <v>20250821</v>
      </c>
      <c r="C1873" t="s">
        <v>40</v>
      </c>
      <c r="D1873" t="s">
        <v>68</v>
      </c>
      <c r="E1873" t="s">
        <v>41</v>
      </c>
      <c r="F1873">
        <v>16301</v>
      </c>
      <c r="G1873">
        <v>20642</v>
      </c>
      <c r="H1873">
        <v>1805</v>
      </c>
      <c r="I1873">
        <v>202</v>
      </c>
      <c r="J1873">
        <v>69</v>
      </c>
      <c r="K1873">
        <v>217</v>
      </c>
      <c r="L1873">
        <v>6702</v>
      </c>
      <c r="M1873">
        <v>131</v>
      </c>
      <c r="N1873" s="1">
        <v>0.34375</v>
      </c>
      <c r="O1873" t="s">
        <v>27</v>
      </c>
    </row>
    <row r="1874" spans="1:15" x14ac:dyDescent="0.3">
      <c r="A1874" t="s">
        <v>1906</v>
      </c>
      <c r="B1874">
        <v>20250818</v>
      </c>
      <c r="C1874" t="s">
        <v>25</v>
      </c>
      <c r="D1874" t="s">
        <v>21</v>
      </c>
      <c r="E1874" t="s">
        <v>18</v>
      </c>
      <c r="F1874">
        <v>4136</v>
      </c>
      <c r="G1874">
        <v>5038</v>
      </c>
      <c r="H1874">
        <v>366</v>
      </c>
      <c r="I1874">
        <v>9</v>
      </c>
      <c r="J1874">
        <v>46</v>
      </c>
      <c r="K1874">
        <v>24</v>
      </c>
      <c r="L1874">
        <v>0</v>
      </c>
      <c r="M1874">
        <v>14</v>
      </c>
      <c r="N1874" s="1">
        <v>0.85416666666666663</v>
      </c>
      <c r="O1874" t="s">
        <v>19</v>
      </c>
    </row>
    <row r="1875" spans="1:15" x14ac:dyDescent="0.3">
      <c r="A1875" t="s">
        <v>1907</v>
      </c>
      <c r="B1875">
        <v>20260710</v>
      </c>
      <c r="C1875" t="s">
        <v>25</v>
      </c>
      <c r="D1875" t="s">
        <v>21</v>
      </c>
      <c r="E1875" t="s">
        <v>46</v>
      </c>
      <c r="F1875">
        <v>14092</v>
      </c>
      <c r="G1875">
        <v>19252</v>
      </c>
      <c r="H1875">
        <v>619</v>
      </c>
      <c r="I1875">
        <v>82</v>
      </c>
      <c r="J1875">
        <v>51</v>
      </c>
      <c r="K1875">
        <v>91</v>
      </c>
      <c r="L1875">
        <v>8153</v>
      </c>
      <c r="M1875">
        <v>80</v>
      </c>
      <c r="N1875" s="1">
        <v>0.9375</v>
      </c>
      <c r="O1875" t="s">
        <v>42</v>
      </c>
    </row>
    <row r="1876" spans="1:15" x14ac:dyDescent="0.3">
      <c r="A1876" t="s">
        <v>1908</v>
      </c>
      <c r="B1876">
        <v>20250616</v>
      </c>
      <c r="C1876" t="s">
        <v>32</v>
      </c>
      <c r="D1876" t="s">
        <v>21</v>
      </c>
      <c r="E1876" t="s">
        <v>41</v>
      </c>
      <c r="F1876">
        <v>7986</v>
      </c>
      <c r="G1876">
        <v>13005</v>
      </c>
      <c r="H1876">
        <v>882</v>
      </c>
      <c r="I1876">
        <v>85</v>
      </c>
      <c r="J1876">
        <v>66</v>
      </c>
      <c r="K1876">
        <v>107</v>
      </c>
      <c r="L1876">
        <v>2935</v>
      </c>
      <c r="M1876">
        <v>45</v>
      </c>
      <c r="N1876" s="1">
        <v>0.9375</v>
      </c>
      <c r="O1876" t="s">
        <v>19</v>
      </c>
    </row>
    <row r="1877" spans="1:15" x14ac:dyDescent="0.3">
      <c r="A1877" t="s">
        <v>1909</v>
      </c>
      <c r="B1877">
        <v>20260621</v>
      </c>
      <c r="C1877" t="s">
        <v>16</v>
      </c>
      <c r="D1877" t="s">
        <v>33</v>
      </c>
      <c r="E1877" t="s">
        <v>41</v>
      </c>
      <c r="F1877">
        <v>21076</v>
      </c>
      <c r="G1877">
        <v>23800</v>
      </c>
      <c r="H1877">
        <v>2131</v>
      </c>
      <c r="I1877">
        <v>197</v>
      </c>
      <c r="J1877">
        <v>139</v>
      </c>
      <c r="K1877">
        <v>212</v>
      </c>
      <c r="L1877">
        <v>9571</v>
      </c>
      <c r="M1877">
        <v>305</v>
      </c>
      <c r="N1877" s="1">
        <v>0.32291666666666669</v>
      </c>
      <c r="O1877" t="s">
        <v>23</v>
      </c>
    </row>
    <row r="1878" spans="1:15" x14ac:dyDescent="0.3">
      <c r="A1878" t="s">
        <v>1910</v>
      </c>
      <c r="B1878">
        <v>20251110</v>
      </c>
      <c r="C1878" t="s">
        <v>40</v>
      </c>
      <c r="E1878" t="s">
        <v>51</v>
      </c>
      <c r="F1878">
        <v>19321</v>
      </c>
      <c r="G1878">
        <v>25317</v>
      </c>
      <c r="H1878">
        <v>1168</v>
      </c>
      <c r="I1878">
        <v>80</v>
      </c>
      <c r="J1878">
        <v>139</v>
      </c>
      <c r="K1878">
        <v>29</v>
      </c>
      <c r="L1878">
        <v>0</v>
      </c>
      <c r="M1878">
        <v>24</v>
      </c>
      <c r="N1878" s="1">
        <v>0.71875</v>
      </c>
      <c r="O1878" t="s">
        <v>47</v>
      </c>
    </row>
    <row r="1879" spans="1:15" x14ac:dyDescent="0.3">
      <c r="A1879" t="s">
        <v>1911</v>
      </c>
      <c r="B1879">
        <v>20250806</v>
      </c>
      <c r="C1879" t="s">
        <v>32</v>
      </c>
      <c r="D1879" t="s">
        <v>21</v>
      </c>
      <c r="E1879" t="s">
        <v>51</v>
      </c>
      <c r="F1879">
        <v>8671</v>
      </c>
      <c r="G1879">
        <v>10077</v>
      </c>
      <c r="H1879">
        <v>344</v>
      </c>
      <c r="I1879">
        <v>40</v>
      </c>
      <c r="J1879">
        <v>63</v>
      </c>
      <c r="K1879">
        <v>51</v>
      </c>
      <c r="L1879">
        <v>0</v>
      </c>
      <c r="M1879">
        <v>56</v>
      </c>
      <c r="N1879" s="1">
        <v>0.44791666666666669</v>
      </c>
      <c r="O1879" t="s">
        <v>49</v>
      </c>
    </row>
    <row r="1880" spans="1:15" x14ac:dyDescent="0.3">
      <c r="A1880" t="s">
        <v>1912</v>
      </c>
      <c r="B1880">
        <v>20260625</v>
      </c>
      <c r="C1880" t="s">
        <v>40</v>
      </c>
      <c r="D1880" t="s">
        <v>17</v>
      </c>
      <c r="E1880" t="s">
        <v>26</v>
      </c>
      <c r="F1880">
        <v>10977</v>
      </c>
      <c r="G1880">
        <v>14074</v>
      </c>
      <c r="H1880">
        <v>615</v>
      </c>
      <c r="I1880">
        <v>67</v>
      </c>
      <c r="J1880">
        <v>47</v>
      </c>
      <c r="K1880">
        <v>27</v>
      </c>
      <c r="L1880">
        <v>5283</v>
      </c>
      <c r="M1880">
        <v>88</v>
      </c>
      <c r="N1880" s="1">
        <v>0.76041666666666663</v>
      </c>
      <c r="O1880" t="s">
        <v>42</v>
      </c>
    </row>
    <row r="1881" spans="1:15" x14ac:dyDescent="0.3">
      <c r="A1881" t="s">
        <v>1913</v>
      </c>
      <c r="B1881">
        <v>20250709</v>
      </c>
      <c r="C1881" t="s">
        <v>40</v>
      </c>
      <c r="D1881" t="s">
        <v>33</v>
      </c>
      <c r="E1881" t="s">
        <v>22</v>
      </c>
      <c r="F1881">
        <v>16293</v>
      </c>
      <c r="G1881">
        <v>26146</v>
      </c>
      <c r="H1881">
        <v>527</v>
      </c>
      <c r="I1881">
        <v>70</v>
      </c>
      <c r="J1881">
        <v>79</v>
      </c>
      <c r="K1881">
        <v>35</v>
      </c>
      <c r="L1881">
        <v>0</v>
      </c>
      <c r="M1881">
        <v>201</v>
      </c>
      <c r="N1881" s="1">
        <v>0.52083333333333337</v>
      </c>
      <c r="O1881" t="s">
        <v>30</v>
      </c>
    </row>
    <row r="1882" spans="1:15" x14ac:dyDescent="0.3">
      <c r="A1882" t="s">
        <v>1914</v>
      </c>
      <c r="B1882">
        <v>20250714</v>
      </c>
      <c r="C1882" t="s">
        <v>32</v>
      </c>
      <c r="D1882" t="s">
        <v>36</v>
      </c>
      <c r="E1882" t="s">
        <v>46</v>
      </c>
      <c r="F1882">
        <v>13091</v>
      </c>
      <c r="G1882">
        <v>15368</v>
      </c>
      <c r="H1882">
        <v>370</v>
      </c>
      <c r="I1882">
        <v>21</v>
      </c>
      <c r="J1882">
        <v>24</v>
      </c>
      <c r="K1882">
        <v>14</v>
      </c>
      <c r="L1882">
        <v>11161</v>
      </c>
      <c r="M1882">
        <v>61</v>
      </c>
      <c r="N1882" s="1">
        <v>0.47916666666666669</v>
      </c>
      <c r="O1882" t="s">
        <v>19</v>
      </c>
    </row>
    <row r="1883" spans="1:15" x14ac:dyDescent="0.3">
      <c r="A1883" t="s">
        <v>1915</v>
      </c>
      <c r="B1883">
        <v>20251016</v>
      </c>
      <c r="C1883" t="s">
        <v>44</v>
      </c>
      <c r="D1883" t="s">
        <v>33</v>
      </c>
      <c r="E1883" t="s">
        <v>41</v>
      </c>
      <c r="F1883">
        <v>68091</v>
      </c>
      <c r="G1883">
        <v>95169</v>
      </c>
      <c r="H1883">
        <v>2546</v>
      </c>
      <c r="I1883">
        <v>196</v>
      </c>
      <c r="J1883">
        <v>501</v>
      </c>
      <c r="K1883">
        <v>316</v>
      </c>
      <c r="L1883">
        <v>49650</v>
      </c>
      <c r="M1883">
        <v>181</v>
      </c>
      <c r="N1883" s="1">
        <v>0.80208333333333337</v>
      </c>
      <c r="O1883" t="s">
        <v>49</v>
      </c>
    </row>
    <row r="1884" spans="1:15" x14ac:dyDescent="0.3">
      <c r="A1884" t="s">
        <v>1916</v>
      </c>
      <c r="B1884">
        <v>20260304</v>
      </c>
      <c r="C1884" t="s">
        <v>25</v>
      </c>
      <c r="D1884" t="s">
        <v>17</v>
      </c>
      <c r="E1884" t="s">
        <v>46</v>
      </c>
      <c r="F1884">
        <v>17006</v>
      </c>
      <c r="G1884">
        <v>18830</v>
      </c>
      <c r="H1884">
        <v>465</v>
      </c>
      <c r="I1884">
        <v>61</v>
      </c>
      <c r="J1884">
        <v>58</v>
      </c>
      <c r="K1884">
        <v>53</v>
      </c>
      <c r="L1884">
        <v>13702</v>
      </c>
      <c r="M1884">
        <v>57</v>
      </c>
      <c r="N1884" s="1">
        <v>0.65625</v>
      </c>
      <c r="O1884" t="s">
        <v>38</v>
      </c>
    </row>
    <row r="1885" spans="1:15" x14ac:dyDescent="0.3">
      <c r="A1885" t="s">
        <v>1917</v>
      </c>
      <c r="B1885">
        <v>20251001</v>
      </c>
      <c r="C1885" t="s">
        <v>32</v>
      </c>
      <c r="D1885" t="s">
        <v>17</v>
      </c>
      <c r="E1885" t="s">
        <v>18</v>
      </c>
      <c r="F1885">
        <v>4227</v>
      </c>
      <c r="G1885">
        <v>6857</v>
      </c>
      <c r="H1885">
        <v>154</v>
      </c>
      <c r="I1885">
        <v>19</v>
      </c>
      <c r="J1885">
        <v>8</v>
      </c>
      <c r="K1885">
        <v>5</v>
      </c>
      <c r="L1885">
        <v>0</v>
      </c>
      <c r="M1885">
        <v>66</v>
      </c>
      <c r="N1885" s="1">
        <v>0.75</v>
      </c>
      <c r="O1885" t="s">
        <v>30</v>
      </c>
    </row>
    <row r="1886" spans="1:15" x14ac:dyDescent="0.3">
      <c r="A1886" t="s">
        <v>1918</v>
      </c>
      <c r="B1886">
        <v>20260516</v>
      </c>
      <c r="C1886" t="s">
        <v>32</v>
      </c>
      <c r="D1886" t="s">
        <v>33</v>
      </c>
      <c r="E1886" t="s">
        <v>46</v>
      </c>
      <c r="F1886">
        <v>12618</v>
      </c>
      <c r="G1886">
        <v>15274</v>
      </c>
      <c r="H1886">
        <v>1301</v>
      </c>
      <c r="I1886">
        <v>138</v>
      </c>
      <c r="J1886">
        <v>226</v>
      </c>
      <c r="K1886">
        <v>76</v>
      </c>
      <c r="L1886">
        <v>7707</v>
      </c>
      <c r="M1886">
        <v>36</v>
      </c>
      <c r="N1886" s="1">
        <v>0.42708333333333331</v>
      </c>
      <c r="O1886" t="s">
        <v>27</v>
      </c>
    </row>
    <row r="1887" spans="1:15" x14ac:dyDescent="0.3">
      <c r="A1887" t="s">
        <v>1919</v>
      </c>
      <c r="B1887">
        <v>20250615</v>
      </c>
      <c r="C1887" t="s">
        <v>25</v>
      </c>
      <c r="D1887" t="s">
        <v>33</v>
      </c>
      <c r="E1887" t="s">
        <v>22</v>
      </c>
      <c r="F1887">
        <v>19250</v>
      </c>
      <c r="G1887">
        <v>31049</v>
      </c>
      <c r="H1887">
        <v>1085</v>
      </c>
      <c r="I1887">
        <v>99</v>
      </c>
      <c r="J1887">
        <v>156</v>
      </c>
      <c r="K1887">
        <v>64</v>
      </c>
      <c r="L1887">
        <v>0</v>
      </c>
      <c r="M1887">
        <v>63</v>
      </c>
      <c r="N1887" s="1">
        <v>0.44791666666666669</v>
      </c>
      <c r="O1887" t="s">
        <v>42</v>
      </c>
    </row>
    <row r="1888" spans="1:15" x14ac:dyDescent="0.3">
      <c r="A1888" t="s">
        <v>1920</v>
      </c>
      <c r="B1888">
        <v>20260312</v>
      </c>
      <c r="C1888" t="s">
        <v>44</v>
      </c>
      <c r="D1888" t="s">
        <v>61</v>
      </c>
      <c r="E1888" t="s">
        <v>18</v>
      </c>
      <c r="F1888">
        <v>31068</v>
      </c>
      <c r="G1888">
        <v>41436</v>
      </c>
      <c r="H1888">
        <v>1789</v>
      </c>
      <c r="I1888">
        <v>158</v>
      </c>
      <c r="J1888">
        <v>118</v>
      </c>
      <c r="K1888">
        <v>233</v>
      </c>
      <c r="L1888">
        <v>0</v>
      </c>
      <c r="M1888">
        <v>65</v>
      </c>
      <c r="N1888" s="1">
        <v>0.94791666666666663</v>
      </c>
      <c r="O1888" t="s">
        <v>23</v>
      </c>
    </row>
    <row r="1889" spans="1:15" x14ac:dyDescent="0.3">
      <c r="A1889" t="s">
        <v>1921</v>
      </c>
      <c r="B1889">
        <v>20250910</v>
      </c>
      <c r="C1889" t="s">
        <v>44</v>
      </c>
      <c r="D1889" t="s">
        <v>36</v>
      </c>
      <c r="E1889" t="s">
        <v>18</v>
      </c>
      <c r="F1889">
        <v>33721</v>
      </c>
      <c r="G1889">
        <v>50150</v>
      </c>
      <c r="H1889">
        <v>3795</v>
      </c>
      <c r="I1889">
        <v>409</v>
      </c>
      <c r="J1889">
        <v>318</v>
      </c>
      <c r="K1889">
        <v>384</v>
      </c>
      <c r="L1889">
        <v>0</v>
      </c>
      <c r="M1889">
        <v>260</v>
      </c>
      <c r="N1889" s="1">
        <v>0.39583333333333331</v>
      </c>
      <c r="O1889" t="s">
        <v>53</v>
      </c>
    </row>
    <row r="1890" spans="1:15" x14ac:dyDescent="0.3">
      <c r="A1890" t="s">
        <v>1922</v>
      </c>
      <c r="B1890">
        <v>20260830</v>
      </c>
      <c r="C1890" t="s">
        <v>44</v>
      </c>
      <c r="D1890" t="s">
        <v>68</v>
      </c>
      <c r="E1890" t="s">
        <v>18</v>
      </c>
      <c r="F1890">
        <v>10660</v>
      </c>
      <c r="G1890">
        <v>15524</v>
      </c>
      <c r="H1890">
        <v>1264</v>
      </c>
      <c r="I1890">
        <v>48</v>
      </c>
      <c r="J1890">
        <v>54</v>
      </c>
      <c r="K1890">
        <v>159</v>
      </c>
      <c r="L1890">
        <v>0</v>
      </c>
      <c r="M1890">
        <v>101</v>
      </c>
      <c r="N1890" s="1">
        <v>0.94791666666666663</v>
      </c>
      <c r="O1890" t="s">
        <v>47</v>
      </c>
    </row>
    <row r="1891" spans="1:15" x14ac:dyDescent="0.3">
      <c r="A1891" t="s">
        <v>1923</v>
      </c>
      <c r="B1891">
        <v>20260912</v>
      </c>
      <c r="C1891" t="s">
        <v>25</v>
      </c>
      <c r="D1891" t="s">
        <v>68</v>
      </c>
      <c r="E1891" t="s">
        <v>51</v>
      </c>
      <c r="F1891">
        <v>13633</v>
      </c>
      <c r="G1891">
        <v>15514</v>
      </c>
      <c r="H1891">
        <v>808</v>
      </c>
      <c r="I1891">
        <v>83</v>
      </c>
      <c r="J1891">
        <v>130</v>
      </c>
      <c r="K1891">
        <v>33</v>
      </c>
      <c r="L1891">
        <v>0</v>
      </c>
      <c r="M1891">
        <v>236</v>
      </c>
      <c r="N1891" s="1">
        <v>0.30208333333333331</v>
      </c>
      <c r="O1891" t="s">
        <v>42</v>
      </c>
    </row>
    <row r="1892" spans="1:15" x14ac:dyDescent="0.3">
      <c r="A1892" t="s">
        <v>1924</v>
      </c>
      <c r="B1892">
        <v>20251030</v>
      </c>
      <c r="C1892" t="s">
        <v>40</v>
      </c>
      <c r="E1892" t="s">
        <v>18</v>
      </c>
      <c r="F1892">
        <v>43238</v>
      </c>
      <c r="G1892">
        <v>48131</v>
      </c>
      <c r="H1892">
        <v>3154</v>
      </c>
      <c r="I1892">
        <v>124</v>
      </c>
      <c r="J1892">
        <v>512</v>
      </c>
      <c r="K1892">
        <v>181</v>
      </c>
      <c r="L1892">
        <v>0</v>
      </c>
      <c r="M1892">
        <v>77</v>
      </c>
      <c r="N1892" s="1">
        <v>0.72916666666666663</v>
      </c>
      <c r="O1892" t="s">
        <v>30</v>
      </c>
    </row>
    <row r="1893" spans="1:15" x14ac:dyDescent="0.3">
      <c r="A1893" t="s">
        <v>1925</v>
      </c>
      <c r="B1893">
        <v>20260114</v>
      </c>
      <c r="C1893" t="s">
        <v>25</v>
      </c>
      <c r="D1893" t="s">
        <v>21</v>
      </c>
      <c r="E1893" t="s">
        <v>46</v>
      </c>
      <c r="F1893">
        <v>10973</v>
      </c>
      <c r="G1893">
        <v>14725</v>
      </c>
      <c r="H1893">
        <v>915</v>
      </c>
      <c r="I1893">
        <v>42</v>
      </c>
      <c r="J1893">
        <v>125</v>
      </c>
      <c r="K1893">
        <v>111</v>
      </c>
      <c r="L1893">
        <v>6222</v>
      </c>
      <c r="M1893">
        <v>80</v>
      </c>
      <c r="N1893" s="1">
        <v>0.80208333333333337</v>
      </c>
      <c r="O1893" t="s">
        <v>19</v>
      </c>
    </row>
    <row r="1894" spans="1:15" x14ac:dyDescent="0.3">
      <c r="A1894" t="s">
        <v>1926</v>
      </c>
      <c r="B1894">
        <v>20250313</v>
      </c>
      <c r="C1894" t="s">
        <v>16</v>
      </c>
      <c r="D1894" t="s">
        <v>36</v>
      </c>
      <c r="E1894" t="s">
        <v>22</v>
      </c>
      <c r="F1894">
        <v>11879</v>
      </c>
      <c r="G1894">
        <v>15981</v>
      </c>
      <c r="H1894">
        <v>714</v>
      </c>
      <c r="I1894">
        <v>26</v>
      </c>
      <c r="J1894">
        <v>89</v>
      </c>
      <c r="K1894">
        <v>18</v>
      </c>
      <c r="L1894">
        <v>0</v>
      </c>
      <c r="M1894">
        <v>13</v>
      </c>
      <c r="N1894" s="1">
        <v>0.80208333333333337</v>
      </c>
      <c r="O1894" t="s">
        <v>38</v>
      </c>
    </row>
    <row r="1895" spans="1:15" x14ac:dyDescent="0.3">
      <c r="A1895" t="s">
        <v>1927</v>
      </c>
      <c r="B1895">
        <v>20260728</v>
      </c>
      <c r="C1895" t="s">
        <v>32</v>
      </c>
      <c r="D1895" t="s">
        <v>29</v>
      </c>
      <c r="E1895" t="s">
        <v>51</v>
      </c>
      <c r="F1895">
        <v>3750</v>
      </c>
      <c r="G1895">
        <v>6043</v>
      </c>
      <c r="H1895">
        <v>267</v>
      </c>
      <c r="I1895">
        <v>16</v>
      </c>
      <c r="J1895">
        <v>28</v>
      </c>
      <c r="K1895">
        <v>27</v>
      </c>
      <c r="L1895">
        <v>0</v>
      </c>
      <c r="M1895">
        <v>24</v>
      </c>
      <c r="N1895" s="1">
        <v>0.66666666666666663</v>
      </c>
      <c r="O1895" t="s">
        <v>49</v>
      </c>
    </row>
    <row r="1896" spans="1:15" x14ac:dyDescent="0.3">
      <c r="A1896" t="s">
        <v>1928</v>
      </c>
      <c r="B1896">
        <v>20250601</v>
      </c>
      <c r="C1896" t="s">
        <v>40</v>
      </c>
      <c r="D1896" t="s">
        <v>33</v>
      </c>
      <c r="E1896" t="s">
        <v>51</v>
      </c>
      <c r="F1896">
        <v>6069</v>
      </c>
      <c r="G1896">
        <v>7353</v>
      </c>
      <c r="H1896">
        <v>238</v>
      </c>
      <c r="I1896">
        <v>15</v>
      </c>
      <c r="J1896">
        <v>9</v>
      </c>
      <c r="K1896">
        <v>31</v>
      </c>
      <c r="L1896">
        <v>0</v>
      </c>
      <c r="M1896">
        <v>30</v>
      </c>
      <c r="N1896" s="1">
        <v>0.89583333333333337</v>
      </c>
      <c r="O1896" t="s">
        <v>27</v>
      </c>
    </row>
    <row r="1897" spans="1:15" x14ac:dyDescent="0.3">
      <c r="A1897" t="s">
        <v>1929</v>
      </c>
      <c r="B1897">
        <v>20251015</v>
      </c>
      <c r="C1897" t="s">
        <v>44</v>
      </c>
      <c r="D1897" t="s">
        <v>33</v>
      </c>
      <c r="E1897" t="s">
        <v>46</v>
      </c>
      <c r="F1897">
        <v>77291</v>
      </c>
      <c r="G1897">
        <v>104680</v>
      </c>
      <c r="H1897">
        <v>4734</v>
      </c>
      <c r="I1897">
        <v>548</v>
      </c>
      <c r="J1897">
        <v>272</v>
      </c>
      <c r="K1897">
        <v>111</v>
      </c>
      <c r="L1897">
        <v>38743</v>
      </c>
      <c r="M1897">
        <v>1048</v>
      </c>
      <c r="N1897" s="1">
        <v>0.92708333333333337</v>
      </c>
      <c r="O1897" t="s">
        <v>19</v>
      </c>
    </row>
    <row r="1898" spans="1:15" x14ac:dyDescent="0.3">
      <c r="A1898" t="s">
        <v>1930</v>
      </c>
      <c r="B1898">
        <v>20250723</v>
      </c>
      <c r="C1898" t="s">
        <v>44</v>
      </c>
      <c r="D1898" t="s">
        <v>29</v>
      </c>
      <c r="E1898" t="s">
        <v>51</v>
      </c>
      <c r="F1898">
        <v>41881</v>
      </c>
      <c r="G1898">
        <v>66758</v>
      </c>
      <c r="H1898">
        <v>3214</v>
      </c>
      <c r="I1898">
        <v>229</v>
      </c>
      <c r="J1898">
        <v>307</v>
      </c>
      <c r="K1898">
        <v>487</v>
      </c>
      <c r="L1898">
        <v>0</v>
      </c>
      <c r="M1898">
        <v>519</v>
      </c>
      <c r="N1898" s="1">
        <v>0.29166666666666669</v>
      </c>
      <c r="O1898" t="s">
        <v>19</v>
      </c>
    </row>
    <row r="1899" spans="1:15" x14ac:dyDescent="0.3">
      <c r="A1899" t="s">
        <v>1931</v>
      </c>
      <c r="B1899">
        <v>20250220</v>
      </c>
      <c r="C1899" t="s">
        <v>16</v>
      </c>
      <c r="D1899" t="s">
        <v>33</v>
      </c>
      <c r="E1899" t="s">
        <v>18</v>
      </c>
      <c r="F1899">
        <v>44114</v>
      </c>
      <c r="G1899">
        <v>53034</v>
      </c>
      <c r="H1899">
        <v>3168</v>
      </c>
      <c r="I1899">
        <v>271</v>
      </c>
      <c r="J1899">
        <v>457</v>
      </c>
      <c r="K1899">
        <v>148</v>
      </c>
      <c r="L1899">
        <v>0</v>
      </c>
      <c r="M1899">
        <v>759</v>
      </c>
      <c r="N1899" s="1">
        <v>0.60416666666666663</v>
      </c>
      <c r="O1899" t="s">
        <v>23</v>
      </c>
    </row>
    <row r="1900" spans="1:15" x14ac:dyDescent="0.3">
      <c r="A1900" t="s">
        <v>1932</v>
      </c>
      <c r="B1900">
        <v>20250209</v>
      </c>
      <c r="C1900" t="s">
        <v>32</v>
      </c>
      <c r="D1900" t="s">
        <v>36</v>
      </c>
      <c r="E1900" t="s">
        <v>18</v>
      </c>
      <c r="F1900">
        <v>17054</v>
      </c>
      <c r="G1900">
        <v>22593</v>
      </c>
      <c r="H1900">
        <v>1858</v>
      </c>
      <c r="I1900">
        <v>257</v>
      </c>
      <c r="J1900">
        <v>171</v>
      </c>
      <c r="K1900">
        <v>222</v>
      </c>
      <c r="L1900">
        <v>0</v>
      </c>
      <c r="M1900">
        <v>253</v>
      </c>
      <c r="N1900" s="1">
        <v>0.875</v>
      </c>
      <c r="O1900" t="s">
        <v>19</v>
      </c>
    </row>
    <row r="1901" spans="1:15" x14ac:dyDescent="0.3">
      <c r="A1901" t="s">
        <v>1933</v>
      </c>
      <c r="B1901">
        <v>20260330</v>
      </c>
      <c r="C1901" t="s">
        <v>44</v>
      </c>
      <c r="D1901" t="s">
        <v>68</v>
      </c>
      <c r="E1901" t="s">
        <v>51</v>
      </c>
      <c r="F1901">
        <v>32460</v>
      </c>
      <c r="G1901">
        <v>42173</v>
      </c>
      <c r="H1901">
        <v>2985</v>
      </c>
      <c r="I1901">
        <v>343</v>
      </c>
      <c r="J1901">
        <v>296</v>
      </c>
      <c r="K1901">
        <v>464</v>
      </c>
      <c r="L1901">
        <v>0</v>
      </c>
      <c r="M1901">
        <v>37</v>
      </c>
      <c r="N1901" s="1">
        <v>0.33333333333333331</v>
      </c>
      <c r="O1901" t="s">
        <v>30</v>
      </c>
    </row>
    <row r="1902" spans="1:15" x14ac:dyDescent="0.3">
      <c r="A1902" t="s">
        <v>1934</v>
      </c>
      <c r="B1902">
        <v>20260523</v>
      </c>
      <c r="C1902" t="s">
        <v>16</v>
      </c>
      <c r="D1902" t="s">
        <v>36</v>
      </c>
      <c r="E1902" t="s">
        <v>46</v>
      </c>
      <c r="F1902">
        <v>19166</v>
      </c>
      <c r="G1902">
        <v>29485</v>
      </c>
      <c r="H1902">
        <v>1555</v>
      </c>
      <c r="I1902">
        <v>65</v>
      </c>
      <c r="J1902">
        <v>115</v>
      </c>
      <c r="K1902">
        <v>69</v>
      </c>
      <c r="L1902">
        <v>15106</v>
      </c>
      <c r="M1902">
        <v>295</v>
      </c>
      <c r="N1902" s="1">
        <v>0.625</v>
      </c>
      <c r="O1902" t="s">
        <v>23</v>
      </c>
    </row>
    <row r="1903" spans="1:15" x14ac:dyDescent="0.3">
      <c r="A1903" t="s">
        <v>1935</v>
      </c>
      <c r="B1903">
        <v>20260729</v>
      </c>
      <c r="C1903" t="s">
        <v>44</v>
      </c>
      <c r="D1903" t="s">
        <v>33</v>
      </c>
      <c r="E1903" t="s">
        <v>51</v>
      </c>
      <c r="F1903">
        <v>25175</v>
      </c>
      <c r="G1903">
        <v>33364</v>
      </c>
      <c r="H1903">
        <v>1913</v>
      </c>
      <c r="I1903">
        <v>90</v>
      </c>
      <c r="J1903">
        <v>229</v>
      </c>
      <c r="K1903">
        <v>88</v>
      </c>
      <c r="L1903">
        <v>0</v>
      </c>
      <c r="M1903">
        <v>274</v>
      </c>
      <c r="N1903" s="1">
        <v>0.92708333333333337</v>
      </c>
      <c r="O1903" t="s">
        <v>49</v>
      </c>
    </row>
    <row r="1904" spans="1:15" x14ac:dyDescent="0.3">
      <c r="A1904" t="s">
        <v>1936</v>
      </c>
      <c r="B1904">
        <v>20250327</v>
      </c>
      <c r="C1904" t="s">
        <v>40</v>
      </c>
      <c r="D1904" t="s">
        <v>61</v>
      </c>
      <c r="E1904" t="s">
        <v>26</v>
      </c>
      <c r="F1904">
        <v>9998</v>
      </c>
      <c r="G1904">
        <v>14143</v>
      </c>
      <c r="H1904">
        <v>281</v>
      </c>
      <c r="I1904">
        <v>23</v>
      </c>
      <c r="J1904">
        <v>53</v>
      </c>
      <c r="K1904">
        <v>43</v>
      </c>
      <c r="L1904">
        <v>7663</v>
      </c>
      <c r="M1904">
        <v>150</v>
      </c>
      <c r="N1904" s="1">
        <v>0.77083333333333337</v>
      </c>
      <c r="O1904" t="s">
        <v>27</v>
      </c>
    </row>
    <row r="1905" spans="1:15" x14ac:dyDescent="0.3">
      <c r="A1905" t="s">
        <v>1937</v>
      </c>
      <c r="B1905">
        <v>20250908</v>
      </c>
      <c r="C1905" t="s">
        <v>44</v>
      </c>
      <c r="D1905" t="s">
        <v>17</v>
      </c>
      <c r="E1905" t="s">
        <v>26</v>
      </c>
      <c r="F1905">
        <v>27663</v>
      </c>
      <c r="G1905">
        <v>43302</v>
      </c>
      <c r="H1905">
        <v>2328</v>
      </c>
      <c r="I1905">
        <v>172</v>
      </c>
      <c r="J1905">
        <v>366</v>
      </c>
      <c r="K1905">
        <v>162</v>
      </c>
      <c r="L1905">
        <v>24239</v>
      </c>
      <c r="M1905">
        <v>206</v>
      </c>
      <c r="N1905" s="1">
        <v>0.89583333333333337</v>
      </c>
      <c r="O1905" t="s">
        <v>23</v>
      </c>
    </row>
    <row r="1906" spans="1:15" x14ac:dyDescent="0.3">
      <c r="A1906" t="s">
        <v>1938</v>
      </c>
      <c r="B1906">
        <v>20250121</v>
      </c>
      <c r="C1906" t="s">
        <v>32</v>
      </c>
      <c r="D1906" t="s">
        <v>21</v>
      </c>
      <c r="E1906" t="s">
        <v>46</v>
      </c>
      <c r="F1906">
        <v>6700</v>
      </c>
      <c r="G1906">
        <v>8629</v>
      </c>
      <c r="H1906">
        <v>206</v>
      </c>
      <c r="I1906">
        <v>23</v>
      </c>
      <c r="J1906">
        <v>37</v>
      </c>
      <c r="K1906">
        <v>14</v>
      </c>
      <c r="L1906">
        <v>5789</v>
      </c>
      <c r="M1906">
        <v>70</v>
      </c>
      <c r="N1906" s="1">
        <v>0.92708333333333337</v>
      </c>
      <c r="O1906" t="s">
        <v>42</v>
      </c>
    </row>
    <row r="1907" spans="1:15" x14ac:dyDescent="0.3">
      <c r="A1907" t="s">
        <v>1939</v>
      </c>
      <c r="B1907">
        <v>20250606</v>
      </c>
      <c r="C1907" t="s">
        <v>40</v>
      </c>
      <c r="D1907" t="s">
        <v>21</v>
      </c>
      <c r="E1907" t="s">
        <v>26</v>
      </c>
      <c r="F1907">
        <v>22884</v>
      </c>
      <c r="G1907">
        <v>33365</v>
      </c>
      <c r="H1907">
        <v>2104</v>
      </c>
      <c r="I1907">
        <v>99</v>
      </c>
      <c r="J1907">
        <v>251</v>
      </c>
      <c r="K1907">
        <v>307</v>
      </c>
      <c r="L1907">
        <v>16278</v>
      </c>
      <c r="M1907">
        <v>298</v>
      </c>
      <c r="N1907" s="1">
        <v>0.42708333333333331</v>
      </c>
      <c r="O1907" t="s">
        <v>23</v>
      </c>
    </row>
    <row r="1908" spans="1:15" x14ac:dyDescent="0.3">
      <c r="A1908" t="s">
        <v>1940</v>
      </c>
      <c r="B1908">
        <v>20250806</v>
      </c>
      <c r="C1908" t="s">
        <v>16</v>
      </c>
      <c r="D1908" t="s">
        <v>68</v>
      </c>
      <c r="E1908" t="s">
        <v>46</v>
      </c>
      <c r="F1908">
        <v>21099</v>
      </c>
      <c r="G1908">
        <v>23650</v>
      </c>
      <c r="H1908">
        <v>751</v>
      </c>
      <c r="I1908">
        <v>31</v>
      </c>
      <c r="J1908">
        <v>138</v>
      </c>
      <c r="K1908">
        <v>47</v>
      </c>
      <c r="L1908">
        <v>8845</v>
      </c>
      <c r="M1908">
        <v>43</v>
      </c>
      <c r="N1908" s="1">
        <v>0.73958333333333337</v>
      </c>
      <c r="O1908" t="s">
        <v>19</v>
      </c>
    </row>
    <row r="1909" spans="1:15" x14ac:dyDescent="0.3">
      <c r="A1909" t="s">
        <v>1941</v>
      </c>
      <c r="B1909">
        <v>20260205</v>
      </c>
      <c r="C1909" t="s">
        <v>44</v>
      </c>
      <c r="D1909" t="s">
        <v>68</v>
      </c>
      <c r="E1909" t="s">
        <v>46</v>
      </c>
      <c r="F1909">
        <v>78539</v>
      </c>
      <c r="G1909">
        <v>89966</v>
      </c>
      <c r="H1909">
        <v>4852</v>
      </c>
      <c r="I1909">
        <v>396</v>
      </c>
      <c r="J1909">
        <v>645</v>
      </c>
      <c r="K1909">
        <v>687</v>
      </c>
      <c r="L1909">
        <v>57954</v>
      </c>
      <c r="M1909">
        <v>419</v>
      </c>
      <c r="N1909" s="1">
        <v>0.65625</v>
      </c>
      <c r="O1909" t="s">
        <v>34</v>
      </c>
    </row>
    <row r="1910" spans="1:15" x14ac:dyDescent="0.3">
      <c r="A1910" t="s">
        <v>1942</v>
      </c>
      <c r="B1910">
        <v>20260319</v>
      </c>
      <c r="C1910" t="s">
        <v>16</v>
      </c>
      <c r="D1910" t="s">
        <v>36</v>
      </c>
      <c r="E1910" t="s">
        <v>18</v>
      </c>
      <c r="F1910">
        <v>17062</v>
      </c>
      <c r="G1910">
        <v>21296</v>
      </c>
      <c r="H1910">
        <v>980</v>
      </c>
      <c r="I1910">
        <v>78</v>
      </c>
      <c r="J1910">
        <v>160</v>
      </c>
      <c r="K1910">
        <v>55</v>
      </c>
      <c r="L1910">
        <v>0</v>
      </c>
      <c r="M1910">
        <v>67</v>
      </c>
      <c r="N1910" s="1">
        <v>0.40625</v>
      </c>
      <c r="O1910" t="s">
        <v>49</v>
      </c>
    </row>
    <row r="1911" spans="1:15" x14ac:dyDescent="0.3">
      <c r="A1911" t="s">
        <v>1943</v>
      </c>
      <c r="B1911">
        <v>20250901</v>
      </c>
      <c r="C1911" t="s">
        <v>16</v>
      </c>
      <c r="D1911" t="s">
        <v>36</v>
      </c>
      <c r="E1911" t="s">
        <v>46</v>
      </c>
      <c r="F1911">
        <v>32984</v>
      </c>
      <c r="G1911">
        <v>48307</v>
      </c>
      <c r="H1911">
        <v>2601</v>
      </c>
      <c r="I1911">
        <v>110</v>
      </c>
      <c r="J1911">
        <v>373</v>
      </c>
      <c r="K1911">
        <v>239</v>
      </c>
      <c r="L1911">
        <v>19498</v>
      </c>
      <c r="M1911">
        <v>548</v>
      </c>
      <c r="N1911" s="1">
        <v>0.69791666666666663</v>
      </c>
      <c r="O1911" t="s">
        <v>42</v>
      </c>
    </row>
    <row r="1912" spans="1:15" x14ac:dyDescent="0.3">
      <c r="A1912" t="s">
        <v>1944</v>
      </c>
      <c r="B1912">
        <v>20260116</v>
      </c>
      <c r="C1912" t="s">
        <v>32</v>
      </c>
      <c r="D1912" t="s">
        <v>33</v>
      </c>
      <c r="E1912" t="s">
        <v>18</v>
      </c>
      <c r="F1912">
        <v>16256</v>
      </c>
      <c r="G1912">
        <v>17539</v>
      </c>
      <c r="H1912">
        <v>1066</v>
      </c>
      <c r="I1912">
        <v>139</v>
      </c>
      <c r="J1912">
        <v>65</v>
      </c>
      <c r="K1912">
        <v>41</v>
      </c>
      <c r="L1912">
        <v>0</v>
      </c>
      <c r="M1912">
        <v>262</v>
      </c>
      <c r="N1912" s="1">
        <v>0.73958333333333337</v>
      </c>
      <c r="O1912" t="s">
        <v>42</v>
      </c>
    </row>
    <row r="1913" spans="1:15" x14ac:dyDescent="0.3">
      <c r="A1913" t="s">
        <v>1945</v>
      </c>
      <c r="B1913">
        <v>20250812</v>
      </c>
      <c r="C1913" t="s">
        <v>40</v>
      </c>
      <c r="D1913" t="s">
        <v>21</v>
      </c>
      <c r="E1913" t="s">
        <v>26</v>
      </c>
      <c r="F1913">
        <v>19687</v>
      </c>
      <c r="G1913">
        <v>22358</v>
      </c>
      <c r="H1913">
        <v>635</v>
      </c>
      <c r="I1913">
        <v>25</v>
      </c>
      <c r="J1913">
        <v>109</v>
      </c>
      <c r="K1913">
        <v>29</v>
      </c>
      <c r="L1913">
        <v>9449</v>
      </c>
      <c r="M1913">
        <v>257</v>
      </c>
      <c r="N1913" s="1">
        <v>0.9375</v>
      </c>
      <c r="O1913" t="s">
        <v>53</v>
      </c>
    </row>
    <row r="1914" spans="1:15" x14ac:dyDescent="0.3">
      <c r="A1914" t="s">
        <v>1946</v>
      </c>
      <c r="B1914">
        <v>20250324</v>
      </c>
      <c r="C1914" t="s">
        <v>44</v>
      </c>
      <c r="D1914" t="s">
        <v>33</v>
      </c>
      <c r="E1914" t="s">
        <v>18</v>
      </c>
      <c r="F1914">
        <v>38569</v>
      </c>
      <c r="G1914">
        <v>54981</v>
      </c>
      <c r="H1914">
        <v>2157</v>
      </c>
      <c r="I1914">
        <v>247</v>
      </c>
      <c r="J1914">
        <v>146</v>
      </c>
      <c r="K1914">
        <v>112</v>
      </c>
      <c r="L1914">
        <v>0</v>
      </c>
      <c r="M1914">
        <v>279</v>
      </c>
      <c r="N1914" s="1">
        <v>0.72916666666666663</v>
      </c>
      <c r="O1914" t="s">
        <v>47</v>
      </c>
    </row>
    <row r="1915" spans="1:15" x14ac:dyDescent="0.3">
      <c r="A1915" t="s">
        <v>1947</v>
      </c>
      <c r="B1915">
        <v>20250706</v>
      </c>
      <c r="C1915" t="s">
        <v>25</v>
      </c>
      <c r="D1915" t="s">
        <v>17</v>
      </c>
      <c r="E1915" t="s">
        <v>22</v>
      </c>
      <c r="F1915">
        <v>14452</v>
      </c>
      <c r="G1915">
        <v>16093</v>
      </c>
      <c r="H1915">
        <v>1261</v>
      </c>
      <c r="I1915">
        <v>160</v>
      </c>
      <c r="J1915">
        <v>194</v>
      </c>
      <c r="K1915">
        <v>58</v>
      </c>
      <c r="M1915">
        <v>233</v>
      </c>
      <c r="N1915" s="1">
        <v>0.58333333333333337</v>
      </c>
      <c r="O1915" t="s">
        <v>38</v>
      </c>
    </row>
    <row r="1916" spans="1:15" x14ac:dyDescent="0.3">
      <c r="A1916" t="s">
        <v>1948</v>
      </c>
      <c r="B1916">
        <v>20260905</v>
      </c>
      <c r="C1916" t="s">
        <v>25</v>
      </c>
      <c r="D1916" t="s">
        <v>21</v>
      </c>
      <c r="E1916" t="s">
        <v>46</v>
      </c>
      <c r="F1916">
        <v>22038</v>
      </c>
      <c r="G1916">
        <v>31598</v>
      </c>
      <c r="H1916">
        <v>1518</v>
      </c>
      <c r="I1916">
        <v>186</v>
      </c>
      <c r="J1916">
        <v>166</v>
      </c>
      <c r="K1916">
        <v>143</v>
      </c>
      <c r="L1916">
        <v>9957</v>
      </c>
      <c r="M1916">
        <v>29</v>
      </c>
      <c r="N1916" s="1">
        <v>0.66666666666666663</v>
      </c>
      <c r="O1916" t="s">
        <v>19</v>
      </c>
    </row>
    <row r="1917" spans="1:15" x14ac:dyDescent="0.3">
      <c r="A1917" t="s">
        <v>1949</v>
      </c>
      <c r="B1917">
        <v>20251109</v>
      </c>
      <c r="C1917" t="s">
        <v>16</v>
      </c>
      <c r="D1917" t="s">
        <v>21</v>
      </c>
      <c r="E1917" t="s">
        <v>26</v>
      </c>
      <c r="F1917">
        <v>16986</v>
      </c>
      <c r="G1917">
        <v>25433</v>
      </c>
      <c r="H1917">
        <v>1548</v>
      </c>
      <c r="I1917">
        <v>202</v>
      </c>
      <c r="J1917">
        <v>210</v>
      </c>
      <c r="K1917">
        <v>158</v>
      </c>
      <c r="L1917">
        <v>13134</v>
      </c>
      <c r="M1917">
        <v>85</v>
      </c>
      <c r="N1917" s="1">
        <v>0.34375</v>
      </c>
      <c r="O1917" t="s">
        <v>49</v>
      </c>
    </row>
    <row r="1918" spans="1:15" x14ac:dyDescent="0.3">
      <c r="A1918" t="s">
        <v>1950</v>
      </c>
      <c r="B1918">
        <v>20250429</v>
      </c>
      <c r="C1918" t="s">
        <v>40</v>
      </c>
      <c r="D1918" t="s">
        <v>36</v>
      </c>
      <c r="E1918" t="s">
        <v>51</v>
      </c>
      <c r="F1918">
        <v>19458</v>
      </c>
      <c r="G1918">
        <v>23662</v>
      </c>
      <c r="H1918">
        <v>1309</v>
      </c>
      <c r="I1918">
        <v>163</v>
      </c>
      <c r="J1918">
        <v>69</v>
      </c>
      <c r="K1918">
        <v>39</v>
      </c>
      <c r="L1918">
        <v>0</v>
      </c>
      <c r="M1918">
        <v>114</v>
      </c>
      <c r="N1918" s="1">
        <v>0.77083333333333337</v>
      </c>
      <c r="O1918" t="s">
        <v>47</v>
      </c>
    </row>
    <row r="1919" spans="1:15" x14ac:dyDescent="0.3">
      <c r="A1919" t="s">
        <v>1951</v>
      </c>
      <c r="B1919">
        <v>20260116</v>
      </c>
      <c r="C1919" t="s">
        <v>40</v>
      </c>
      <c r="D1919" t="s">
        <v>61</v>
      </c>
      <c r="E1919" t="s">
        <v>22</v>
      </c>
      <c r="F1919">
        <v>22461</v>
      </c>
      <c r="G1919">
        <v>25824</v>
      </c>
      <c r="H1919">
        <v>1358</v>
      </c>
      <c r="I1919">
        <v>121</v>
      </c>
      <c r="J1919">
        <v>176</v>
      </c>
      <c r="K1919">
        <v>72</v>
      </c>
      <c r="L1919">
        <v>0</v>
      </c>
      <c r="M1919">
        <v>339</v>
      </c>
      <c r="N1919" s="1">
        <v>0.92708333333333337</v>
      </c>
      <c r="O1919" t="s">
        <v>34</v>
      </c>
    </row>
    <row r="1920" spans="1:15" x14ac:dyDescent="0.3">
      <c r="A1920" t="s">
        <v>1952</v>
      </c>
      <c r="B1920">
        <v>20260530</v>
      </c>
      <c r="C1920" t="s">
        <v>25</v>
      </c>
      <c r="D1920" t="s">
        <v>68</v>
      </c>
      <c r="E1920" t="s">
        <v>41</v>
      </c>
      <c r="F1920">
        <v>14544</v>
      </c>
      <c r="G1920">
        <v>23113</v>
      </c>
      <c r="H1920">
        <v>377</v>
      </c>
      <c r="I1920">
        <v>16</v>
      </c>
      <c r="J1920">
        <v>24</v>
      </c>
      <c r="K1920">
        <v>50</v>
      </c>
      <c r="L1920">
        <v>6197</v>
      </c>
      <c r="M1920">
        <v>89</v>
      </c>
      <c r="N1920" s="1">
        <v>0.375</v>
      </c>
      <c r="O1920" t="s">
        <v>53</v>
      </c>
    </row>
    <row r="1921" spans="1:15" x14ac:dyDescent="0.3">
      <c r="A1921" t="s">
        <v>1953</v>
      </c>
      <c r="B1921">
        <v>20260412</v>
      </c>
      <c r="C1921" t="s">
        <v>44</v>
      </c>
      <c r="D1921" t="s">
        <v>68</v>
      </c>
      <c r="E1921" t="s">
        <v>41</v>
      </c>
      <c r="F1921">
        <v>55914</v>
      </c>
      <c r="G1921">
        <v>64701</v>
      </c>
      <c r="H1921">
        <v>6209</v>
      </c>
      <c r="I1921">
        <v>445</v>
      </c>
      <c r="J1921">
        <v>633</v>
      </c>
      <c r="K1921">
        <v>772</v>
      </c>
      <c r="L1921">
        <v>33209</v>
      </c>
      <c r="M1921">
        <v>271</v>
      </c>
      <c r="N1921" s="1">
        <v>0.57291666666666663</v>
      </c>
      <c r="O1921" t="s">
        <v>30</v>
      </c>
    </row>
    <row r="1922" spans="1:15" x14ac:dyDescent="0.3">
      <c r="A1922" t="s">
        <v>1954</v>
      </c>
      <c r="B1922">
        <v>20250709</v>
      </c>
      <c r="C1922" t="s">
        <v>25</v>
      </c>
      <c r="D1922" t="s">
        <v>17</v>
      </c>
      <c r="E1922" t="s">
        <v>46</v>
      </c>
      <c r="F1922">
        <v>36504</v>
      </c>
      <c r="G1922">
        <v>43581</v>
      </c>
      <c r="H1922">
        <v>3220</v>
      </c>
      <c r="I1922">
        <v>89</v>
      </c>
      <c r="J1922">
        <v>519</v>
      </c>
      <c r="K1922">
        <v>155</v>
      </c>
      <c r="L1922">
        <v>22670</v>
      </c>
      <c r="M1922">
        <v>154</v>
      </c>
      <c r="N1922" s="1">
        <v>0.52083333333333337</v>
      </c>
      <c r="O1922" t="s">
        <v>30</v>
      </c>
    </row>
    <row r="1923" spans="1:15" x14ac:dyDescent="0.3">
      <c r="A1923" t="s">
        <v>1955</v>
      </c>
      <c r="B1923">
        <v>20260108</v>
      </c>
      <c r="C1923" t="s">
        <v>32</v>
      </c>
      <c r="D1923" t="s">
        <v>29</v>
      </c>
      <c r="E1923" t="s">
        <v>26</v>
      </c>
      <c r="F1923">
        <v>8096</v>
      </c>
      <c r="G1923">
        <v>10278</v>
      </c>
      <c r="H1923">
        <v>604</v>
      </c>
      <c r="I1923">
        <v>55</v>
      </c>
      <c r="J1923">
        <v>110</v>
      </c>
      <c r="K1923">
        <v>48</v>
      </c>
      <c r="L1923">
        <v>7146</v>
      </c>
      <c r="M1923">
        <v>105</v>
      </c>
      <c r="N1923" s="1">
        <v>0.5625</v>
      </c>
      <c r="O1923" t="s">
        <v>49</v>
      </c>
    </row>
    <row r="1924" spans="1:15" x14ac:dyDescent="0.3">
      <c r="A1924" t="s">
        <v>1956</v>
      </c>
      <c r="B1924">
        <v>20260406</v>
      </c>
      <c r="C1924" t="s">
        <v>25</v>
      </c>
      <c r="D1924" t="s">
        <v>33</v>
      </c>
      <c r="E1924" t="s">
        <v>26</v>
      </c>
      <c r="F1924">
        <v>5171</v>
      </c>
      <c r="G1924">
        <v>6437</v>
      </c>
      <c r="H1924">
        <v>252</v>
      </c>
      <c r="I1924">
        <v>11</v>
      </c>
      <c r="J1924">
        <v>42</v>
      </c>
      <c r="K1924">
        <v>28</v>
      </c>
      <c r="L1924">
        <v>2341</v>
      </c>
      <c r="M1924">
        <v>14</v>
      </c>
      <c r="N1924" s="1">
        <v>0.33333333333333331</v>
      </c>
      <c r="O1924" t="s">
        <v>19</v>
      </c>
    </row>
    <row r="1925" spans="1:15" x14ac:dyDescent="0.3">
      <c r="A1925" t="s">
        <v>1957</v>
      </c>
      <c r="B1925">
        <v>20251125</v>
      </c>
      <c r="C1925" t="s">
        <v>16</v>
      </c>
      <c r="D1925" t="s">
        <v>29</v>
      </c>
      <c r="E1925" t="s">
        <v>46</v>
      </c>
      <c r="F1925">
        <v>18800</v>
      </c>
      <c r="G1925">
        <v>28421</v>
      </c>
      <c r="H1925">
        <v>1730</v>
      </c>
      <c r="I1925">
        <v>82</v>
      </c>
      <c r="J1925">
        <v>305</v>
      </c>
      <c r="K1925">
        <v>164</v>
      </c>
      <c r="L1925">
        <v>8946</v>
      </c>
      <c r="M1925">
        <v>216</v>
      </c>
      <c r="N1925" s="1">
        <v>0.375</v>
      </c>
      <c r="O1925" t="s">
        <v>49</v>
      </c>
    </row>
    <row r="1926" spans="1:15" x14ac:dyDescent="0.3">
      <c r="A1926" t="s">
        <v>1958</v>
      </c>
      <c r="B1926">
        <v>20250315</v>
      </c>
      <c r="C1926" t="s">
        <v>40</v>
      </c>
      <c r="D1926" t="s">
        <v>68</v>
      </c>
      <c r="E1926" t="s">
        <v>51</v>
      </c>
      <c r="F1926">
        <v>30348</v>
      </c>
      <c r="G1926">
        <v>39828</v>
      </c>
      <c r="H1926">
        <v>1856</v>
      </c>
      <c r="I1926">
        <v>77</v>
      </c>
      <c r="J1926">
        <v>111</v>
      </c>
      <c r="K1926">
        <v>90</v>
      </c>
      <c r="L1926">
        <v>0</v>
      </c>
      <c r="M1926">
        <v>513</v>
      </c>
      <c r="N1926" s="1">
        <v>0.33333333333333331</v>
      </c>
      <c r="O1926" t="s">
        <v>42</v>
      </c>
    </row>
    <row r="1927" spans="1:15" x14ac:dyDescent="0.3">
      <c r="A1927" t="s">
        <v>1959</v>
      </c>
      <c r="B1927">
        <v>20260720</v>
      </c>
      <c r="C1927" t="s">
        <v>40</v>
      </c>
      <c r="D1927" t="s">
        <v>33</v>
      </c>
      <c r="E1927" t="s">
        <v>22</v>
      </c>
      <c r="F1927">
        <v>7300</v>
      </c>
      <c r="G1927">
        <v>9025</v>
      </c>
      <c r="H1927">
        <v>571</v>
      </c>
      <c r="I1927">
        <v>54</v>
      </c>
      <c r="J1927">
        <v>29</v>
      </c>
      <c r="K1927">
        <v>30</v>
      </c>
      <c r="L1927">
        <v>0</v>
      </c>
      <c r="M1927">
        <v>50</v>
      </c>
      <c r="N1927" s="1">
        <v>0.94791666666666663</v>
      </c>
      <c r="O1927" t="s">
        <v>30</v>
      </c>
    </row>
    <row r="1928" spans="1:15" x14ac:dyDescent="0.3">
      <c r="A1928" t="s">
        <v>1960</v>
      </c>
      <c r="B1928">
        <v>20250517</v>
      </c>
      <c r="C1928" t="s">
        <v>25</v>
      </c>
      <c r="D1928" t="s">
        <v>17</v>
      </c>
      <c r="E1928" t="s">
        <v>46</v>
      </c>
      <c r="F1928">
        <v>15390</v>
      </c>
      <c r="G1928">
        <v>17346</v>
      </c>
      <c r="H1928">
        <v>1831</v>
      </c>
      <c r="I1928">
        <v>169</v>
      </c>
      <c r="J1928">
        <v>55</v>
      </c>
      <c r="K1928">
        <v>96</v>
      </c>
      <c r="L1928">
        <v>11555</v>
      </c>
      <c r="M1928">
        <v>80</v>
      </c>
      <c r="N1928" s="1">
        <v>0.78125</v>
      </c>
      <c r="O1928" t="s">
        <v>34</v>
      </c>
    </row>
    <row r="1929" spans="1:15" x14ac:dyDescent="0.3">
      <c r="A1929" t="s">
        <v>1961</v>
      </c>
      <c r="B1929">
        <v>20260606</v>
      </c>
      <c r="C1929" t="s">
        <v>40</v>
      </c>
      <c r="D1929" t="s">
        <v>17</v>
      </c>
      <c r="E1929" t="s">
        <v>26</v>
      </c>
      <c r="F1929">
        <v>16087</v>
      </c>
      <c r="G1929">
        <v>18813</v>
      </c>
      <c r="H1929">
        <v>849</v>
      </c>
      <c r="I1929">
        <v>106</v>
      </c>
      <c r="J1929">
        <v>73</v>
      </c>
      <c r="K1929">
        <v>41</v>
      </c>
      <c r="L1929">
        <v>7818</v>
      </c>
      <c r="M1929">
        <v>271</v>
      </c>
      <c r="N1929" s="1">
        <v>0.51041666666666663</v>
      </c>
      <c r="O1929" t="s">
        <v>49</v>
      </c>
    </row>
    <row r="1930" spans="1:15" x14ac:dyDescent="0.3">
      <c r="A1930" t="s">
        <v>1962</v>
      </c>
      <c r="B1930">
        <v>20260916</v>
      </c>
      <c r="C1930" t="s">
        <v>40</v>
      </c>
      <c r="D1930" t="s">
        <v>21</v>
      </c>
      <c r="E1930" t="s">
        <v>18</v>
      </c>
      <c r="F1930">
        <v>11189</v>
      </c>
      <c r="G1930">
        <v>16855</v>
      </c>
      <c r="H1930">
        <v>1063</v>
      </c>
      <c r="I1930">
        <v>96</v>
      </c>
      <c r="J1930">
        <v>193</v>
      </c>
      <c r="K1930">
        <v>134</v>
      </c>
      <c r="L1930">
        <v>0</v>
      </c>
      <c r="M1930">
        <v>17</v>
      </c>
      <c r="N1930" s="1">
        <v>0.88541666666666663</v>
      </c>
      <c r="O1930" t="s">
        <v>23</v>
      </c>
    </row>
    <row r="1931" spans="1:15" x14ac:dyDescent="0.3">
      <c r="A1931" t="s">
        <v>1963</v>
      </c>
      <c r="B1931">
        <v>20250117</v>
      </c>
      <c r="C1931" t="s">
        <v>32</v>
      </c>
      <c r="D1931" t="s">
        <v>36</v>
      </c>
      <c r="E1931" t="s">
        <v>26</v>
      </c>
      <c r="F1931">
        <v>2916</v>
      </c>
      <c r="G1931">
        <v>4202</v>
      </c>
      <c r="H1931">
        <v>150</v>
      </c>
      <c r="I1931">
        <v>16</v>
      </c>
      <c r="J1931">
        <v>9</v>
      </c>
      <c r="K1931">
        <v>17</v>
      </c>
      <c r="L1931">
        <v>2460</v>
      </c>
      <c r="M1931">
        <v>43</v>
      </c>
      <c r="N1931" s="1">
        <v>0.90625</v>
      </c>
      <c r="O1931" t="s">
        <v>47</v>
      </c>
    </row>
    <row r="1932" spans="1:15" x14ac:dyDescent="0.3">
      <c r="A1932" t="s">
        <v>1964</v>
      </c>
      <c r="B1932">
        <v>20250813</v>
      </c>
      <c r="C1932" t="s">
        <v>40</v>
      </c>
      <c r="D1932" t="s">
        <v>17</v>
      </c>
      <c r="E1932" t="s">
        <v>41</v>
      </c>
      <c r="F1932">
        <v>23518</v>
      </c>
      <c r="G1932">
        <v>38395</v>
      </c>
      <c r="H1932">
        <v>2088</v>
      </c>
      <c r="I1932">
        <v>201</v>
      </c>
      <c r="J1932">
        <v>388</v>
      </c>
      <c r="K1932">
        <v>269</v>
      </c>
      <c r="L1932">
        <v>18815</v>
      </c>
      <c r="M1932">
        <v>85</v>
      </c>
      <c r="N1932" s="1">
        <v>0.5</v>
      </c>
      <c r="O1932" t="s">
        <v>42</v>
      </c>
    </row>
    <row r="1933" spans="1:15" x14ac:dyDescent="0.3">
      <c r="A1933" t="s">
        <v>1965</v>
      </c>
      <c r="B1933">
        <v>20260925</v>
      </c>
      <c r="C1933" t="s">
        <v>16</v>
      </c>
      <c r="D1933" t="s">
        <v>21</v>
      </c>
      <c r="E1933" t="s">
        <v>46</v>
      </c>
      <c r="F1933">
        <v>54280</v>
      </c>
      <c r="G1933">
        <v>88724</v>
      </c>
      <c r="H1933">
        <v>2838</v>
      </c>
      <c r="I1933">
        <v>97</v>
      </c>
      <c r="J1933">
        <v>138</v>
      </c>
      <c r="K1933">
        <v>303</v>
      </c>
      <c r="L1933">
        <v>21648</v>
      </c>
      <c r="M1933">
        <v>506</v>
      </c>
      <c r="N1933" s="1">
        <v>0.92708333333333337</v>
      </c>
      <c r="O1933" t="s">
        <v>47</v>
      </c>
    </row>
    <row r="1934" spans="1:15" x14ac:dyDescent="0.3">
      <c r="A1934" t="s">
        <v>1966</v>
      </c>
      <c r="B1934">
        <v>20250712</v>
      </c>
      <c r="C1934" t="s">
        <v>25</v>
      </c>
      <c r="D1934" t="s">
        <v>29</v>
      </c>
      <c r="E1934" t="s">
        <v>18</v>
      </c>
      <c r="F1934">
        <v>9257</v>
      </c>
      <c r="G1934">
        <v>13933</v>
      </c>
      <c r="H1934">
        <v>323</v>
      </c>
      <c r="I1934">
        <v>35</v>
      </c>
      <c r="J1934">
        <v>17</v>
      </c>
      <c r="K1934">
        <v>39</v>
      </c>
      <c r="L1934">
        <v>0</v>
      </c>
      <c r="M1934">
        <v>50</v>
      </c>
      <c r="N1934" s="1">
        <v>0.625</v>
      </c>
      <c r="O1934" t="s">
        <v>47</v>
      </c>
    </row>
    <row r="1935" spans="1:15" x14ac:dyDescent="0.3">
      <c r="A1935" t="s">
        <v>1967</v>
      </c>
      <c r="B1935">
        <v>20260923</v>
      </c>
      <c r="C1935" t="s">
        <v>44</v>
      </c>
      <c r="D1935" t="s">
        <v>21</v>
      </c>
      <c r="E1935" t="s">
        <v>41</v>
      </c>
      <c r="F1935">
        <v>25694</v>
      </c>
      <c r="G1935">
        <v>33082</v>
      </c>
      <c r="H1935">
        <v>2434</v>
      </c>
      <c r="I1935">
        <v>314</v>
      </c>
      <c r="J1935">
        <v>429</v>
      </c>
      <c r="K1935">
        <v>150</v>
      </c>
      <c r="L1935">
        <v>17216</v>
      </c>
      <c r="M1935">
        <v>450</v>
      </c>
      <c r="N1935" s="1">
        <v>0.53125</v>
      </c>
      <c r="O1935" t="s">
        <v>30</v>
      </c>
    </row>
    <row r="1936" spans="1:15" x14ac:dyDescent="0.3">
      <c r="A1936" t="s">
        <v>1968</v>
      </c>
      <c r="B1936">
        <v>20250206</v>
      </c>
      <c r="C1936" t="s">
        <v>44</v>
      </c>
      <c r="D1936" t="s">
        <v>17</v>
      </c>
      <c r="E1936" t="s">
        <v>46</v>
      </c>
      <c r="F1936">
        <v>79848</v>
      </c>
      <c r="G1936">
        <v>92243</v>
      </c>
      <c r="H1936">
        <v>8466</v>
      </c>
      <c r="I1936">
        <v>274</v>
      </c>
      <c r="J1936">
        <v>428</v>
      </c>
      <c r="K1936">
        <v>924</v>
      </c>
      <c r="L1936">
        <v>43261</v>
      </c>
      <c r="M1936">
        <v>729</v>
      </c>
      <c r="N1936" s="1">
        <v>0.5</v>
      </c>
      <c r="O1936" t="s">
        <v>27</v>
      </c>
    </row>
    <row r="1937" spans="1:15" x14ac:dyDescent="0.3">
      <c r="A1937" t="s">
        <v>1969</v>
      </c>
      <c r="B1937">
        <v>20250407</v>
      </c>
      <c r="C1937" t="s">
        <v>32</v>
      </c>
      <c r="D1937" t="s">
        <v>21</v>
      </c>
      <c r="E1937" t="s">
        <v>41</v>
      </c>
      <c r="F1937">
        <v>5323</v>
      </c>
      <c r="G1937">
        <v>7605</v>
      </c>
      <c r="H1937">
        <v>157</v>
      </c>
      <c r="I1937">
        <v>7</v>
      </c>
      <c r="J1937">
        <v>17</v>
      </c>
      <c r="K1937">
        <v>12</v>
      </c>
      <c r="L1937">
        <v>4269</v>
      </c>
      <c r="M1937">
        <v>26</v>
      </c>
      <c r="N1937" s="1">
        <v>0.83333333333333337</v>
      </c>
      <c r="O1937" t="s">
        <v>19</v>
      </c>
    </row>
    <row r="1938" spans="1:15" x14ac:dyDescent="0.3">
      <c r="A1938" t="s">
        <v>1970</v>
      </c>
      <c r="B1938">
        <v>20250101</v>
      </c>
      <c r="C1938" t="s">
        <v>44</v>
      </c>
      <c r="D1938" t="s">
        <v>17</v>
      </c>
      <c r="E1938" t="s">
        <v>18</v>
      </c>
      <c r="F1938">
        <v>60281</v>
      </c>
      <c r="G1938">
        <v>75650</v>
      </c>
      <c r="H1938">
        <v>2774</v>
      </c>
      <c r="I1938">
        <v>79</v>
      </c>
      <c r="J1938">
        <v>328</v>
      </c>
      <c r="K1938">
        <v>222</v>
      </c>
      <c r="L1938">
        <v>0</v>
      </c>
      <c r="M1938">
        <v>1012</v>
      </c>
      <c r="N1938" s="1">
        <v>0.9375</v>
      </c>
      <c r="O1938" t="s">
        <v>23</v>
      </c>
    </row>
    <row r="1939" spans="1:15" x14ac:dyDescent="0.3">
      <c r="A1939" t="s">
        <v>1971</v>
      </c>
      <c r="B1939">
        <v>20260407</v>
      </c>
      <c r="C1939" t="s">
        <v>44</v>
      </c>
      <c r="D1939" t="s">
        <v>21</v>
      </c>
      <c r="E1939" t="s">
        <v>46</v>
      </c>
      <c r="F1939">
        <v>69644</v>
      </c>
      <c r="G1939">
        <v>111826</v>
      </c>
      <c r="H1939">
        <v>5130</v>
      </c>
      <c r="I1939">
        <v>440</v>
      </c>
      <c r="J1939">
        <v>683</v>
      </c>
      <c r="K1939">
        <v>490</v>
      </c>
      <c r="L1939">
        <v>45568</v>
      </c>
      <c r="M1939">
        <v>511</v>
      </c>
      <c r="N1939" s="1">
        <v>0.83333333333333337</v>
      </c>
      <c r="O1939" t="s">
        <v>23</v>
      </c>
    </row>
    <row r="1940" spans="1:15" x14ac:dyDescent="0.3">
      <c r="A1940" t="s">
        <v>1972</v>
      </c>
      <c r="B1940">
        <v>20251031</v>
      </c>
      <c r="C1940" t="s">
        <v>40</v>
      </c>
      <c r="D1940" t="s">
        <v>21</v>
      </c>
      <c r="E1940" t="s">
        <v>46</v>
      </c>
      <c r="F1940">
        <v>23489</v>
      </c>
      <c r="G1940">
        <v>29089</v>
      </c>
      <c r="H1940">
        <v>1591</v>
      </c>
      <c r="I1940">
        <v>58</v>
      </c>
      <c r="J1940">
        <v>240</v>
      </c>
      <c r="K1940">
        <v>40</v>
      </c>
      <c r="L1940">
        <v>17666</v>
      </c>
      <c r="M1940">
        <v>84</v>
      </c>
      <c r="N1940" s="1">
        <v>0.58333333333333337</v>
      </c>
      <c r="O1940" t="s">
        <v>30</v>
      </c>
    </row>
    <row r="1941" spans="1:15" x14ac:dyDescent="0.3">
      <c r="A1941" t="s">
        <v>1973</v>
      </c>
      <c r="B1941">
        <v>20251029</v>
      </c>
      <c r="C1941" t="s">
        <v>16</v>
      </c>
      <c r="D1941" t="s">
        <v>68</v>
      </c>
      <c r="E1941" t="s">
        <v>51</v>
      </c>
      <c r="F1941">
        <v>8722</v>
      </c>
      <c r="G1941">
        <v>11603</v>
      </c>
      <c r="H1941">
        <v>424</v>
      </c>
      <c r="I1941">
        <v>52</v>
      </c>
      <c r="J1941">
        <v>68</v>
      </c>
      <c r="K1941">
        <v>16</v>
      </c>
      <c r="L1941">
        <v>0</v>
      </c>
      <c r="M1941">
        <v>32</v>
      </c>
      <c r="N1941" s="1">
        <v>0.67708333333333337</v>
      </c>
      <c r="O1941" t="s">
        <v>34</v>
      </c>
    </row>
    <row r="1942" spans="1:15" x14ac:dyDescent="0.3">
      <c r="A1942" t="s">
        <v>1974</v>
      </c>
      <c r="B1942">
        <v>20251025</v>
      </c>
      <c r="C1942" t="s">
        <v>16</v>
      </c>
      <c r="D1942" t="s">
        <v>68</v>
      </c>
      <c r="E1942" t="s">
        <v>46</v>
      </c>
      <c r="F1942">
        <v>21558</v>
      </c>
      <c r="G1942">
        <v>23302</v>
      </c>
      <c r="H1942">
        <v>1557</v>
      </c>
      <c r="I1942">
        <v>60</v>
      </c>
      <c r="J1942">
        <v>63</v>
      </c>
      <c r="K1942">
        <v>198</v>
      </c>
      <c r="L1942">
        <v>13132</v>
      </c>
      <c r="M1942">
        <v>346</v>
      </c>
      <c r="N1942" s="1">
        <v>0.75</v>
      </c>
      <c r="O1942" t="s">
        <v>30</v>
      </c>
    </row>
    <row r="1943" spans="1:15" x14ac:dyDescent="0.3">
      <c r="A1943" t="s">
        <v>1975</v>
      </c>
      <c r="B1943">
        <v>20250317</v>
      </c>
      <c r="C1943" t="s">
        <v>16</v>
      </c>
      <c r="D1943" t="s">
        <v>21</v>
      </c>
      <c r="E1943" t="s">
        <v>41</v>
      </c>
      <c r="F1943">
        <v>79504</v>
      </c>
      <c r="G1943">
        <v>98577</v>
      </c>
      <c r="H1943">
        <v>8721</v>
      </c>
      <c r="I1943">
        <v>623</v>
      </c>
      <c r="J1943">
        <v>815</v>
      </c>
      <c r="K1943">
        <v>372</v>
      </c>
      <c r="L1943">
        <v>37984</v>
      </c>
      <c r="M1943">
        <v>1422</v>
      </c>
      <c r="N1943" s="1">
        <v>0.46875</v>
      </c>
      <c r="O1943" t="s">
        <v>34</v>
      </c>
    </row>
    <row r="1944" spans="1:15" x14ac:dyDescent="0.3">
      <c r="A1944" t="s">
        <v>1976</v>
      </c>
      <c r="B1944">
        <v>20260604</v>
      </c>
      <c r="C1944" t="s">
        <v>16</v>
      </c>
      <c r="D1944" t="s">
        <v>36</v>
      </c>
      <c r="E1944" t="s">
        <v>22</v>
      </c>
      <c r="F1944">
        <v>17243</v>
      </c>
      <c r="G1944">
        <v>18308</v>
      </c>
      <c r="H1944">
        <v>1496</v>
      </c>
      <c r="I1944">
        <v>168</v>
      </c>
      <c r="J1944">
        <v>135</v>
      </c>
      <c r="K1944">
        <v>31</v>
      </c>
      <c r="L1944">
        <v>0</v>
      </c>
      <c r="M1944">
        <v>135</v>
      </c>
      <c r="N1944" s="1">
        <v>0.54166666666666663</v>
      </c>
      <c r="O1944" t="s">
        <v>19</v>
      </c>
    </row>
    <row r="1945" spans="1:15" x14ac:dyDescent="0.3">
      <c r="A1945" t="s">
        <v>1977</v>
      </c>
      <c r="B1945">
        <v>20251025</v>
      </c>
      <c r="C1945" t="s">
        <v>16</v>
      </c>
      <c r="D1945" t="s">
        <v>33</v>
      </c>
      <c r="E1945" t="s">
        <v>51</v>
      </c>
      <c r="F1945">
        <v>59342</v>
      </c>
      <c r="G1945">
        <v>64500</v>
      </c>
      <c r="H1945">
        <v>4799</v>
      </c>
      <c r="I1945">
        <v>329</v>
      </c>
      <c r="J1945">
        <v>521</v>
      </c>
      <c r="K1945">
        <v>282</v>
      </c>
      <c r="L1945">
        <v>0</v>
      </c>
      <c r="M1945">
        <v>582</v>
      </c>
      <c r="N1945" s="1">
        <v>0.70833333333333337</v>
      </c>
      <c r="O1945" t="s">
        <v>53</v>
      </c>
    </row>
    <row r="1946" spans="1:15" x14ac:dyDescent="0.3">
      <c r="A1946" t="s">
        <v>1978</v>
      </c>
      <c r="B1946">
        <v>20251029</v>
      </c>
      <c r="C1946" t="s">
        <v>44</v>
      </c>
      <c r="D1946" t="s">
        <v>33</v>
      </c>
      <c r="E1946" t="s">
        <v>18</v>
      </c>
      <c r="F1946">
        <v>17914</v>
      </c>
      <c r="G1946">
        <v>27134</v>
      </c>
      <c r="H1946">
        <v>1041</v>
      </c>
      <c r="I1946">
        <v>114</v>
      </c>
      <c r="J1946">
        <v>91</v>
      </c>
      <c r="K1946">
        <v>151</v>
      </c>
      <c r="L1946">
        <v>0</v>
      </c>
      <c r="M1946">
        <v>117</v>
      </c>
      <c r="N1946" s="1">
        <v>0.76041666666666663</v>
      </c>
      <c r="O1946" t="s">
        <v>42</v>
      </c>
    </row>
    <row r="1947" spans="1:15" x14ac:dyDescent="0.3">
      <c r="A1947" t="s">
        <v>1979</v>
      </c>
      <c r="B1947">
        <v>20250727</v>
      </c>
      <c r="C1947" t="s">
        <v>44</v>
      </c>
      <c r="D1947" t="s">
        <v>29</v>
      </c>
      <c r="E1947" t="s">
        <v>26</v>
      </c>
      <c r="F1947">
        <v>31600</v>
      </c>
      <c r="G1947">
        <v>40139</v>
      </c>
      <c r="H1947">
        <v>816</v>
      </c>
      <c r="I1947">
        <v>91</v>
      </c>
      <c r="J1947">
        <v>60</v>
      </c>
      <c r="K1947">
        <v>127</v>
      </c>
      <c r="L1947">
        <v>21899</v>
      </c>
      <c r="M1947">
        <v>202</v>
      </c>
      <c r="N1947" s="1">
        <v>0.46875</v>
      </c>
      <c r="O1947" t="s">
        <v>47</v>
      </c>
    </row>
    <row r="1948" spans="1:15" x14ac:dyDescent="0.3">
      <c r="A1948" t="s">
        <v>1980</v>
      </c>
      <c r="B1948">
        <v>20260902</v>
      </c>
      <c r="C1948" t="s">
        <v>32</v>
      </c>
      <c r="D1948" t="s">
        <v>33</v>
      </c>
      <c r="E1948" t="s">
        <v>41</v>
      </c>
      <c r="F1948">
        <v>7021</v>
      </c>
      <c r="G1948">
        <v>10878</v>
      </c>
      <c r="H1948">
        <v>213</v>
      </c>
      <c r="I1948">
        <v>6</v>
      </c>
      <c r="J1948">
        <v>19</v>
      </c>
      <c r="K1948">
        <v>5</v>
      </c>
      <c r="L1948">
        <v>4361</v>
      </c>
      <c r="M1948">
        <v>113</v>
      </c>
      <c r="N1948" s="1">
        <v>0.86458333333333337</v>
      </c>
      <c r="O1948" t="s">
        <v>53</v>
      </c>
    </row>
    <row r="1949" spans="1:15" x14ac:dyDescent="0.3">
      <c r="A1949" t="s">
        <v>1981</v>
      </c>
      <c r="B1949">
        <v>20260106</v>
      </c>
      <c r="C1949" t="s">
        <v>16</v>
      </c>
      <c r="D1949" t="s">
        <v>68</v>
      </c>
      <c r="E1949" t="s">
        <v>26</v>
      </c>
      <c r="F1949">
        <v>13885</v>
      </c>
      <c r="G1949">
        <v>18295</v>
      </c>
      <c r="H1949">
        <v>931</v>
      </c>
      <c r="I1949">
        <v>73</v>
      </c>
      <c r="J1949">
        <v>181</v>
      </c>
      <c r="K1949">
        <v>33</v>
      </c>
      <c r="L1949">
        <v>8270</v>
      </c>
      <c r="M1949">
        <v>101</v>
      </c>
      <c r="N1949" s="1">
        <v>0.76041666666666663</v>
      </c>
      <c r="O1949" t="s">
        <v>53</v>
      </c>
    </row>
    <row r="1950" spans="1:15" x14ac:dyDescent="0.3">
      <c r="A1950" t="s">
        <v>1982</v>
      </c>
      <c r="B1950">
        <v>20250708</v>
      </c>
      <c r="C1950" t="s">
        <v>40</v>
      </c>
      <c r="D1950" t="s">
        <v>33</v>
      </c>
      <c r="E1950" t="s">
        <v>46</v>
      </c>
      <c r="F1950">
        <v>13600</v>
      </c>
      <c r="G1950">
        <v>17261</v>
      </c>
      <c r="H1950">
        <v>1064</v>
      </c>
      <c r="I1950">
        <v>33</v>
      </c>
      <c r="J1950">
        <v>164</v>
      </c>
      <c r="K1950">
        <v>166</v>
      </c>
      <c r="L1950">
        <v>10455</v>
      </c>
      <c r="M1950">
        <v>76</v>
      </c>
      <c r="N1950" s="1">
        <v>0.6875</v>
      </c>
      <c r="O1950" t="s">
        <v>38</v>
      </c>
    </row>
    <row r="1951" spans="1:15" x14ac:dyDescent="0.3">
      <c r="A1951" t="s">
        <v>1983</v>
      </c>
      <c r="B1951">
        <v>20250927</v>
      </c>
      <c r="C1951" t="s">
        <v>32</v>
      </c>
      <c r="D1951" t="s">
        <v>36</v>
      </c>
      <c r="E1951" t="s">
        <v>26</v>
      </c>
      <c r="F1951">
        <v>5375</v>
      </c>
      <c r="G1951">
        <v>6562</v>
      </c>
      <c r="H1951">
        <v>371</v>
      </c>
      <c r="I1951">
        <v>50</v>
      </c>
      <c r="J1951">
        <v>68</v>
      </c>
      <c r="K1951">
        <v>33</v>
      </c>
      <c r="L1951">
        <v>4130</v>
      </c>
      <c r="M1951">
        <v>19</v>
      </c>
      <c r="N1951" s="1">
        <v>0.53125</v>
      </c>
      <c r="O1951" t="s">
        <v>53</v>
      </c>
    </row>
    <row r="1952" spans="1:15" x14ac:dyDescent="0.3">
      <c r="A1952" t="s">
        <v>1984</v>
      </c>
      <c r="B1952">
        <v>20260104</v>
      </c>
      <c r="C1952" t="s">
        <v>40</v>
      </c>
      <c r="D1952" t="s">
        <v>17</v>
      </c>
      <c r="E1952" t="s">
        <v>41</v>
      </c>
      <c r="F1952">
        <v>24701</v>
      </c>
      <c r="G1952">
        <v>40302</v>
      </c>
      <c r="H1952">
        <v>2856</v>
      </c>
      <c r="I1952">
        <v>348</v>
      </c>
      <c r="J1952">
        <v>224</v>
      </c>
      <c r="K1952">
        <v>276</v>
      </c>
      <c r="L1952">
        <v>20897</v>
      </c>
      <c r="M1952">
        <v>113</v>
      </c>
      <c r="N1952" s="1">
        <v>0.72916666666666663</v>
      </c>
      <c r="O1952" t="s">
        <v>34</v>
      </c>
    </row>
    <row r="1953" spans="1:15" x14ac:dyDescent="0.3">
      <c r="A1953" t="s">
        <v>1985</v>
      </c>
      <c r="B1953">
        <v>20250111</v>
      </c>
      <c r="C1953" t="s">
        <v>40</v>
      </c>
      <c r="D1953" t="s">
        <v>29</v>
      </c>
      <c r="E1953" t="s">
        <v>26</v>
      </c>
      <c r="F1953">
        <v>7383</v>
      </c>
      <c r="G1953">
        <v>10787</v>
      </c>
      <c r="H1953">
        <v>605</v>
      </c>
      <c r="I1953">
        <v>22</v>
      </c>
      <c r="J1953">
        <v>112</v>
      </c>
      <c r="K1953">
        <v>24</v>
      </c>
      <c r="L1953">
        <v>3767</v>
      </c>
      <c r="M1953">
        <v>78</v>
      </c>
      <c r="N1953" s="1">
        <v>0.36458333333333331</v>
      </c>
      <c r="O1953" t="s">
        <v>38</v>
      </c>
    </row>
    <row r="1954" spans="1:15" x14ac:dyDescent="0.3">
      <c r="A1954" t="s">
        <v>1986</v>
      </c>
      <c r="B1954">
        <v>20250328</v>
      </c>
      <c r="C1954" t="s">
        <v>16</v>
      </c>
      <c r="D1954" t="s">
        <v>17</v>
      </c>
      <c r="E1954" t="s">
        <v>41</v>
      </c>
      <c r="F1954">
        <v>34129</v>
      </c>
      <c r="G1954">
        <v>52510</v>
      </c>
      <c r="H1954">
        <v>3889</v>
      </c>
      <c r="I1954">
        <v>518</v>
      </c>
      <c r="J1954">
        <v>194</v>
      </c>
      <c r="K1954">
        <v>89</v>
      </c>
      <c r="L1954">
        <v>24583</v>
      </c>
      <c r="M1954">
        <v>566</v>
      </c>
      <c r="N1954" s="1">
        <v>0.79166666666666663</v>
      </c>
      <c r="O1954" t="s">
        <v>53</v>
      </c>
    </row>
    <row r="1955" spans="1:15" x14ac:dyDescent="0.3">
      <c r="A1955" t="s">
        <v>1987</v>
      </c>
      <c r="B1955">
        <v>20260704</v>
      </c>
      <c r="C1955" t="s">
        <v>25</v>
      </c>
      <c r="D1955" t="s">
        <v>68</v>
      </c>
      <c r="E1955" t="s">
        <v>41</v>
      </c>
      <c r="F1955">
        <v>47190</v>
      </c>
      <c r="G1955">
        <v>64796</v>
      </c>
      <c r="H1955">
        <v>3497</v>
      </c>
      <c r="I1955">
        <v>303</v>
      </c>
      <c r="J1955">
        <v>455</v>
      </c>
      <c r="K1955">
        <v>513</v>
      </c>
      <c r="L1955">
        <v>31549</v>
      </c>
      <c r="M1955">
        <v>613</v>
      </c>
      <c r="N1955" s="1">
        <v>0.55208333333333337</v>
      </c>
      <c r="O1955" t="s">
        <v>30</v>
      </c>
    </row>
    <row r="1956" spans="1:15" x14ac:dyDescent="0.3">
      <c r="A1956" t="s">
        <v>1988</v>
      </c>
      <c r="B1956">
        <v>20250914</v>
      </c>
      <c r="C1956" t="s">
        <v>40</v>
      </c>
      <c r="D1956" t="s">
        <v>36</v>
      </c>
      <c r="E1956" t="s">
        <v>41</v>
      </c>
      <c r="F1956">
        <v>9879</v>
      </c>
      <c r="G1956">
        <v>10627</v>
      </c>
      <c r="H1956">
        <v>541</v>
      </c>
      <c r="I1956">
        <v>47</v>
      </c>
      <c r="J1956">
        <v>18</v>
      </c>
      <c r="K1956">
        <v>84</v>
      </c>
      <c r="L1956">
        <v>5270</v>
      </c>
      <c r="M1956">
        <v>92</v>
      </c>
      <c r="N1956" s="1">
        <v>0.61458333333333337</v>
      </c>
      <c r="O1956" t="s">
        <v>34</v>
      </c>
    </row>
    <row r="1957" spans="1:15" x14ac:dyDescent="0.3">
      <c r="A1957" t="s">
        <v>1621</v>
      </c>
      <c r="B1957">
        <v>20251007</v>
      </c>
      <c r="C1957" t="s">
        <v>16</v>
      </c>
      <c r="D1957" t="s">
        <v>21</v>
      </c>
      <c r="E1957" t="s">
        <v>41</v>
      </c>
      <c r="F1957">
        <v>21823</v>
      </c>
      <c r="G1957">
        <v>24891</v>
      </c>
      <c r="H1957">
        <v>1500</v>
      </c>
      <c r="I1957">
        <v>162</v>
      </c>
      <c r="J1957">
        <v>48</v>
      </c>
      <c r="K1957">
        <v>48</v>
      </c>
      <c r="L1957">
        <v>16488</v>
      </c>
      <c r="M1957">
        <v>94</v>
      </c>
      <c r="N1957" s="1">
        <v>0.85416666666666663</v>
      </c>
      <c r="O1957" t="s">
        <v>53</v>
      </c>
    </row>
    <row r="1958" spans="1:15" x14ac:dyDescent="0.3">
      <c r="A1958" t="s">
        <v>1989</v>
      </c>
      <c r="B1958">
        <v>20250818</v>
      </c>
      <c r="C1958" t="s">
        <v>16</v>
      </c>
      <c r="D1958" t="s">
        <v>21</v>
      </c>
      <c r="E1958" t="s">
        <v>18</v>
      </c>
      <c r="F1958">
        <v>25393</v>
      </c>
      <c r="G1958">
        <v>30524</v>
      </c>
      <c r="H1958">
        <v>1042</v>
      </c>
      <c r="I1958">
        <v>62</v>
      </c>
      <c r="J1958">
        <v>159</v>
      </c>
      <c r="K1958">
        <v>55</v>
      </c>
      <c r="L1958">
        <v>0</v>
      </c>
      <c r="M1958">
        <v>349</v>
      </c>
      <c r="N1958" s="1">
        <v>0.84375</v>
      </c>
      <c r="O1958" t="s">
        <v>34</v>
      </c>
    </row>
    <row r="1959" spans="1:15" x14ac:dyDescent="0.3">
      <c r="A1959" t="s">
        <v>1990</v>
      </c>
      <c r="B1959">
        <v>20260111</v>
      </c>
      <c r="C1959" t="s">
        <v>16</v>
      </c>
      <c r="D1959" t="s">
        <v>21</v>
      </c>
      <c r="E1959" t="s">
        <v>51</v>
      </c>
      <c r="F1959">
        <v>17033</v>
      </c>
      <c r="G1959">
        <v>24862</v>
      </c>
      <c r="H1959">
        <v>2018</v>
      </c>
      <c r="I1959">
        <v>260</v>
      </c>
      <c r="J1959">
        <v>222</v>
      </c>
      <c r="K1959">
        <v>126</v>
      </c>
      <c r="L1959">
        <v>0</v>
      </c>
      <c r="M1959">
        <v>207</v>
      </c>
      <c r="N1959" s="1">
        <v>0.88541666666666663</v>
      </c>
      <c r="O1959" t="s">
        <v>19</v>
      </c>
    </row>
    <row r="1960" spans="1:15" x14ac:dyDescent="0.3">
      <c r="A1960" t="s">
        <v>1991</v>
      </c>
      <c r="B1960">
        <v>20250430</v>
      </c>
      <c r="C1960" t="s">
        <v>16</v>
      </c>
      <c r="D1960" t="s">
        <v>33</v>
      </c>
      <c r="E1960" t="s">
        <v>22</v>
      </c>
      <c r="F1960">
        <v>10170</v>
      </c>
      <c r="G1960">
        <v>11595</v>
      </c>
      <c r="H1960">
        <v>894</v>
      </c>
      <c r="I1960">
        <v>48</v>
      </c>
      <c r="J1960">
        <v>174</v>
      </c>
      <c r="K1960">
        <v>126</v>
      </c>
      <c r="L1960">
        <v>0</v>
      </c>
      <c r="M1960">
        <v>36</v>
      </c>
      <c r="N1960" s="1">
        <v>0.5625</v>
      </c>
      <c r="O1960" t="s">
        <v>19</v>
      </c>
    </row>
    <row r="1961" spans="1:15" x14ac:dyDescent="0.3">
      <c r="A1961" t="s">
        <v>1992</v>
      </c>
      <c r="B1961">
        <v>20250419</v>
      </c>
      <c r="C1961" t="s">
        <v>40</v>
      </c>
      <c r="D1961" t="s">
        <v>33</v>
      </c>
      <c r="E1961" t="s">
        <v>41</v>
      </c>
      <c r="F1961">
        <v>12751</v>
      </c>
      <c r="G1961">
        <v>14609</v>
      </c>
      <c r="H1961">
        <v>410</v>
      </c>
      <c r="I1961">
        <v>54</v>
      </c>
      <c r="J1961">
        <v>34</v>
      </c>
      <c r="K1961">
        <v>53</v>
      </c>
      <c r="L1961">
        <v>11474</v>
      </c>
      <c r="M1961">
        <v>131</v>
      </c>
      <c r="N1961" s="1">
        <v>0.9375</v>
      </c>
      <c r="O1961" t="s">
        <v>38</v>
      </c>
    </row>
    <row r="1962" spans="1:15" x14ac:dyDescent="0.3">
      <c r="A1962" t="s">
        <v>1993</v>
      </c>
      <c r="B1962">
        <v>20260927</v>
      </c>
      <c r="C1962" t="s">
        <v>40</v>
      </c>
      <c r="D1962" t="s">
        <v>21</v>
      </c>
      <c r="E1962" t="s">
        <v>41</v>
      </c>
      <c r="F1962">
        <v>18920</v>
      </c>
      <c r="G1962">
        <v>21404</v>
      </c>
      <c r="H1962">
        <v>543</v>
      </c>
      <c r="I1962">
        <v>57</v>
      </c>
      <c r="J1962">
        <v>61</v>
      </c>
      <c r="K1962">
        <v>54</v>
      </c>
      <c r="L1962">
        <v>14591</v>
      </c>
      <c r="M1962">
        <v>21</v>
      </c>
      <c r="N1962" s="1">
        <v>0.82291666666666663</v>
      </c>
      <c r="O1962" t="s">
        <v>34</v>
      </c>
    </row>
    <row r="1963" spans="1:15" x14ac:dyDescent="0.3">
      <c r="A1963" t="s">
        <v>1994</v>
      </c>
      <c r="B1963">
        <v>20260904</v>
      </c>
      <c r="C1963" t="s">
        <v>40</v>
      </c>
      <c r="D1963" t="s">
        <v>61</v>
      </c>
      <c r="E1963" t="s">
        <v>41</v>
      </c>
      <c r="F1963">
        <v>20702</v>
      </c>
      <c r="G1963">
        <v>27292</v>
      </c>
      <c r="H1963">
        <v>1292</v>
      </c>
      <c r="I1963">
        <v>71</v>
      </c>
      <c r="J1963">
        <v>78</v>
      </c>
      <c r="K1963">
        <v>136</v>
      </c>
      <c r="L1963">
        <v>18022</v>
      </c>
      <c r="M1963">
        <v>268</v>
      </c>
      <c r="N1963" s="1">
        <v>0.5625</v>
      </c>
      <c r="O1963" t="s">
        <v>23</v>
      </c>
    </row>
    <row r="1964" spans="1:15" x14ac:dyDescent="0.3">
      <c r="A1964" t="s">
        <v>1995</v>
      </c>
      <c r="B1964">
        <v>20250815</v>
      </c>
      <c r="C1964" t="s">
        <v>44</v>
      </c>
      <c r="D1964" t="s">
        <v>36</v>
      </c>
      <c r="E1964" t="s">
        <v>51</v>
      </c>
      <c r="F1964">
        <v>34560</v>
      </c>
      <c r="G1964">
        <v>50907</v>
      </c>
      <c r="H1964">
        <v>968</v>
      </c>
      <c r="I1964">
        <v>87</v>
      </c>
      <c r="J1964">
        <v>122</v>
      </c>
      <c r="K1964">
        <v>96</v>
      </c>
      <c r="L1964">
        <v>0</v>
      </c>
      <c r="M1964">
        <v>94</v>
      </c>
      <c r="N1964" s="1">
        <v>0.35416666666666669</v>
      </c>
      <c r="O1964" t="s">
        <v>47</v>
      </c>
    </row>
    <row r="1965" spans="1:15" x14ac:dyDescent="0.3">
      <c r="A1965" t="s">
        <v>1630</v>
      </c>
      <c r="B1965">
        <v>20250829</v>
      </c>
      <c r="C1965" t="s">
        <v>16</v>
      </c>
      <c r="D1965" t="s">
        <v>36</v>
      </c>
      <c r="E1965" t="s">
        <v>22</v>
      </c>
      <c r="F1965">
        <v>19235</v>
      </c>
      <c r="G1965">
        <v>21134</v>
      </c>
      <c r="H1965">
        <v>1417</v>
      </c>
      <c r="I1965">
        <v>80</v>
      </c>
      <c r="J1965">
        <v>194</v>
      </c>
      <c r="K1965">
        <v>37</v>
      </c>
      <c r="L1965">
        <v>0</v>
      </c>
      <c r="M1965">
        <v>21</v>
      </c>
      <c r="N1965" s="1">
        <v>0.83333333333333337</v>
      </c>
      <c r="O1965" t="s">
        <v>27</v>
      </c>
    </row>
    <row r="1966" spans="1:15" x14ac:dyDescent="0.3">
      <c r="A1966" t="s">
        <v>1996</v>
      </c>
      <c r="B1966">
        <v>20250602</v>
      </c>
      <c r="C1966" t="s">
        <v>25</v>
      </c>
      <c r="D1966" t="s">
        <v>17</v>
      </c>
      <c r="E1966" t="s">
        <v>46</v>
      </c>
      <c r="F1966">
        <v>17352</v>
      </c>
      <c r="G1966">
        <v>23586</v>
      </c>
      <c r="H1966">
        <v>1927</v>
      </c>
      <c r="I1966">
        <v>48</v>
      </c>
      <c r="J1966">
        <v>101</v>
      </c>
      <c r="K1966">
        <v>93</v>
      </c>
      <c r="L1966">
        <v>11244</v>
      </c>
      <c r="M1966">
        <v>55</v>
      </c>
      <c r="N1966" s="1">
        <v>0.40625</v>
      </c>
      <c r="O1966" t="s">
        <v>27</v>
      </c>
    </row>
    <row r="1967" spans="1:15" x14ac:dyDescent="0.3">
      <c r="A1967" t="s">
        <v>1997</v>
      </c>
      <c r="B1967">
        <v>20260521</v>
      </c>
      <c r="C1967" t="s">
        <v>32</v>
      </c>
      <c r="D1967" t="s">
        <v>61</v>
      </c>
      <c r="E1967" t="s">
        <v>26</v>
      </c>
      <c r="F1967">
        <v>9010</v>
      </c>
      <c r="G1967">
        <v>10531</v>
      </c>
      <c r="H1967">
        <v>250</v>
      </c>
      <c r="I1967">
        <v>14</v>
      </c>
      <c r="J1967">
        <v>11</v>
      </c>
      <c r="K1967">
        <v>13</v>
      </c>
      <c r="L1967">
        <v>3952</v>
      </c>
      <c r="M1967">
        <v>66</v>
      </c>
      <c r="N1967" s="1">
        <v>0.72916666666666663</v>
      </c>
      <c r="O1967" t="s">
        <v>49</v>
      </c>
    </row>
    <row r="1968" spans="1:15" x14ac:dyDescent="0.3">
      <c r="A1968" t="s">
        <v>1998</v>
      </c>
      <c r="B1968">
        <v>20251210</v>
      </c>
      <c r="C1968" t="s">
        <v>25</v>
      </c>
      <c r="D1968" t="s">
        <v>21</v>
      </c>
      <c r="E1968" t="s">
        <v>41</v>
      </c>
      <c r="F1968">
        <v>29515</v>
      </c>
      <c r="G1968">
        <v>38500</v>
      </c>
      <c r="H1968">
        <v>1340</v>
      </c>
      <c r="I1968">
        <v>110</v>
      </c>
      <c r="J1968">
        <v>84</v>
      </c>
      <c r="K1968">
        <v>84</v>
      </c>
      <c r="L1968">
        <v>15835</v>
      </c>
      <c r="M1968">
        <v>350</v>
      </c>
      <c r="N1968" s="1">
        <v>0.39583333333333331</v>
      </c>
      <c r="O1968" t="s">
        <v>27</v>
      </c>
    </row>
    <row r="1969" spans="1:15" x14ac:dyDescent="0.3">
      <c r="A1969" t="s">
        <v>1999</v>
      </c>
      <c r="B1969">
        <v>20260605</v>
      </c>
      <c r="C1969" t="s">
        <v>25</v>
      </c>
      <c r="D1969" t="s">
        <v>29</v>
      </c>
      <c r="E1969" t="s">
        <v>22</v>
      </c>
      <c r="F1969">
        <v>4806</v>
      </c>
      <c r="G1969">
        <v>7156</v>
      </c>
      <c r="H1969">
        <v>307</v>
      </c>
      <c r="I1969">
        <v>19</v>
      </c>
      <c r="J1969">
        <v>61</v>
      </c>
      <c r="K1969">
        <v>36</v>
      </c>
      <c r="L1969">
        <v>0</v>
      </c>
      <c r="M1969">
        <v>53</v>
      </c>
      <c r="N1969" s="1">
        <v>0.61458333333333337</v>
      </c>
      <c r="O1969" t="s">
        <v>42</v>
      </c>
    </row>
    <row r="1970" spans="1:15" x14ac:dyDescent="0.3">
      <c r="A1970" t="s">
        <v>2000</v>
      </c>
      <c r="B1970">
        <v>20260104</v>
      </c>
      <c r="C1970" t="s">
        <v>25</v>
      </c>
      <c r="D1970" t="s">
        <v>68</v>
      </c>
      <c r="E1970" t="s">
        <v>46</v>
      </c>
      <c r="F1970">
        <v>20763</v>
      </c>
      <c r="G1970">
        <v>21833</v>
      </c>
      <c r="H1970">
        <v>941</v>
      </c>
      <c r="I1970">
        <v>26</v>
      </c>
      <c r="J1970">
        <v>154</v>
      </c>
      <c r="K1970">
        <v>41</v>
      </c>
      <c r="L1970">
        <v>11725</v>
      </c>
      <c r="M1970">
        <v>303</v>
      </c>
      <c r="N1970" s="1">
        <v>0.53125</v>
      </c>
      <c r="O1970" t="s">
        <v>34</v>
      </c>
    </row>
    <row r="1971" spans="1:15" x14ac:dyDescent="0.3">
      <c r="A1971" t="s">
        <v>2001</v>
      </c>
      <c r="B1971">
        <v>20260119</v>
      </c>
      <c r="C1971" t="s">
        <v>40</v>
      </c>
      <c r="D1971" t="s">
        <v>61</v>
      </c>
      <c r="E1971" t="s">
        <v>41</v>
      </c>
      <c r="F1971">
        <v>31471</v>
      </c>
      <c r="G1971">
        <v>41440</v>
      </c>
      <c r="H1971">
        <v>1816</v>
      </c>
      <c r="I1971">
        <v>107</v>
      </c>
      <c r="J1971">
        <v>127</v>
      </c>
      <c r="K1971">
        <v>115</v>
      </c>
      <c r="L1971">
        <v>21416</v>
      </c>
      <c r="M1971">
        <v>153</v>
      </c>
      <c r="N1971" s="1">
        <v>0.77083333333333337</v>
      </c>
      <c r="O1971" t="s">
        <v>23</v>
      </c>
    </row>
    <row r="1972" spans="1:15" x14ac:dyDescent="0.3">
      <c r="A1972" t="s">
        <v>2002</v>
      </c>
      <c r="B1972">
        <v>20251227</v>
      </c>
      <c r="C1972" t="s">
        <v>25</v>
      </c>
      <c r="D1972" t="s">
        <v>21</v>
      </c>
      <c r="E1972" t="s">
        <v>26</v>
      </c>
      <c r="F1972">
        <v>10768</v>
      </c>
      <c r="G1972">
        <v>12466</v>
      </c>
      <c r="H1972">
        <v>544</v>
      </c>
      <c r="I1972">
        <v>54</v>
      </c>
      <c r="J1972">
        <v>106</v>
      </c>
      <c r="K1972">
        <v>61</v>
      </c>
      <c r="L1972">
        <v>9435</v>
      </c>
      <c r="M1972">
        <v>94</v>
      </c>
      <c r="N1972" s="1">
        <v>0.77083333333333337</v>
      </c>
      <c r="O1972" t="s">
        <v>53</v>
      </c>
    </row>
    <row r="1973" spans="1:15" x14ac:dyDescent="0.3">
      <c r="A1973" t="s">
        <v>2003</v>
      </c>
      <c r="B1973">
        <v>20251212</v>
      </c>
      <c r="C1973" t="s">
        <v>25</v>
      </c>
      <c r="D1973" t="s">
        <v>17</v>
      </c>
      <c r="E1973" t="s">
        <v>26</v>
      </c>
      <c r="F1973">
        <v>36212</v>
      </c>
      <c r="G1973">
        <v>55823</v>
      </c>
      <c r="H1973">
        <v>3294</v>
      </c>
      <c r="I1973">
        <v>371</v>
      </c>
      <c r="J1973">
        <v>337</v>
      </c>
      <c r="K1973">
        <v>316</v>
      </c>
      <c r="L1973">
        <v>24052</v>
      </c>
      <c r="M1973">
        <v>226</v>
      </c>
      <c r="N1973" s="1">
        <v>0.78125</v>
      </c>
      <c r="O1973" t="s">
        <v>19</v>
      </c>
    </row>
    <row r="1974" spans="1:15" x14ac:dyDescent="0.3">
      <c r="A1974" t="s">
        <v>2004</v>
      </c>
      <c r="B1974">
        <v>20251206</v>
      </c>
      <c r="C1974" t="s">
        <v>32</v>
      </c>
      <c r="D1974" t="s">
        <v>29</v>
      </c>
      <c r="E1974" t="s">
        <v>41</v>
      </c>
      <c r="F1974">
        <v>9975</v>
      </c>
      <c r="G1974">
        <v>11175</v>
      </c>
      <c r="H1974">
        <v>644</v>
      </c>
      <c r="I1974">
        <v>68</v>
      </c>
      <c r="J1974">
        <v>46</v>
      </c>
      <c r="K1974">
        <v>51</v>
      </c>
      <c r="L1974">
        <v>6556</v>
      </c>
      <c r="M1974">
        <v>124</v>
      </c>
      <c r="N1974" s="1">
        <v>0.75</v>
      </c>
      <c r="O1974" t="s">
        <v>53</v>
      </c>
    </row>
    <row r="1975" spans="1:15" x14ac:dyDescent="0.3">
      <c r="A1975" t="s">
        <v>2005</v>
      </c>
      <c r="B1975">
        <v>20250510</v>
      </c>
      <c r="C1975" t="s">
        <v>32</v>
      </c>
      <c r="D1975" t="s">
        <v>17</v>
      </c>
      <c r="E1975" t="s">
        <v>18</v>
      </c>
      <c r="F1975">
        <v>17518</v>
      </c>
      <c r="G1975">
        <v>24047</v>
      </c>
      <c r="H1975">
        <v>1775</v>
      </c>
      <c r="I1975">
        <v>126</v>
      </c>
      <c r="J1975">
        <v>279</v>
      </c>
      <c r="K1975">
        <v>237</v>
      </c>
      <c r="L1975">
        <v>0</v>
      </c>
      <c r="M1975">
        <v>246</v>
      </c>
      <c r="N1975" s="1">
        <v>0.6875</v>
      </c>
      <c r="O1975" t="s">
        <v>49</v>
      </c>
    </row>
    <row r="1976" spans="1:15" x14ac:dyDescent="0.3">
      <c r="A1976" t="s">
        <v>2006</v>
      </c>
      <c r="B1976">
        <v>20260314</v>
      </c>
      <c r="C1976" t="s">
        <v>25</v>
      </c>
      <c r="D1976" t="s">
        <v>17</v>
      </c>
      <c r="E1976" t="s">
        <v>26</v>
      </c>
      <c r="F1976">
        <v>11772</v>
      </c>
      <c r="G1976">
        <v>18408</v>
      </c>
      <c r="H1976">
        <v>1264</v>
      </c>
      <c r="I1976">
        <v>168</v>
      </c>
      <c r="J1976">
        <v>250</v>
      </c>
      <c r="K1976">
        <v>191</v>
      </c>
      <c r="L1976">
        <v>7062</v>
      </c>
      <c r="M1976">
        <v>80</v>
      </c>
      <c r="N1976" s="1">
        <v>0.35416666666666669</v>
      </c>
      <c r="O1976" t="s">
        <v>53</v>
      </c>
    </row>
    <row r="1977" spans="1:15" x14ac:dyDescent="0.3">
      <c r="A1977" t="s">
        <v>2007</v>
      </c>
      <c r="B1977">
        <v>20251211</v>
      </c>
      <c r="C1977" t="s">
        <v>40</v>
      </c>
      <c r="D1977" t="s">
        <v>29</v>
      </c>
      <c r="E1977" t="s">
        <v>18</v>
      </c>
      <c r="F1977">
        <v>23320</v>
      </c>
      <c r="G1977">
        <v>34271</v>
      </c>
      <c r="H1977">
        <v>946</v>
      </c>
      <c r="I1977">
        <v>88</v>
      </c>
      <c r="J1977">
        <v>113</v>
      </c>
      <c r="K1977">
        <v>68</v>
      </c>
      <c r="L1977">
        <v>0</v>
      </c>
      <c r="M1977">
        <v>379</v>
      </c>
      <c r="N1977" s="1">
        <v>0.82291666666666663</v>
      </c>
      <c r="O1977" t="s">
        <v>23</v>
      </c>
    </row>
    <row r="1978" spans="1:15" x14ac:dyDescent="0.3">
      <c r="A1978" t="s">
        <v>2008</v>
      </c>
      <c r="B1978">
        <v>20250524</v>
      </c>
      <c r="C1978" t="s">
        <v>16</v>
      </c>
      <c r="D1978" t="s">
        <v>33</v>
      </c>
      <c r="E1978" t="s">
        <v>41</v>
      </c>
      <c r="F1978">
        <v>25457</v>
      </c>
      <c r="G1978">
        <v>27683</v>
      </c>
      <c r="H1978">
        <v>2684</v>
      </c>
      <c r="I1978">
        <v>128</v>
      </c>
      <c r="J1978">
        <v>308</v>
      </c>
      <c r="K1978">
        <v>273</v>
      </c>
      <c r="L1978">
        <v>9189</v>
      </c>
      <c r="M1978">
        <v>196</v>
      </c>
      <c r="N1978" s="1">
        <v>0.61458333333333337</v>
      </c>
      <c r="O1978" t="s">
        <v>38</v>
      </c>
    </row>
    <row r="1979" spans="1:15" x14ac:dyDescent="0.3">
      <c r="A1979" t="s">
        <v>2009</v>
      </c>
      <c r="B1979">
        <v>20250510</v>
      </c>
      <c r="C1979" t="s">
        <v>25</v>
      </c>
      <c r="D1979" t="s">
        <v>61</v>
      </c>
      <c r="E1979" t="s">
        <v>41</v>
      </c>
      <c r="F1979">
        <v>7661</v>
      </c>
      <c r="G1979">
        <v>11745</v>
      </c>
      <c r="H1979">
        <v>612</v>
      </c>
      <c r="I1979">
        <v>40</v>
      </c>
      <c r="J1979">
        <v>106</v>
      </c>
      <c r="K1979">
        <v>69</v>
      </c>
      <c r="L1979">
        <v>2754</v>
      </c>
      <c r="M1979">
        <v>44</v>
      </c>
      <c r="N1979" s="1">
        <v>0.4375</v>
      </c>
      <c r="O1979" t="s">
        <v>23</v>
      </c>
    </row>
    <row r="1980" spans="1:15" x14ac:dyDescent="0.3">
      <c r="A1980" t="s">
        <v>2010</v>
      </c>
      <c r="B1980">
        <v>20251201</v>
      </c>
      <c r="C1980" t="s">
        <v>16</v>
      </c>
      <c r="D1980" t="s">
        <v>68</v>
      </c>
      <c r="E1980" t="s">
        <v>46</v>
      </c>
      <c r="F1980">
        <v>54112</v>
      </c>
      <c r="G1980">
        <v>72970</v>
      </c>
      <c r="H1980">
        <v>6078</v>
      </c>
      <c r="I1980">
        <v>213</v>
      </c>
      <c r="J1980">
        <v>860</v>
      </c>
      <c r="K1980">
        <v>932</v>
      </c>
      <c r="L1980">
        <v>40140</v>
      </c>
      <c r="M1980">
        <v>167</v>
      </c>
      <c r="N1980" s="1">
        <v>0.65625</v>
      </c>
      <c r="O1980" t="s">
        <v>38</v>
      </c>
    </row>
    <row r="1981" spans="1:15" x14ac:dyDescent="0.3">
      <c r="A1981" t="s">
        <v>2011</v>
      </c>
      <c r="B1981">
        <v>20251126</v>
      </c>
      <c r="C1981" t="s">
        <v>16</v>
      </c>
      <c r="D1981" t="s">
        <v>21</v>
      </c>
      <c r="E1981" t="s">
        <v>26</v>
      </c>
      <c r="F1981">
        <v>9127</v>
      </c>
      <c r="G1981">
        <v>12725</v>
      </c>
      <c r="H1981">
        <v>432</v>
      </c>
      <c r="I1981">
        <v>26</v>
      </c>
      <c r="J1981">
        <v>78</v>
      </c>
      <c r="K1981">
        <v>9</v>
      </c>
      <c r="L1981">
        <v>4320</v>
      </c>
      <c r="M1981">
        <v>42</v>
      </c>
      <c r="N1981" s="1">
        <v>0.80208333333333337</v>
      </c>
      <c r="O1981" t="s">
        <v>27</v>
      </c>
    </row>
    <row r="1982" spans="1:15" x14ac:dyDescent="0.3">
      <c r="A1982" t="s">
        <v>2012</v>
      </c>
      <c r="B1982">
        <v>20260119</v>
      </c>
      <c r="C1982" t="s">
        <v>44</v>
      </c>
      <c r="D1982" t="s">
        <v>61</v>
      </c>
      <c r="E1982" t="s">
        <v>46</v>
      </c>
      <c r="F1982">
        <v>41507</v>
      </c>
      <c r="G1982">
        <v>62373</v>
      </c>
      <c r="H1982">
        <v>3117</v>
      </c>
      <c r="I1982">
        <v>94</v>
      </c>
      <c r="J1982">
        <v>95</v>
      </c>
      <c r="K1982">
        <v>410</v>
      </c>
      <c r="L1982">
        <v>36626</v>
      </c>
      <c r="M1982">
        <v>544</v>
      </c>
      <c r="N1982" s="1">
        <v>0.36458333333333331</v>
      </c>
      <c r="O1982" t="s">
        <v>49</v>
      </c>
    </row>
    <row r="1983" spans="1:15" x14ac:dyDescent="0.3">
      <c r="A1983" t="s">
        <v>2013</v>
      </c>
      <c r="B1983">
        <v>20250211</v>
      </c>
      <c r="C1983" t="s">
        <v>16</v>
      </c>
      <c r="D1983" t="s">
        <v>68</v>
      </c>
      <c r="E1983" t="s">
        <v>41</v>
      </c>
      <c r="F1983">
        <v>43404</v>
      </c>
      <c r="G1983">
        <v>57882</v>
      </c>
      <c r="H1983">
        <v>3504</v>
      </c>
      <c r="I1983">
        <v>316</v>
      </c>
      <c r="J1983">
        <v>327</v>
      </c>
      <c r="K1983">
        <v>197</v>
      </c>
      <c r="L1983">
        <v>16659</v>
      </c>
      <c r="M1983">
        <v>312</v>
      </c>
      <c r="N1983" s="1">
        <v>0.80208333333333337</v>
      </c>
      <c r="O1983" t="s">
        <v>42</v>
      </c>
    </row>
    <row r="1984" spans="1:15" x14ac:dyDescent="0.3">
      <c r="A1984" t="s">
        <v>2014</v>
      </c>
      <c r="B1984">
        <v>20250824</v>
      </c>
      <c r="C1984" t="s">
        <v>40</v>
      </c>
      <c r="D1984" t="s">
        <v>61</v>
      </c>
      <c r="E1984" t="s">
        <v>18</v>
      </c>
      <c r="F1984">
        <v>13590</v>
      </c>
      <c r="G1984">
        <v>14693</v>
      </c>
      <c r="H1984">
        <v>1128</v>
      </c>
      <c r="I1984">
        <v>70</v>
      </c>
      <c r="J1984">
        <v>87</v>
      </c>
      <c r="K1984">
        <v>56</v>
      </c>
      <c r="L1984">
        <v>0</v>
      </c>
      <c r="M1984">
        <v>162</v>
      </c>
      <c r="N1984" s="1">
        <v>0.65625</v>
      </c>
      <c r="O1984" t="s">
        <v>27</v>
      </c>
    </row>
    <row r="1985" spans="1:15" x14ac:dyDescent="0.3">
      <c r="A1985" t="s">
        <v>2015</v>
      </c>
      <c r="B1985">
        <v>20250303</v>
      </c>
      <c r="C1985" t="s">
        <v>32</v>
      </c>
      <c r="D1985" t="s">
        <v>61</v>
      </c>
      <c r="E1985" t="s">
        <v>22</v>
      </c>
      <c r="F1985">
        <v>12515</v>
      </c>
      <c r="G1985">
        <v>13591</v>
      </c>
      <c r="H1985">
        <v>1475</v>
      </c>
      <c r="I1985">
        <v>157</v>
      </c>
      <c r="J1985">
        <v>98</v>
      </c>
      <c r="K1985">
        <v>45</v>
      </c>
      <c r="L1985">
        <v>0</v>
      </c>
      <c r="M1985">
        <v>69</v>
      </c>
      <c r="N1985" s="1">
        <v>0.625</v>
      </c>
      <c r="O1985" t="s">
        <v>38</v>
      </c>
    </row>
    <row r="1986" spans="1:15" x14ac:dyDescent="0.3">
      <c r="A1986" t="s">
        <v>2016</v>
      </c>
      <c r="B1986">
        <v>20251112</v>
      </c>
      <c r="C1986" t="s">
        <v>16</v>
      </c>
      <c r="D1986" t="s">
        <v>21</v>
      </c>
      <c r="E1986" t="s">
        <v>18</v>
      </c>
      <c r="F1986">
        <v>17635</v>
      </c>
      <c r="G1986">
        <v>23376</v>
      </c>
      <c r="H1986">
        <v>1534</v>
      </c>
      <c r="I1986">
        <v>133</v>
      </c>
      <c r="J1986">
        <v>166</v>
      </c>
      <c r="K1986">
        <v>178</v>
      </c>
      <c r="L1986">
        <v>0</v>
      </c>
      <c r="M1986">
        <v>249</v>
      </c>
      <c r="N1986" s="1">
        <v>0.60416666666666663</v>
      </c>
      <c r="O1986" t="s">
        <v>49</v>
      </c>
    </row>
    <row r="1987" spans="1:15" x14ac:dyDescent="0.3">
      <c r="A1987" t="s">
        <v>2017</v>
      </c>
      <c r="B1987">
        <v>20250729</v>
      </c>
      <c r="C1987" t="s">
        <v>44</v>
      </c>
      <c r="D1987" t="s">
        <v>61</v>
      </c>
      <c r="E1987" t="s">
        <v>26</v>
      </c>
      <c r="F1987">
        <v>28334</v>
      </c>
      <c r="G1987">
        <v>44876</v>
      </c>
      <c r="H1987">
        <v>2582</v>
      </c>
      <c r="I1987">
        <v>236</v>
      </c>
      <c r="J1987">
        <v>232</v>
      </c>
      <c r="K1987">
        <v>350</v>
      </c>
      <c r="L1987">
        <v>22518</v>
      </c>
      <c r="M1987">
        <v>403</v>
      </c>
      <c r="N1987" s="1">
        <v>0.77083333333333337</v>
      </c>
      <c r="O1987" t="s">
        <v>53</v>
      </c>
    </row>
    <row r="1988" spans="1:15" x14ac:dyDescent="0.3">
      <c r="A1988" t="s">
        <v>1960</v>
      </c>
      <c r="B1988">
        <v>20250517</v>
      </c>
      <c r="C1988" t="s">
        <v>25</v>
      </c>
      <c r="D1988" t="s">
        <v>17</v>
      </c>
      <c r="E1988" t="s">
        <v>46</v>
      </c>
      <c r="F1988">
        <v>15390</v>
      </c>
      <c r="G1988">
        <v>17346</v>
      </c>
      <c r="H1988">
        <v>1831</v>
      </c>
      <c r="I1988">
        <v>169</v>
      </c>
      <c r="J1988">
        <v>55</v>
      </c>
      <c r="K1988">
        <v>96</v>
      </c>
      <c r="L1988">
        <v>11555</v>
      </c>
      <c r="M1988">
        <v>80</v>
      </c>
      <c r="N1988" s="1">
        <v>0.78125</v>
      </c>
      <c r="O1988" t="s">
        <v>34</v>
      </c>
    </row>
    <row r="1989" spans="1:15" x14ac:dyDescent="0.3">
      <c r="A1989" t="s">
        <v>2018</v>
      </c>
      <c r="B1989">
        <v>20251215</v>
      </c>
      <c r="C1989" t="s">
        <v>25</v>
      </c>
      <c r="D1989" t="s">
        <v>33</v>
      </c>
      <c r="E1989" t="s">
        <v>51</v>
      </c>
      <c r="F1989">
        <v>26210</v>
      </c>
      <c r="G1989">
        <v>35821</v>
      </c>
      <c r="H1989">
        <v>1463</v>
      </c>
      <c r="I1989">
        <v>201</v>
      </c>
      <c r="J1989">
        <v>183</v>
      </c>
      <c r="K1989">
        <v>218</v>
      </c>
      <c r="L1989">
        <v>0</v>
      </c>
      <c r="M1989">
        <v>168</v>
      </c>
      <c r="N1989" s="1">
        <v>0.625</v>
      </c>
      <c r="O1989" t="s">
        <v>38</v>
      </c>
    </row>
    <row r="1990" spans="1:15" x14ac:dyDescent="0.3">
      <c r="A1990" t="s">
        <v>2019</v>
      </c>
      <c r="B1990">
        <v>20250409</v>
      </c>
      <c r="C1990" t="s">
        <v>32</v>
      </c>
      <c r="D1990" t="s">
        <v>36</v>
      </c>
      <c r="E1990" t="s">
        <v>46</v>
      </c>
      <c r="F1990">
        <v>10355</v>
      </c>
      <c r="G1990">
        <v>13013</v>
      </c>
      <c r="H1990">
        <v>735</v>
      </c>
      <c r="I1990">
        <v>60</v>
      </c>
      <c r="J1990">
        <v>73</v>
      </c>
      <c r="K1990">
        <v>36</v>
      </c>
      <c r="L1990">
        <v>3917</v>
      </c>
      <c r="M1990">
        <v>121</v>
      </c>
      <c r="N1990" s="1">
        <v>0.3125</v>
      </c>
      <c r="O1990" t="s">
        <v>30</v>
      </c>
    </row>
    <row r="1991" spans="1:15" x14ac:dyDescent="0.3">
      <c r="A1991" t="s">
        <v>2020</v>
      </c>
      <c r="B1991">
        <v>20260729</v>
      </c>
      <c r="C1991" t="s">
        <v>32</v>
      </c>
      <c r="D1991" t="s">
        <v>21</v>
      </c>
      <c r="E1991" t="s">
        <v>18</v>
      </c>
      <c r="F1991">
        <v>2923</v>
      </c>
      <c r="G1991">
        <v>4060</v>
      </c>
      <c r="H1991">
        <v>221</v>
      </c>
      <c r="I1991">
        <v>14</v>
      </c>
      <c r="J1991">
        <v>27</v>
      </c>
      <c r="K1991">
        <v>33</v>
      </c>
      <c r="L1991">
        <v>0</v>
      </c>
      <c r="M1991">
        <v>37</v>
      </c>
      <c r="N1991" s="1">
        <v>0.41666666666666669</v>
      </c>
      <c r="O1991" t="s">
        <v>27</v>
      </c>
    </row>
    <row r="1992" spans="1:15" x14ac:dyDescent="0.3">
      <c r="A1992" t="s">
        <v>2021</v>
      </c>
      <c r="B1992">
        <v>20260504</v>
      </c>
      <c r="C1992" t="s">
        <v>25</v>
      </c>
      <c r="D1992" t="s">
        <v>29</v>
      </c>
      <c r="E1992" t="s">
        <v>41</v>
      </c>
      <c r="F1992">
        <v>40061</v>
      </c>
      <c r="G1992">
        <v>62438</v>
      </c>
      <c r="H1992">
        <v>3436</v>
      </c>
      <c r="I1992">
        <v>270</v>
      </c>
      <c r="J1992">
        <v>536</v>
      </c>
      <c r="K1992">
        <v>397</v>
      </c>
      <c r="L1992">
        <v>29724</v>
      </c>
      <c r="M1992">
        <v>251</v>
      </c>
      <c r="N1992" s="1">
        <v>0.9375</v>
      </c>
      <c r="O1992" t="s">
        <v>30</v>
      </c>
    </row>
    <row r="1993" spans="1:15" x14ac:dyDescent="0.3">
      <c r="A1993" t="s">
        <v>2022</v>
      </c>
      <c r="B1993">
        <v>20250119</v>
      </c>
      <c r="C1993" t="s">
        <v>32</v>
      </c>
      <c r="D1993" t="s">
        <v>21</v>
      </c>
      <c r="E1993" t="s">
        <v>26</v>
      </c>
      <c r="F1993">
        <v>6660</v>
      </c>
      <c r="G1993">
        <v>7459</v>
      </c>
      <c r="H1993">
        <v>791</v>
      </c>
      <c r="I1993">
        <v>39</v>
      </c>
      <c r="J1993">
        <v>147</v>
      </c>
      <c r="K1993">
        <v>27</v>
      </c>
      <c r="L1993">
        <v>4294</v>
      </c>
      <c r="M1993">
        <v>31</v>
      </c>
      <c r="N1993" s="1">
        <v>0.65625</v>
      </c>
      <c r="O1993" t="s">
        <v>19</v>
      </c>
    </row>
    <row r="1994" spans="1:15" x14ac:dyDescent="0.3">
      <c r="A1994" t="s">
        <v>2023</v>
      </c>
      <c r="B1994">
        <v>20250821</v>
      </c>
      <c r="C1994" t="s">
        <v>25</v>
      </c>
      <c r="D1994" t="s">
        <v>17</v>
      </c>
      <c r="E1994" t="s">
        <v>46</v>
      </c>
      <c r="F1994">
        <v>13401</v>
      </c>
      <c r="G1994">
        <v>18439</v>
      </c>
      <c r="H1994">
        <v>720</v>
      </c>
      <c r="I1994">
        <v>49</v>
      </c>
      <c r="J1994">
        <v>116</v>
      </c>
      <c r="K1994">
        <v>102</v>
      </c>
      <c r="L1994">
        <v>4724</v>
      </c>
      <c r="M1994">
        <v>132</v>
      </c>
      <c r="N1994" s="1">
        <v>0.4375</v>
      </c>
      <c r="O1994" t="s">
        <v>19</v>
      </c>
    </row>
    <row r="1995" spans="1:15" x14ac:dyDescent="0.3">
      <c r="A1995" t="s">
        <v>2024</v>
      </c>
      <c r="B1995">
        <v>20260220</v>
      </c>
      <c r="C1995" t="s">
        <v>32</v>
      </c>
      <c r="D1995" t="s">
        <v>61</v>
      </c>
      <c r="E1995" t="s">
        <v>46</v>
      </c>
      <c r="F1995">
        <v>7803</v>
      </c>
      <c r="G1995">
        <v>9364</v>
      </c>
      <c r="H1995">
        <v>409</v>
      </c>
      <c r="I1995">
        <v>29</v>
      </c>
      <c r="J1995">
        <v>45</v>
      </c>
      <c r="K1995">
        <v>17</v>
      </c>
      <c r="L1995">
        <v>6567</v>
      </c>
      <c r="M1995">
        <v>52</v>
      </c>
      <c r="N1995" s="1">
        <v>0.57291666666666663</v>
      </c>
      <c r="O1995" t="s">
        <v>38</v>
      </c>
    </row>
    <row r="1996" spans="1:15" x14ac:dyDescent="0.3">
      <c r="A1996" t="s">
        <v>2025</v>
      </c>
      <c r="B1996">
        <v>20250126</v>
      </c>
      <c r="C1996" t="s">
        <v>25</v>
      </c>
      <c r="D1996" t="s">
        <v>29</v>
      </c>
      <c r="E1996" t="s">
        <v>41</v>
      </c>
      <c r="F1996">
        <v>28437</v>
      </c>
      <c r="G1996">
        <v>41887</v>
      </c>
      <c r="H1996">
        <v>2422</v>
      </c>
      <c r="I1996">
        <v>85</v>
      </c>
      <c r="J1996">
        <v>186</v>
      </c>
      <c r="K1996">
        <v>109</v>
      </c>
      <c r="L1996">
        <v>22996</v>
      </c>
      <c r="M1996">
        <v>177</v>
      </c>
      <c r="N1996" s="1">
        <v>0.34375</v>
      </c>
      <c r="O1996" t="s">
        <v>27</v>
      </c>
    </row>
    <row r="1997" spans="1:15" x14ac:dyDescent="0.3">
      <c r="A1997" t="s">
        <v>2026</v>
      </c>
      <c r="B1997">
        <v>20250430</v>
      </c>
      <c r="C1997" t="s">
        <v>32</v>
      </c>
      <c r="D1997" t="s">
        <v>17</v>
      </c>
      <c r="E1997" t="s">
        <v>41</v>
      </c>
      <c r="F1997">
        <v>14384</v>
      </c>
      <c r="G1997">
        <v>15927</v>
      </c>
      <c r="H1997">
        <v>789</v>
      </c>
      <c r="I1997">
        <v>70</v>
      </c>
      <c r="J1997">
        <v>104</v>
      </c>
      <c r="K1997">
        <v>74</v>
      </c>
      <c r="L1997">
        <v>8860</v>
      </c>
      <c r="M1997">
        <v>104</v>
      </c>
      <c r="N1997" s="1">
        <v>0.73958333333333337</v>
      </c>
      <c r="O1997" t="s">
        <v>38</v>
      </c>
    </row>
    <row r="1998" spans="1:15" x14ac:dyDescent="0.3">
      <c r="A1998" t="s">
        <v>2027</v>
      </c>
      <c r="B1998">
        <v>20250715</v>
      </c>
      <c r="C1998" t="s">
        <v>40</v>
      </c>
      <c r="D1998" t="s">
        <v>29</v>
      </c>
      <c r="E1998" t="s">
        <v>46</v>
      </c>
      <c r="F1998">
        <v>30318</v>
      </c>
      <c r="G1998">
        <v>48142</v>
      </c>
      <c r="H1998">
        <v>3542</v>
      </c>
      <c r="I1998">
        <v>387</v>
      </c>
      <c r="J1998">
        <v>366</v>
      </c>
      <c r="K1998">
        <v>148</v>
      </c>
      <c r="L1998">
        <v>15588</v>
      </c>
      <c r="M1998">
        <v>115</v>
      </c>
      <c r="N1998" s="1">
        <v>0.80208333333333337</v>
      </c>
      <c r="O1998" t="s">
        <v>34</v>
      </c>
    </row>
    <row r="1999" spans="1:15" x14ac:dyDescent="0.3">
      <c r="A1999" t="s">
        <v>2028</v>
      </c>
      <c r="B1999">
        <v>20250825</v>
      </c>
      <c r="C1999" t="s">
        <v>40</v>
      </c>
      <c r="D1999" t="s">
        <v>21</v>
      </c>
      <c r="E1999" t="s">
        <v>51</v>
      </c>
      <c r="F1999">
        <v>23050</v>
      </c>
      <c r="G1999">
        <v>36102</v>
      </c>
      <c r="H1999">
        <v>2149</v>
      </c>
      <c r="I1999">
        <v>239</v>
      </c>
      <c r="J1999">
        <v>400</v>
      </c>
      <c r="K1999">
        <v>152</v>
      </c>
      <c r="L1999">
        <v>0</v>
      </c>
      <c r="M1999">
        <v>121</v>
      </c>
      <c r="N1999" s="1">
        <v>0.60416666666666663</v>
      </c>
      <c r="O1999" t="s">
        <v>19</v>
      </c>
    </row>
    <row r="2000" spans="1:15" x14ac:dyDescent="0.3">
      <c r="A2000" t="s">
        <v>2029</v>
      </c>
      <c r="B2000">
        <v>20260713</v>
      </c>
      <c r="C2000" t="s">
        <v>16</v>
      </c>
      <c r="D2000" t="s">
        <v>21</v>
      </c>
      <c r="E2000" t="s">
        <v>18</v>
      </c>
      <c r="F2000">
        <v>32960</v>
      </c>
      <c r="G2000">
        <v>44481</v>
      </c>
      <c r="H2000">
        <v>2828</v>
      </c>
      <c r="I2000">
        <v>74</v>
      </c>
      <c r="J2000">
        <v>472</v>
      </c>
      <c r="K2000">
        <v>300</v>
      </c>
      <c r="L2000">
        <v>0</v>
      </c>
      <c r="M2000">
        <v>341</v>
      </c>
      <c r="N2000" s="1">
        <v>0.55208333333333337</v>
      </c>
      <c r="O2000" t="s">
        <v>30</v>
      </c>
    </row>
    <row r="2001" spans="1:15" x14ac:dyDescent="0.3">
      <c r="A2001" t="s">
        <v>2030</v>
      </c>
      <c r="B2001">
        <v>20250720</v>
      </c>
      <c r="C2001" t="s">
        <v>32</v>
      </c>
      <c r="D2001" t="s">
        <v>17</v>
      </c>
      <c r="E2001" t="s">
        <v>41</v>
      </c>
      <c r="F2001">
        <v>13909</v>
      </c>
      <c r="G2001">
        <v>20739</v>
      </c>
      <c r="H2001">
        <v>1364</v>
      </c>
      <c r="I2001">
        <v>162</v>
      </c>
      <c r="J2001">
        <v>246</v>
      </c>
      <c r="K2001">
        <v>200</v>
      </c>
      <c r="L2001">
        <v>8847</v>
      </c>
      <c r="M2001">
        <v>32</v>
      </c>
      <c r="N2001" s="1">
        <v>0.40625</v>
      </c>
      <c r="O2001" t="s">
        <v>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2B447-1811-443A-989E-9D908B12430B}">
  <dimension ref="A3:E9"/>
  <sheetViews>
    <sheetView workbookViewId="0">
      <selection activeCell="F23" sqref="F23"/>
    </sheetView>
  </sheetViews>
  <sheetFormatPr defaultRowHeight="14.4" x14ac:dyDescent="0.3"/>
  <cols>
    <col min="1" max="1" width="12.44140625" bestFit="1" customWidth="1"/>
    <col min="2" max="2" width="11.33203125" bestFit="1" customWidth="1"/>
    <col min="3" max="3" width="16.21875" bestFit="1" customWidth="1"/>
    <col min="4" max="4" width="12.6640625" bestFit="1" customWidth="1"/>
    <col min="5" max="5" width="20.21875" bestFit="1" customWidth="1"/>
  </cols>
  <sheetData>
    <row r="3" spans="1:5" x14ac:dyDescent="0.3">
      <c r="A3" s="14" t="s">
        <v>2036</v>
      </c>
      <c r="B3" t="s">
        <v>2038</v>
      </c>
      <c r="C3" t="s">
        <v>2039</v>
      </c>
      <c r="D3" t="s">
        <v>2040</v>
      </c>
      <c r="E3" t="s">
        <v>2041</v>
      </c>
    </row>
    <row r="4" spans="1:5" x14ac:dyDescent="0.3">
      <c r="A4" s="15" t="s">
        <v>16</v>
      </c>
      <c r="B4">
        <v>38549</v>
      </c>
      <c r="C4">
        <v>3090</v>
      </c>
      <c r="D4">
        <v>4695</v>
      </c>
      <c r="E4">
        <v>49346</v>
      </c>
    </row>
    <row r="5" spans="1:5" x14ac:dyDescent="0.3">
      <c r="A5" s="15" t="s">
        <v>44</v>
      </c>
      <c r="B5">
        <v>78224</v>
      </c>
      <c r="C5">
        <v>6857</v>
      </c>
      <c r="D5">
        <v>10091</v>
      </c>
      <c r="E5">
        <v>102809</v>
      </c>
    </row>
    <row r="6" spans="1:5" x14ac:dyDescent="0.3">
      <c r="A6" s="15" t="s">
        <v>40</v>
      </c>
      <c r="B6">
        <v>14081</v>
      </c>
      <c r="C6">
        <v>1072</v>
      </c>
      <c r="D6">
        <v>1554</v>
      </c>
      <c r="E6">
        <v>17866</v>
      </c>
    </row>
    <row r="7" spans="1:5" x14ac:dyDescent="0.3">
      <c r="A7" s="15" t="s">
        <v>25</v>
      </c>
      <c r="B7">
        <v>4300</v>
      </c>
      <c r="C7">
        <v>360</v>
      </c>
      <c r="D7">
        <v>616</v>
      </c>
      <c r="E7">
        <v>5496</v>
      </c>
    </row>
    <row r="8" spans="1:5" x14ac:dyDescent="0.3">
      <c r="A8" s="15" t="s">
        <v>32</v>
      </c>
      <c r="B8">
        <v>4588</v>
      </c>
      <c r="C8">
        <v>263</v>
      </c>
      <c r="D8">
        <v>358</v>
      </c>
      <c r="E8">
        <v>5648</v>
      </c>
    </row>
    <row r="9" spans="1:5" x14ac:dyDescent="0.3">
      <c r="A9" s="15" t="s">
        <v>2037</v>
      </c>
      <c r="B9">
        <v>139742</v>
      </c>
      <c r="C9">
        <v>11642</v>
      </c>
      <c r="D9">
        <v>17314</v>
      </c>
      <c r="E9">
        <v>181165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2EF34-1B2F-4575-8648-6D7BDDB88D60}">
  <dimension ref="A3:C10"/>
  <sheetViews>
    <sheetView workbookViewId="0">
      <selection activeCell="A3" sqref="A3"/>
    </sheetView>
  </sheetViews>
  <sheetFormatPr defaultRowHeight="14.4" x14ac:dyDescent="0.3"/>
  <cols>
    <col min="1" max="1" width="12.44140625" bestFit="1" customWidth="1"/>
    <col min="2" max="2" width="20.21875" bestFit="1" customWidth="1"/>
    <col min="3" max="3" width="21.5546875" bestFit="1" customWidth="1"/>
  </cols>
  <sheetData>
    <row r="3" spans="1:3" x14ac:dyDescent="0.3">
      <c r="A3" s="14" t="s">
        <v>2036</v>
      </c>
      <c r="B3" t="s">
        <v>2041</v>
      </c>
      <c r="C3" t="s">
        <v>2042</v>
      </c>
    </row>
    <row r="4" spans="1:3" x14ac:dyDescent="0.3">
      <c r="A4" s="15" t="s">
        <v>46</v>
      </c>
      <c r="B4">
        <v>373560</v>
      </c>
      <c r="C4">
        <v>1814.9345160497235</v>
      </c>
    </row>
    <row r="5" spans="1:3" x14ac:dyDescent="0.3">
      <c r="A5" s="15" t="s">
        <v>18</v>
      </c>
      <c r="B5">
        <v>193074</v>
      </c>
      <c r="C5">
        <v>1185.4998617271503</v>
      </c>
    </row>
    <row r="6" spans="1:3" x14ac:dyDescent="0.3">
      <c r="A6" s="15" t="s">
        <v>51</v>
      </c>
      <c r="B6">
        <v>183378</v>
      </c>
      <c r="C6">
        <v>861.07671503664847</v>
      </c>
    </row>
    <row r="7" spans="1:3" x14ac:dyDescent="0.3">
      <c r="A7" s="15" t="s">
        <v>41</v>
      </c>
      <c r="B7">
        <v>366694</v>
      </c>
      <c r="C7">
        <v>1096.2951820647968</v>
      </c>
    </row>
    <row r="8" spans="1:3" x14ac:dyDescent="0.3">
      <c r="A8" s="15" t="s">
        <v>22</v>
      </c>
      <c r="B8">
        <v>58643</v>
      </c>
      <c r="C8">
        <v>428.69966238570004</v>
      </c>
    </row>
    <row r="9" spans="1:3" x14ac:dyDescent="0.3">
      <c r="A9" s="15" t="s">
        <v>26</v>
      </c>
      <c r="B9">
        <v>140245</v>
      </c>
      <c r="C9">
        <v>1064.7280464569899</v>
      </c>
    </row>
    <row r="10" spans="1:3" x14ac:dyDescent="0.3">
      <c r="A10" s="15" t="s">
        <v>2037</v>
      </c>
      <c r="B10">
        <v>1315594</v>
      </c>
      <c r="C10">
        <v>6451.2339837210093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1CFC-A7AA-4629-BB67-448312A36DEE}">
  <dimension ref="A3:D27"/>
  <sheetViews>
    <sheetView workbookViewId="0">
      <selection activeCell="A4" sqref="A4"/>
    </sheetView>
  </sheetViews>
  <sheetFormatPr defaultRowHeight="14.4" x14ac:dyDescent="0.3"/>
  <cols>
    <col min="1" max="1" width="12.44140625" bestFit="1" customWidth="1"/>
    <col min="2" max="2" width="20.21875" bestFit="1" customWidth="1"/>
    <col min="3" max="3" width="12.109375" bestFit="1" customWidth="1"/>
    <col min="4" max="4" width="22.109375" bestFit="1" customWidth="1"/>
  </cols>
  <sheetData>
    <row r="3" spans="1:4" x14ac:dyDescent="0.3">
      <c r="A3" s="14" t="s">
        <v>2036</v>
      </c>
      <c r="B3" t="s">
        <v>2041</v>
      </c>
      <c r="C3" t="s">
        <v>2045</v>
      </c>
      <c r="D3" t="s">
        <v>2046</v>
      </c>
    </row>
    <row r="4" spans="1:4" x14ac:dyDescent="0.3">
      <c r="A4" s="15">
        <v>2025</v>
      </c>
      <c r="B4">
        <v>799309</v>
      </c>
      <c r="C4">
        <v>8280015</v>
      </c>
      <c r="D4">
        <v>82180</v>
      </c>
    </row>
    <row r="5" spans="1:4" x14ac:dyDescent="0.3">
      <c r="A5" s="16">
        <v>1</v>
      </c>
      <c r="B5">
        <v>64368</v>
      </c>
      <c r="C5">
        <v>639848</v>
      </c>
      <c r="D5">
        <v>6900</v>
      </c>
    </row>
    <row r="6" spans="1:4" x14ac:dyDescent="0.3">
      <c r="A6" s="16">
        <v>2</v>
      </c>
      <c r="B6">
        <v>60263</v>
      </c>
      <c r="C6">
        <v>632648</v>
      </c>
      <c r="D6">
        <v>6035</v>
      </c>
    </row>
    <row r="7" spans="1:4" x14ac:dyDescent="0.3">
      <c r="A7" s="16">
        <v>3</v>
      </c>
      <c r="B7">
        <v>64301</v>
      </c>
      <c r="C7">
        <v>621035</v>
      </c>
      <c r="D7">
        <v>6967</v>
      </c>
    </row>
    <row r="8" spans="1:4" x14ac:dyDescent="0.3">
      <c r="A8" s="16">
        <v>4</v>
      </c>
      <c r="B8">
        <v>65146</v>
      </c>
      <c r="C8">
        <v>592412</v>
      </c>
      <c r="D8">
        <v>6431</v>
      </c>
    </row>
    <row r="9" spans="1:4" x14ac:dyDescent="0.3">
      <c r="A9" s="16">
        <v>5</v>
      </c>
      <c r="B9">
        <v>57818</v>
      </c>
      <c r="C9">
        <v>683432</v>
      </c>
      <c r="D9">
        <v>7187</v>
      </c>
    </row>
    <row r="10" spans="1:4" x14ac:dyDescent="0.3">
      <c r="A10" s="16">
        <v>6</v>
      </c>
      <c r="B10">
        <v>85335</v>
      </c>
      <c r="C10">
        <v>875401</v>
      </c>
      <c r="D10">
        <v>8235</v>
      </c>
    </row>
    <row r="11" spans="1:4" x14ac:dyDescent="0.3">
      <c r="A11" s="16">
        <v>7</v>
      </c>
      <c r="B11">
        <v>43463</v>
      </c>
      <c r="C11">
        <v>436116</v>
      </c>
      <c r="D11">
        <v>4127</v>
      </c>
    </row>
    <row r="12" spans="1:4" x14ac:dyDescent="0.3">
      <c r="A12" s="16">
        <v>8</v>
      </c>
      <c r="B12">
        <v>50469</v>
      </c>
      <c r="C12">
        <v>533596</v>
      </c>
      <c r="D12">
        <v>4237</v>
      </c>
    </row>
    <row r="13" spans="1:4" x14ac:dyDescent="0.3">
      <c r="A13" s="16">
        <v>9</v>
      </c>
      <c r="B13">
        <v>59699</v>
      </c>
      <c r="C13">
        <v>621391</v>
      </c>
      <c r="D13">
        <v>7117</v>
      </c>
    </row>
    <row r="14" spans="1:4" x14ac:dyDescent="0.3">
      <c r="A14" s="16">
        <v>10</v>
      </c>
      <c r="B14">
        <v>70432</v>
      </c>
      <c r="C14">
        <v>690873</v>
      </c>
      <c r="D14">
        <v>6654</v>
      </c>
    </row>
    <row r="15" spans="1:4" x14ac:dyDescent="0.3">
      <c r="A15" s="16">
        <v>11</v>
      </c>
      <c r="B15">
        <v>102074</v>
      </c>
      <c r="C15">
        <v>1114011</v>
      </c>
      <c r="D15">
        <v>10376</v>
      </c>
    </row>
    <row r="16" spans="1:4" x14ac:dyDescent="0.3">
      <c r="A16" s="16">
        <v>12</v>
      </c>
      <c r="B16">
        <v>75941</v>
      </c>
      <c r="C16">
        <v>839252</v>
      </c>
      <c r="D16">
        <v>7914</v>
      </c>
    </row>
    <row r="17" spans="1:4" x14ac:dyDescent="0.3">
      <c r="A17" s="15">
        <v>2026</v>
      </c>
      <c r="B17">
        <v>516285</v>
      </c>
      <c r="C17">
        <v>5398683</v>
      </c>
      <c r="D17">
        <v>46954</v>
      </c>
    </row>
    <row r="18" spans="1:4" x14ac:dyDescent="0.3">
      <c r="A18" s="16">
        <v>1</v>
      </c>
      <c r="B18">
        <v>52733</v>
      </c>
      <c r="C18">
        <v>643685</v>
      </c>
      <c r="D18">
        <v>4852</v>
      </c>
    </row>
    <row r="19" spans="1:4" x14ac:dyDescent="0.3">
      <c r="A19" s="16">
        <v>2</v>
      </c>
      <c r="B19">
        <v>89679</v>
      </c>
      <c r="C19">
        <v>780139</v>
      </c>
      <c r="D19">
        <v>7694</v>
      </c>
    </row>
    <row r="20" spans="1:4" x14ac:dyDescent="0.3">
      <c r="A20" s="16">
        <v>3</v>
      </c>
      <c r="B20">
        <v>55239</v>
      </c>
      <c r="C20">
        <v>590944</v>
      </c>
      <c r="D20">
        <v>5434</v>
      </c>
    </row>
    <row r="21" spans="1:4" x14ac:dyDescent="0.3">
      <c r="A21" s="16">
        <v>4</v>
      </c>
      <c r="B21">
        <v>46786</v>
      </c>
      <c r="C21">
        <v>559242</v>
      </c>
      <c r="D21">
        <v>4398</v>
      </c>
    </row>
    <row r="22" spans="1:4" x14ac:dyDescent="0.3">
      <c r="A22" s="16">
        <v>5</v>
      </c>
      <c r="B22">
        <v>56558</v>
      </c>
      <c r="C22">
        <v>574995</v>
      </c>
      <c r="D22">
        <v>4836</v>
      </c>
    </row>
    <row r="23" spans="1:4" x14ac:dyDescent="0.3">
      <c r="A23" s="16">
        <v>6</v>
      </c>
      <c r="B23">
        <v>40689</v>
      </c>
      <c r="C23">
        <v>431737</v>
      </c>
      <c r="D23">
        <v>3448</v>
      </c>
    </row>
    <row r="24" spans="1:4" x14ac:dyDescent="0.3">
      <c r="A24" s="16">
        <v>7</v>
      </c>
      <c r="B24">
        <v>56611</v>
      </c>
      <c r="C24">
        <v>580857</v>
      </c>
      <c r="D24">
        <v>5795</v>
      </c>
    </row>
    <row r="25" spans="1:4" x14ac:dyDescent="0.3">
      <c r="A25" s="16">
        <v>8</v>
      </c>
      <c r="B25">
        <v>57379</v>
      </c>
      <c r="C25">
        <v>559965</v>
      </c>
      <c r="D25">
        <v>5907</v>
      </c>
    </row>
    <row r="26" spans="1:4" x14ac:dyDescent="0.3">
      <c r="A26" s="16">
        <v>9</v>
      </c>
      <c r="B26">
        <v>60611</v>
      </c>
      <c r="C26">
        <v>677119</v>
      </c>
      <c r="D26">
        <v>4590</v>
      </c>
    </row>
    <row r="27" spans="1:4" x14ac:dyDescent="0.3">
      <c r="A27" s="15" t="s">
        <v>2037</v>
      </c>
      <c r="B27">
        <v>1315594</v>
      </c>
      <c r="C27">
        <v>13678698</v>
      </c>
      <c r="D27">
        <v>129134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00B8E-9130-449E-BD72-DE79E9A27FEA}">
  <dimension ref="A1:V500"/>
  <sheetViews>
    <sheetView tabSelected="1" topLeftCell="B1" workbookViewId="0">
      <selection activeCell="S2" sqref="S2"/>
    </sheetView>
  </sheetViews>
  <sheetFormatPr defaultRowHeight="14.4" x14ac:dyDescent="0.3"/>
  <cols>
    <col min="15" max="15" width="10.109375" customWidth="1"/>
    <col min="18" max="18" width="14.44140625" customWidth="1"/>
    <col min="19" max="19" width="16.33203125" customWidth="1"/>
    <col min="20" max="20" width="14.44140625" bestFit="1" customWidth="1"/>
  </cols>
  <sheetData>
    <row r="1" spans="1:22" x14ac:dyDescent="0.3">
      <c r="A1" s="2" t="s">
        <v>0</v>
      </c>
      <c r="B1" s="3" t="s">
        <v>1</v>
      </c>
      <c r="C1" s="3" t="s">
        <v>2</v>
      </c>
      <c r="D1" s="3" t="s">
        <v>3</v>
      </c>
      <c r="E1" s="3" t="s">
        <v>4</v>
      </c>
      <c r="F1" s="3" t="s">
        <v>5</v>
      </c>
      <c r="G1" s="3" t="s">
        <v>6</v>
      </c>
      <c r="H1" s="3" t="s">
        <v>7</v>
      </c>
      <c r="I1" s="3" t="s">
        <v>8</v>
      </c>
      <c r="J1" s="3" t="s">
        <v>9</v>
      </c>
      <c r="K1" s="3" t="s">
        <v>10</v>
      </c>
      <c r="L1" s="3" t="s">
        <v>11</v>
      </c>
      <c r="M1" s="3" t="s">
        <v>12</v>
      </c>
      <c r="N1" s="3" t="s">
        <v>13</v>
      </c>
      <c r="O1" s="4" t="s">
        <v>14</v>
      </c>
      <c r="P1" s="13" t="s">
        <v>2031</v>
      </c>
      <c r="Q1" s="13" t="s">
        <v>2032</v>
      </c>
      <c r="R1" s="13" t="s">
        <v>2033</v>
      </c>
      <c r="S1" s="13" t="s">
        <v>2034</v>
      </c>
      <c r="T1" s="13" t="s">
        <v>2035</v>
      </c>
      <c r="U1" s="13" t="s">
        <v>2043</v>
      </c>
      <c r="V1" s="13" t="s">
        <v>2044</v>
      </c>
    </row>
    <row r="2" spans="1:22" x14ac:dyDescent="0.3">
      <c r="A2" s="5" t="s">
        <v>15</v>
      </c>
      <c r="B2" s="6">
        <v>20260914</v>
      </c>
      <c r="C2" s="6" t="s">
        <v>16</v>
      </c>
      <c r="D2" s="6" t="s">
        <v>17</v>
      </c>
      <c r="E2" s="6" t="s">
        <v>18</v>
      </c>
      <c r="F2" s="6">
        <v>20555</v>
      </c>
      <c r="G2" s="6">
        <v>32660</v>
      </c>
      <c r="H2" s="6">
        <v>1829</v>
      </c>
      <c r="I2" s="6">
        <v>159</v>
      </c>
      <c r="J2" s="6">
        <v>243</v>
      </c>
      <c r="K2" s="6">
        <v>197</v>
      </c>
      <c r="L2" s="6">
        <v>0</v>
      </c>
      <c r="M2" s="6">
        <v>233</v>
      </c>
      <c r="N2" s="11">
        <v>0.72916666666666663</v>
      </c>
      <c r="O2" s="7" t="s">
        <v>19</v>
      </c>
      <c r="P2">
        <f>COUNTIF($A$2:$A$500,A2)</f>
        <v>1</v>
      </c>
      <c r="Q2">
        <f>COUNTBLANK(F2:F500)</f>
        <v>1</v>
      </c>
      <c r="R2">
        <f>SUM(H2:K2)</f>
        <v>2428</v>
      </c>
      <c r="S2">
        <f>IFERROR(F2/R2,0)</f>
        <v>8.4658154859967052</v>
      </c>
      <c r="T2" t="str">
        <f>IF(S2&gt;=10,"High",IF(S2&gt;=5,"Medium",IF(S2&gt;=0,"Low")))</f>
        <v>Medium</v>
      </c>
      <c r="U2">
        <f>LEFT(B2,4)*1</f>
        <v>2026</v>
      </c>
      <c r="V2">
        <f>MID(B2,5,2)*1</f>
        <v>9</v>
      </c>
    </row>
    <row r="3" spans="1:22" x14ac:dyDescent="0.3">
      <c r="A3" s="8" t="s">
        <v>20</v>
      </c>
      <c r="B3" s="9">
        <v>20250227</v>
      </c>
      <c r="C3" s="9" t="s">
        <v>16</v>
      </c>
      <c r="D3" s="9" t="s">
        <v>21</v>
      </c>
      <c r="E3" s="9" t="s">
        <v>22</v>
      </c>
      <c r="F3" s="9">
        <v>28426</v>
      </c>
      <c r="G3" s="9">
        <v>35838</v>
      </c>
      <c r="H3" s="9">
        <v>1159</v>
      </c>
      <c r="I3" s="9">
        <v>55</v>
      </c>
      <c r="J3" s="9">
        <v>211</v>
      </c>
      <c r="K3" s="9">
        <v>138</v>
      </c>
      <c r="L3" s="9">
        <v>0</v>
      </c>
      <c r="M3" s="9">
        <v>120</v>
      </c>
      <c r="N3" s="12">
        <v>0.61458333333333337</v>
      </c>
      <c r="O3" s="10" t="s">
        <v>23</v>
      </c>
      <c r="P3">
        <f t="shared" ref="P3:P66" si="0">COUNTIF($A$2:$A$500,A3)</f>
        <v>1</v>
      </c>
      <c r="Q3">
        <f>COUNTBLANK(G2:G500)</f>
        <v>1</v>
      </c>
      <c r="R3">
        <f t="shared" ref="R3:R66" si="1">SUM(H3:K3)</f>
        <v>1563</v>
      </c>
      <c r="S3">
        <f t="shared" ref="S3:S66" si="2">IFERROR(F3/R3,0)</f>
        <v>18.186820217530389</v>
      </c>
      <c r="T3" t="str">
        <f t="shared" ref="T3:T66" si="3">IF(S3&gt;=10,"High",IF(S3&gt;=5,"Medium",IF(S3&gt;=0,"Low")))</f>
        <v>High</v>
      </c>
      <c r="U3">
        <f t="shared" ref="U3:U66" si="4">LEFT(B3,4)*1</f>
        <v>2025</v>
      </c>
      <c r="V3">
        <f t="shared" ref="V3:V66" si="5">MID(B3,5,2)*1</f>
        <v>2</v>
      </c>
    </row>
    <row r="4" spans="1:22" x14ac:dyDescent="0.3">
      <c r="A4" s="5" t="s">
        <v>24</v>
      </c>
      <c r="B4" s="6">
        <v>20260226</v>
      </c>
      <c r="C4" s="6" t="s">
        <v>25</v>
      </c>
      <c r="D4" s="6" t="s">
        <v>21</v>
      </c>
      <c r="E4" s="6" t="s">
        <v>26</v>
      </c>
      <c r="F4" s="6">
        <v>21926</v>
      </c>
      <c r="G4" s="6">
        <v>25549</v>
      </c>
      <c r="H4" s="6">
        <v>1948</v>
      </c>
      <c r="I4" s="6">
        <v>123</v>
      </c>
      <c r="J4" s="6">
        <v>317</v>
      </c>
      <c r="K4" s="6">
        <v>195</v>
      </c>
      <c r="L4" s="6">
        <v>14118</v>
      </c>
      <c r="M4" s="6">
        <v>234</v>
      </c>
      <c r="N4" s="11">
        <v>0.84375</v>
      </c>
      <c r="O4" s="7" t="s">
        <v>27</v>
      </c>
      <c r="P4">
        <f t="shared" si="0"/>
        <v>1</v>
      </c>
      <c r="Q4">
        <f>COUNTBLANK(H2:H500)</f>
        <v>1</v>
      </c>
      <c r="R4">
        <f t="shared" si="1"/>
        <v>2583</v>
      </c>
      <c r="S4">
        <f t="shared" si="2"/>
        <v>8.4885791715060002</v>
      </c>
      <c r="T4" t="str">
        <f t="shared" si="3"/>
        <v>Medium</v>
      </c>
      <c r="U4">
        <f t="shared" si="4"/>
        <v>2026</v>
      </c>
      <c r="V4">
        <f t="shared" si="5"/>
        <v>2</v>
      </c>
    </row>
    <row r="5" spans="1:22" x14ac:dyDescent="0.3">
      <c r="A5" s="8" t="s">
        <v>28</v>
      </c>
      <c r="B5" s="9">
        <v>20250703</v>
      </c>
      <c r="C5" s="9" t="s">
        <v>16</v>
      </c>
      <c r="D5" s="9" t="s">
        <v>29</v>
      </c>
      <c r="E5" s="9" t="s">
        <v>18</v>
      </c>
      <c r="F5" s="9">
        <v>10541</v>
      </c>
      <c r="G5" s="9">
        <v>13625</v>
      </c>
      <c r="H5" s="9">
        <v>457</v>
      </c>
      <c r="I5" s="9">
        <v>53</v>
      </c>
      <c r="J5" s="9">
        <v>40</v>
      </c>
      <c r="K5" s="9">
        <v>36</v>
      </c>
      <c r="L5" s="9">
        <v>0</v>
      </c>
      <c r="M5" s="9">
        <v>32</v>
      </c>
      <c r="N5" s="12">
        <v>0.41666666666666669</v>
      </c>
      <c r="O5" s="10" t="s">
        <v>30</v>
      </c>
      <c r="P5">
        <f t="shared" si="0"/>
        <v>1</v>
      </c>
      <c r="Q5">
        <f>COUNTBLANK(I2:I113)</f>
        <v>1</v>
      </c>
      <c r="R5">
        <f t="shared" si="1"/>
        <v>586</v>
      </c>
      <c r="S5">
        <f t="shared" si="2"/>
        <v>17.988054607508534</v>
      </c>
      <c r="T5" t="str">
        <f t="shared" si="3"/>
        <v>High</v>
      </c>
      <c r="U5">
        <f t="shared" si="4"/>
        <v>2025</v>
      </c>
      <c r="V5">
        <f t="shared" si="5"/>
        <v>7</v>
      </c>
    </row>
    <row r="6" spans="1:22" x14ac:dyDescent="0.3">
      <c r="A6" s="5" t="s">
        <v>31</v>
      </c>
      <c r="B6" s="6">
        <v>20260220</v>
      </c>
      <c r="C6" s="6" t="s">
        <v>32</v>
      </c>
      <c r="D6" s="6" t="s">
        <v>33</v>
      </c>
      <c r="E6" s="6" t="s">
        <v>26</v>
      </c>
      <c r="F6" s="6">
        <v>4889</v>
      </c>
      <c r="G6" s="6">
        <v>5589</v>
      </c>
      <c r="H6" s="6">
        <v>385</v>
      </c>
      <c r="I6" s="6"/>
      <c r="J6" s="6">
        <v>68</v>
      </c>
      <c r="K6" s="6">
        <v>28</v>
      </c>
      <c r="L6" s="6">
        <v>2288</v>
      </c>
      <c r="M6" s="6">
        <v>28</v>
      </c>
      <c r="N6" s="11">
        <v>0.55208333333333337</v>
      </c>
      <c r="O6" s="7" t="s">
        <v>34</v>
      </c>
      <c r="P6">
        <f t="shared" si="0"/>
        <v>1</v>
      </c>
      <c r="Q6">
        <f>COUNTBLANK(J2:J194)</f>
        <v>1</v>
      </c>
      <c r="R6">
        <f t="shared" si="1"/>
        <v>481</v>
      </c>
      <c r="S6">
        <f t="shared" si="2"/>
        <v>10.164241164241163</v>
      </c>
      <c r="T6" t="str">
        <f t="shared" si="3"/>
        <v>High</v>
      </c>
      <c r="U6">
        <f t="shared" si="4"/>
        <v>2026</v>
      </c>
      <c r="V6">
        <f t="shared" si="5"/>
        <v>2</v>
      </c>
    </row>
    <row r="7" spans="1:22" x14ac:dyDescent="0.3">
      <c r="A7" s="8" t="s">
        <v>35</v>
      </c>
      <c r="B7" s="9">
        <v>20250305</v>
      </c>
      <c r="C7" s="9" t="s">
        <v>16</v>
      </c>
      <c r="D7" s="9" t="s">
        <v>36</v>
      </c>
      <c r="E7" s="9" t="s">
        <v>18</v>
      </c>
      <c r="F7" s="9">
        <v>11965</v>
      </c>
      <c r="G7" s="9">
        <v>12832</v>
      </c>
      <c r="H7" s="9">
        <v>1168</v>
      </c>
      <c r="I7" s="9">
        <v>56</v>
      </c>
      <c r="J7" s="9">
        <v>112</v>
      </c>
      <c r="K7" s="9">
        <v>132</v>
      </c>
      <c r="L7" s="9">
        <v>0</v>
      </c>
      <c r="M7" s="9">
        <v>44</v>
      </c>
      <c r="N7" s="12">
        <v>0.5</v>
      </c>
      <c r="O7" s="10" t="s">
        <v>19</v>
      </c>
      <c r="P7">
        <f t="shared" si="0"/>
        <v>1</v>
      </c>
      <c r="Q7">
        <f>COUNTBLANK(K2:K500)</f>
        <v>1</v>
      </c>
      <c r="R7">
        <f t="shared" si="1"/>
        <v>1468</v>
      </c>
      <c r="S7">
        <f t="shared" si="2"/>
        <v>8.1505449591280659</v>
      </c>
      <c r="T7" t="str">
        <f t="shared" si="3"/>
        <v>Medium</v>
      </c>
      <c r="U7">
        <f t="shared" si="4"/>
        <v>2025</v>
      </c>
      <c r="V7">
        <f t="shared" si="5"/>
        <v>3</v>
      </c>
    </row>
    <row r="8" spans="1:22" x14ac:dyDescent="0.3">
      <c r="A8" s="5" t="s">
        <v>37</v>
      </c>
      <c r="B8" s="6">
        <v>20250615</v>
      </c>
      <c r="C8" s="6" t="s">
        <v>25</v>
      </c>
      <c r="D8" s="6" t="s">
        <v>21</v>
      </c>
      <c r="E8" s="6" t="s">
        <v>26</v>
      </c>
      <c r="F8" s="6">
        <v>12913</v>
      </c>
      <c r="G8" s="6">
        <v>18106</v>
      </c>
      <c r="H8" s="6">
        <v>894</v>
      </c>
      <c r="I8" s="6">
        <v>25</v>
      </c>
      <c r="J8" s="6">
        <v>117</v>
      </c>
      <c r="K8" s="6">
        <v>25</v>
      </c>
      <c r="L8" s="6">
        <v>10186</v>
      </c>
      <c r="M8" s="6">
        <v>33</v>
      </c>
      <c r="N8" s="11">
        <v>0.64583333333333337</v>
      </c>
      <c r="O8" s="7" t="s">
        <v>38</v>
      </c>
      <c r="P8">
        <f t="shared" si="0"/>
        <v>1</v>
      </c>
      <c r="Q8">
        <f>COUNTBLANK(L2:L80)</f>
        <v>1</v>
      </c>
      <c r="R8">
        <f t="shared" si="1"/>
        <v>1061</v>
      </c>
      <c r="S8">
        <f t="shared" si="2"/>
        <v>12.170593779453347</v>
      </c>
      <c r="T8" t="str">
        <f t="shared" si="3"/>
        <v>High</v>
      </c>
      <c r="U8">
        <f t="shared" si="4"/>
        <v>2025</v>
      </c>
      <c r="V8">
        <f t="shared" si="5"/>
        <v>6</v>
      </c>
    </row>
    <row r="9" spans="1:22" x14ac:dyDescent="0.3">
      <c r="A9" s="8" t="s">
        <v>39</v>
      </c>
      <c r="B9" s="9">
        <v>20250201</v>
      </c>
      <c r="C9" s="9" t="s">
        <v>40</v>
      </c>
      <c r="D9" s="9" t="s">
        <v>17</v>
      </c>
      <c r="E9" s="9" t="s">
        <v>41</v>
      </c>
      <c r="F9" s="9">
        <v>35079</v>
      </c>
      <c r="G9" s="9">
        <v>38997</v>
      </c>
      <c r="H9" s="9">
        <v>2034</v>
      </c>
      <c r="I9" s="9">
        <v>180</v>
      </c>
      <c r="J9" s="9">
        <v>161</v>
      </c>
      <c r="K9" s="9">
        <v>229</v>
      </c>
      <c r="L9" s="9">
        <v>16625</v>
      </c>
      <c r="M9" s="9">
        <v>570</v>
      </c>
      <c r="N9" s="12">
        <v>0.8125</v>
      </c>
      <c r="O9" s="10" t="s">
        <v>42</v>
      </c>
      <c r="P9">
        <f t="shared" si="0"/>
        <v>1</v>
      </c>
      <c r="Q9">
        <f>COUNTBLANK(M2:M500)</f>
        <v>1</v>
      </c>
      <c r="R9">
        <f t="shared" si="1"/>
        <v>2604</v>
      </c>
      <c r="S9">
        <f t="shared" si="2"/>
        <v>13.471198156682028</v>
      </c>
      <c r="T9" t="str">
        <f t="shared" si="3"/>
        <v>High</v>
      </c>
      <c r="U9">
        <f t="shared" si="4"/>
        <v>2025</v>
      </c>
      <c r="V9">
        <f t="shared" si="5"/>
        <v>2</v>
      </c>
    </row>
    <row r="10" spans="1:22" x14ac:dyDescent="0.3">
      <c r="A10" s="5" t="s">
        <v>43</v>
      </c>
      <c r="B10" s="6">
        <v>20251006</v>
      </c>
      <c r="C10" s="6" t="s">
        <v>44</v>
      </c>
      <c r="D10" s="6" t="s">
        <v>36</v>
      </c>
      <c r="E10" s="6" t="s">
        <v>26</v>
      </c>
      <c r="F10" s="6">
        <v>33431</v>
      </c>
      <c r="G10" s="6">
        <v>43499</v>
      </c>
      <c r="H10" s="6">
        <v>1576</v>
      </c>
      <c r="I10" s="6">
        <v>106</v>
      </c>
      <c r="J10" s="6">
        <v>270</v>
      </c>
      <c r="K10" s="6">
        <v>109</v>
      </c>
      <c r="L10" s="6">
        <v>22011</v>
      </c>
      <c r="M10" s="6">
        <v>528</v>
      </c>
      <c r="N10" s="11">
        <v>0.8125</v>
      </c>
      <c r="O10" s="7" t="s">
        <v>38</v>
      </c>
      <c r="P10">
        <f t="shared" si="0"/>
        <v>1</v>
      </c>
      <c r="Q10">
        <f>COUNTBLANK(N2:N500)</f>
        <v>1</v>
      </c>
      <c r="R10">
        <f t="shared" si="1"/>
        <v>2061</v>
      </c>
      <c r="S10">
        <f t="shared" si="2"/>
        <v>16.220766618146531</v>
      </c>
      <c r="T10" t="str">
        <f t="shared" si="3"/>
        <v>High</v>
      </c>
      <c r="U10">
        <f t="shared" si="4"/>
        <v>2025</v>
      </c>
      <c r="V10">
        <f t="shared" si="5"/>
        <v>10</v>
      </c>
    </row>
    <row r="11" spans="1:22" x14ac:dyDescent="0.3">
      <c r="A11" s="8" t="s">
        <v>45</v>
      </c>
      <c r="B11" s="9">
        <v>20251009</v>
      </c>
      <c r="C11" s="9" t="s">
        <v>44</v>
      </c>
      <c r="D11" s="9" t="s">
        <v>17</v>
      </c>
      <c r="E11" s="9" t="s">
        <v>46</v>
      </c>
      <c r="F11" s="9"/>
      <c r="G11" s="9">
        <v>56415</v>
      </c>
      <c r="H11" s="9">
        <v>2798</v>
      </c>
      <c r="I11" s="9">
        <v>313</v>
      </c>
      <c r="J11" s="9">
        <v>302</v>
      </c>
      <c r="K11" s="9">
        <v>396</v>
      </c>
      <c r="L11" s="9">
        <v>30771</v>
      </c>
      <c r="M11" s="9">
        <v>634</v>
      </c>
      <c r="N11" s="12">
        <v>0.75</v>
      </c>
      <c r="O11" s="10" t="s">
        <v>47</v>
      </c>
      <c r="P11">
        <f t="shared" si="0"/>
        <v>1</v>
      </c>
      <c r="Q11">
        <f>COUNTBLANK(O2:O500)</f>
        <v>6</v>
      </c>
      <c r="R11">
        <f t="shared" si="1"/>
        <v>3809</v>
      </c>
      <c r="S11">
        <f t="shared" si="2"/>
        <v>0</v>
      </c>
      <c r="T11" t="str">
        <f t="shared" si="3"/>
        <v>Low</v>
      </c>
      <c r="U11">
        <f t="shared" si="4"/>
        <v>2025</v>
      </c>
      <c r="V11">
        <f t="shared" si="5"/>
        <v>10</v>
      </c>
    </row>
    <row r="12" spans="1:22" x14ac:dyDescent="0.3">
      <c r="A12" s="5" t="s">
        <v>48</v>
      </c>
      <c r="B12" s="6">
        <v>20260219</v>
      </c>
      <c r="C12" s="6" t="s">
        <v>25</v>
      </c>
      <c r="D12" s="6" t="s">
        <v>36</v>
      </c>
      <c r="E12" s="6" t="s">
        <v>41</v>
      </c>
      <c r="F12" s="6">
        <v>12705</v>
      </c>
      <c r="G12" s="6">
        <v>19621</v>
      </c>
      <c r="H12" s="6">
        <v>1510</v>
      </c>
      <c r="I12" s="6">
        <v>141</v>
      </c>
      <c r="J12" s="6">
        <v>150</v>
      </c>
      <c r="K12" s="6">
        <v>220</v>
      </c>
      <c r="L12" s="6">
        <v>8981</v>
      </c>
      <c r="M12" s="6">
        <v>50</v>
      </c>
      <c r="N12" s="11">
        <v>0.34375</v>
      </c>
      <c r="O12" s="7" t="s">
        <v>49</v>
      </c>
      <c r="P12">
        <f t="shared" si="0"/>
        <v>1</v>
      </c>
      <c r="R12">
        <f t="shared" si="1"/>
        <v>2021</v>
      </c>
      <c r="S12">
        <f t="shared" si="2"/>
        <v>6.2864918357248882</v>
      </c>
      <c r="T12" t="str">
        <f t="shared" si="3"/>
        <v>Medium</v>
      </c>
      <c r="U12">
        <f t="shared" si="4"/>
        <v>2026</v>
      </c>
      <c r="V12">
        <f t="shared" si="5"/>
        <v>2</v>
      </c>
    </row>
    <row r="13" spans="1:22" x14ac:dyDescent="0.3">
      <c r="A13" s="8" t="s">
        <v>50</v>
      </c>
      <c r="B13" s="9">
        <v>20250621</v>
      </c>
      <c r="C13" s="9" t="s">
        <v>16</v>
      </c>
      <c r="D13" s="9" t="s">
        <v>36</v>
      </c>
      <c r="E13" s="9" t="s">
        <v>51</v>
      </c>
      <c r="F13" s="9">
        <v>19932</v>
      </c>
      <c r="G13" s="9">
        <v>21430</v>
      </c>
      <c r="H13" s="9">
        <v>1542</v>
      </c>
      <c r="I13" s="9">
        <v>105</v>
      </c>
      <c r="J13" s="9">
        <v>196</v>
      </c>
      <c r="K13" s="9">
        <v>113</v>
      </c>
      <c r="L13" s="9">
        <v>0</v>
      </c>
      <c r="M13" s="9">
        <v>38</v>
      </c>
      <c r="N13" s="12">
        <v>0.67708333333333337</v>
      </c>
      <c r="O13" s="10" t="s">
        <v>27</v>
      </c>
      <c r="P13">
        <f t="shared" si="0"/>
        <v>1</v>
      </c>
      <c r="R13">
        <f t="shared" si="1"/>
        <v>1956</v>
      </c>
      <c r="S13">
        <f t="shared" si="2"/>
        <v>10.190184049079754</v>
      </c>
      <c r="T13" t="str">
        <f t="shared" si="3"/>
        <v>High</v>
      </c>
      <c r="U13">
        <f t="shared" si="4"/>
        <v>2025</v>
      </c>
      <c r="V13">
        <f t="shared" si="5"/>
        <v>6</v>
      </c>
    </row>
    <row r="14" spans="1:22" x14ac:dyDescent="0.3">
      <c r="A14" s="5" t="s">
        <v>52</v>
      </c>
      <c r="B14" s="6">
        <v>20250311</v>
      </c>
      <c r="C14" s="6" t="s">
        <v>32</v>
      </c>
      <c r="D14" s="6" t="s">
        <v>17</v>
      </c>
      <c r="E14" s="6" t="s">
        <v>41</v>
      </c>
      <c r="F14" s="6">
        <v>12799</v>
      </c>
      <c r="G14" s="6">
        <v>19658</v>
      </c>
      <c r="H14" s="6">
        <v>504</v>
      </c>
      <c r="I14" s="6">
        <v>25</v>
      </c>
      <c r="J14" s="6">
        <v>67</v>
      </c>
      <c r="K14" s="6">
        <v>34</v>
      </c>
      <c r="L14" s="6">
        <v>9598</v>
      </c>
      <c r="M14" s="6">
        <v>144</v>
      </c>
      <c r="N14" s="11">
        <v>0.32291666666666669</v>
      </c>
      <c r="O14" s="7" t="s">
        <v>53</v>
      </c>
      <c r="P14">
        <f t="shared" si="0"/>
        <v>1</v>
      </c>
      <c r="R14">
        <f t="shared" si="1"/>
        <v>630</v>
      </c>
      <c r="S14">
        <f t="shared" si="2"/>
        <v>20.315873015873017</v>
      </c>
      <c r="T14" t="str">
        <f t="shared" si="3"/>
        <v>High</v>
      </c>
      <c r="U14">
        <f t="shared" si="4"/>
        <v>2025</v>
      </c>
      <c r="V14">
        <f t="shared" si="5"/>
        <v>3</v>
      </c>
    </row>
    <row r="15" spans="1:22" x14ac:dyDescent="0.3">
      <c r="A15" s="8" t="s">
        <v>54</v>
      </c>
      <c r="B15" s="9">
        <v>20251218</v>
      </c>
      <c r="C15" s="9" t="s">
        <v>16</v>
      </c>
      <c r="D15" s="9" t="s">
        <v>33</v>
      </c>
      <c r="E15" s="9" t="s">
        <v>46</v>
      </c>
      <c r="F15" s="9">
        <v>62099</v>
      </c>
      <c r="G15" s="9">
        <v>70176</v>
      </c>
      <c r="H15" s="9">
        <v>7155</v>
      </c>
      <c r="I15" s="9">
        <v>760</v>
      </c>
      <c r="J15" s="9">
        <v>755</v>
      </c>
      <c r="K15" s="9">
        <v>357</v>
      </c>
      <c r="L15" s="9">
        <v>32702</v>
      </c>
      <c r="M15" s="9">
        <v>404</v>
      </c>
      <c r="N15" s="12">
        <v>0.78125</v>
      </c>
      <c r="O15" s="10" t="s">
        <v>30</v>
      </c>
      <c r="P15">
        <f t="shared" si="0"/>
        <v>1</v>
      </c>
      <c r="R15">
        <f t="shared" si="1"/>
        <v>9027</v>
      </c>
      <c r="S15">
        <f t="shared" si="2"/>
        <v>6.8792511354824413</v>
      </c>
      <c r="T15" t="str">
        <f t="shared" si="3"/>
        <v>Medium</v>
      </c>
      <c r="U15">
        <f t="shared" si="4"/>
        <v>2025</v>
      </c>
      <c r="V15">
        <f t="shared" si="5"/>
        <v>12</v>
      </c>
    </row>
    <row r="16" spans="1:22" x14ac:dyDescent="0.3">
      <c r="A16" s="5" t="s">
        <v>55</v>
      </c>
      <c r="B16" s="6">
        <v>20260109</v>
      </c>
      <c r="C16" s="6" t="s">
        <v>16</v>
      </c>
      <c r="D16" s="6" t="s">
        <v>33</v>
      </c>
      <c r="E16" s="6" t="s">
        <v>41</v>
      </c>
      <c r="F16" s="6">
        <v>42831</v>
      </c>
      <c r="G16" s="6"/>
      <c r="H16" s="6">
        <v>3755</v>
      </c>
      <c r="I16" s="6">
        <v>496</v>
      </c>
      <c r="J16" s="6"/>
      <c r="K16" s="6">
        <v>221</v>
      </c>
      <c r="L16" s="6">
        <v>25284</v>
      </c>
      <c r="M16" s="6">
        <v>291</v>
      </c>
      <c r="N16" s="11">
        <v>0.375</v>
      </c>
      <c r="O16" s="7"/>
      <c r="P16">
        <f t="shared" si="0"/>
        <v>1</v>
      </c>
      <c r="R16">
        <f t="shared" si="1"/>
        <v>4472</v>
      </c>
      <c r="S16">
        <f t="shared" si="2"/>
        <v>9.5775939177101961</v>
      </c>
      <c r="T16" t="str">
        <f t="shared" si="3"/>
        <v>Medium</v>
      </c>
      <c r="U16">
        <f t="shared" si="4"/>
        <v>2026</v>
      </c>
      <c r="V16">
        <f t="shared" si="5"/>
        <v>1</v>
      </c>
    </row>
    <row r="17" spans="1:22" x14ac:dyDescent="0.3">
      <c r="A17" s="8" t="s">
        <v>56</v>
      </c>
      <c r="B17" s="9">
        <v>20251107</v>
      </c>
      <c r="C17" s="9" t="s">
        <v>16</v>
      </c>
      <c r="D17" s="9" t="s">
        <v>36</v>
      </c>
      <c r="E17" s="9" t="s">
        <v>46</v>
      </c>
      <c r="F17" s="9">
        <v>40666</v>
      </c>
      <c r="G17" s="9">
        <v>58779</v>
      </c>
      <c r="H17" s="9">
        <v>1418</v>
      </c>
      <c r="I17" s="9">
        <v>109</v>
      </c>
      <c r="J17" s="9">
        <v>44</v>
      </c>
      <c r="K17" s="9">
        <v>167</v>
      </c>
      <c r="L17" s="9">
        <v>18822</v>
      </c>
      <c r="M17" s="9">
        <v>91</v>
      </c>
      <c r="N17" s="12">
        <v>0.80208333333333337</v>
      </c>
      <c r="O17" s="10" t="s">
        <v>47</v>
      </c>
      <c r="P17">
        <f t="shared" si="0"/>
        <v>1</v>
      </c>
      <c r="R17">
        <f t="shared" si="1"/>
        <v>1738</v>
      </c>
      <c r="S17">
        <f t="shared" si="2"/>
        <v>23.398158803222096</v>
      </c>
      <c r="T17" t="str">
        <f t="shared" si="3"/>
        <v>High</v>
      </c>
      <c r="U17">
        <f t="shared" si="4"/>
        <v>2025</v>
      </c>
      <c r="V17">
        <f t="shared" si="5"/>
        <v>11</v>
      </c>
    </row>
    <row r="18" spans="1:22" x14ac:dyDescent="0.3">
      <c r="A18" s="5" t="s">
        <v>57</v>
      </c>
      <c r="B18" s="6">
        <v>20250901</v>
      </c>
      <c r="C18" s="6" t="s">
        <v>40</v>
      </c>
      <c r="D18" s="6" t="s">
        <v>21</v>
      </c>
      <c r="E18" s="6" t="s">
        <v>46</v>
      </c>
      <c r="F18" s="6">
        <v>7941</v>
      </c>
      <c r="G18" s="6">
        <v>12390</v>
      </c>
      <c r="H18" s="6">
        <v>665</v>
      </c>
      <c r="I18" s="6">
        <v>30</v>
      </c>
      <c r="J18" s="6">
        <v>27</v>
      </c>
      <c r="K18" s="6">
        <v>35</v>
      </c>
      <c r="L18" s="6"/>
      <c r="M18" s="6">
        <v>54</v>
      </c>
      <c r="N18" s="11">
        <v>0.75</v>
      </c>
      <c r="O18" s="7" t="s">
        <v>38</v>
      </c>
      <c r="P18">
        <f t="shared" si="0"/>
        <v>1</v>
      </c>
      <c r="R18">
        <f t="shared" si="1"/>
        <v>757</v>
      </c>
      <c r="S18">
        <f t="shared" si="2"/>
        <v>10.490092470277411</v>
      </c>
      <c r="T18" t="str">
        <f t="shared" si="3"/>
        <v>High</v>
      </c>
      <c r="U18">
        <f t="shared" si="4"/>
        <v>2025</v>
      </c>
      <c r="V18">
        <f t="shared" si="5"/>
        <v>9</v>
      </c>
    </row>
    <row r="19" spans="1:22" x14ac:dyDescent="0.3">
      <c r="A19" s="8" t="s">
        <v>58</v>
      </c>
      <c r="B19" s="9">
        <v>20250806</v>
      </c>
      <c r="C19" s="9" t="s">
        <v>16</v>
      </c>
      <c r="D19" s="9" t="s">
        <v>29</v>
      </c>
      <c r="E19" s="9" t="s">
        <v>26</v>
      </c>
      <c r="F19" s="9">
        <v>10664</v>
      </c>
      <c r="G19" s="9">
        <v>13601</v>
      </c>
      <c r="H19" s="9">
        <v>974</v>
      </c>
      <c r="I19" s="9">
        <v>87</v>
      </c>
      <c r="J19" s="9">
        <v>87</v>
      </c>
      <c r="K19" s="9">
        <v>113</v>
      </c>
      <c r="L19" s="9">
        <v>6022</v>
      </c>
      <c r="M19" s="9">
        <v>12</v>
      </c>
      <c r="N19" s="12">
        <v>0.84375</v>
      </c>
      <c r="O19" s="10" t="s">
        <v>38</v>
      </c>
      <c r="P19">
        <f t="shared" si="0"/>
        <v>1</v>
      </c>
      <c r="R19">
        <f t="shared" si="1"/>
        <v>1261</v>
      </c>
      <c r="S19">
        <f t="shared" si="2"/>
        <v>8.456780333068993</v>
      </c>
      <c r="T19" t="str">
        <f t="shared" si="3"/>
        <v>Medium</v>
      </c>
      <c r="U19">
        <f t="shared" si="4"/>
        <v>2025</v>
      </c>
      <c r="V19">
        <f t="shared" si="5"/>
        <v>8</v>
      </c>
    </row>
    <row r="20" spans="1:22" x14ac:dyDescent="0.3">
      <c r="A20" s="5" t="s">
        <v>59</v>
      </c>
      <c r="B20" s="6">
        <v>20250325</v>
      </c>
      <c r="C20" s="6" t="s">
        <v>25</v>
      </c>
      <c r="D20" s="6" t="s">
        <v>36</v>
      </c>
      <c r="E20" s="6" t="s">
        <v>46</v>
      </c>
      <c r="F20" s="6">
        <v>11035</v>
      </c>
      <c r="G20" s="6">
        <v>12100</v>
      </c>
      <c r="H20" s="6">
        <v>1159</v>
      </c>
      <c r="I20" s="6">
        <v>158</v>
      </c>
      <c r="J20" s="6">
        <v>149</v>
      </c>
      <c r="K20" s="6">
        <v>101</v>
      </c>
      <c r="L20" s="6">
        <v>4105</v>
      </c>
      <c r="M20" s="6">
        <v>73</v>
      </c>
      <c r="N20" s="11">
        <v>0.90625</v>
      </c>
      <c r="O20" s="7" t="s">
        <v>49</v>
      </c>
      <c r="P20">
        <f t="shared" si="0"/>
        <v>1</v>
      </c>
      <c r="R20">
        <f t="shared" si="1"/>
        <v>1567</v>
      </c>
      <c r="S20">
        <f t="shared" si="2"/>
        <v>7.0421186981493298</v>
      </c>
      <c r="T20" t="str">
        <f t="shared" si="3"/>
        <v>Medium</v>
      </c>
      <c r="U20">
        <f t="shared" si="4"/>
        <v>2025</v>
      </c>
      <c r="V20">
        <f t="shared" si="5"/>
        <v>3</v>
      </c>
    </row>
    <row r="21" spans="1:22" x14ac:dyDescent="0.3">
      <c r="A21" s="8" t="s">
        <v>60</v>
      </c>
      <c r="B21" s="9">
        <v>20260526</v>
      </c>
      <c r="C21" s="9" t="s">
        <v>40</v>
      </c>
      <c r="D21" s="9" t="s">
        <v>61</v>
      </c>
      <c r="E21" s="9" t="s">
        <v>51</v>
      </c>
      <c r="F21" s="9">
        <v>10952</v>
      </c>
      <c r="G21" s="9">
        <v>15385</v>
      </c>
      <c r="H21" s="9">
        <v>481</v>
      </c>
      <c r="I21" s="9">
        <v>25</v>
      </c>
      <c r="J21" s="9">
        <v>64</v>
      </c>
      <c r="K21" s="9">
        <v>34</v>
      </c>
      <c r="L21" s="9">
        <v>0</v>
      </c>
      <c r="M21" s="9">
        <v>111</v>
      </c>
      <c r="N21" s="12">
        <v>0.82291666666666663</v>
      </c>
      <c r="O21" s="10" t="s">
        <v>53</v>
      </c>
      <c r="P21">
        <f t="shared" si="0"/>
        <v>1</v>
      </c>
      <c r="R21">
        <f t="shared" si="1"/>
        <v>604</v>
      </c>
      <c r="S21">
        <f t="shared" si="2"/>
        <v>18.132450331125828</v>
      </c>
      <c r="T21" t="str">
        <f t="shared" si="3"/>
        <v>High</v>
      </c>
      <c r="U21">
        <f t="shared" si="4"/>
        <v>2026</v>
      </c>
      <c r="V21">
        <f t="shared" si="5"/>
        <v>5</v>
      </c>
    </row>
    <row r="22" spans="1:22" x14ac:dyDescent="0.3">
      <c r="A22" s="5" t="s">
        <v>62</v>
      </c>
      <c r="B22" s="6">
        <v>20251116</v>
      </c>
      <c r="C22" s="6" t="s">
        <v>25</v>
      </c>
      <c r="D22" s="6" t="s">
        <v>21</v>
      </c>
      <c r="E22" s="6" t="s">
        <v>22</v>
      </c>
      <c r="F22" s="6">
        <v>7125</v>
      </c>
      <c r="G22" s="6">
        <v>10467</v>
      </c>
      <c r="H22" s="6">
        <v>721</v>
      </c>
      <c r="I22" s="6">
        <v>34</v>
      </c>
      <c r="J22" s="6">
        <v>76</v>
      </c>
      <c r="K22" s="6">
        <v>93</v>
      </c>
      <c r="L22" s="6">
        <v>0</v>
      </c>
      <c r="M22" s="6">
        <v>29</v>
      </c>
      <c r="N22" s="11">
        <v>0.78125</v>
      </c>
      <c r="O22" s="7" t="s">
        <v>19</v>
      </c>
      <c r="P22">
        <f t="shared" si="0"/>
        <v>1</v>
      </c>
      <c r="R22">
        <f t="shared" si="1"/>
        <v>924</v>
      </c>
      <c r="S22">
        <f t="shared" si="2"/>
        <v>7.7110389610389607</v>
      </c>
      <c r="T22" t="str">
        <f t="shared" si="3"/>
        <v>Medium</v>
      </c>
      <c r="U22">
        <f t="shared" si="4"/>
        <v>2025</v>
      </c>
      <c r="V22">
        <f t="shared" si="5"/>
        <v>11</v>
      </c>
    </row>
    <row r="23" spans="1:22" x14ac:dyDescent="0.3">
      <c r="A23" s="8" t="s">
        <v>63</v>
      </c>
      <c r="B23" s="9">
        <v>20260702</v>
      </c>
      <c r="C23" s="9" t="s">
        <v>16</v>
      </c>
      <c r="D23" s="9" t="s">
        <v>33</v>
      </c>
      <c r="E23" s="9" t="s">
        <v>18</v>
      </c>
      <c r="F23" s="9">
        <v>15396</v>
      </c>
      <c r="G23" s="9">
        <v>21604</v>
      </c>
      <c r="H23" s="9">
        <v>1101</v>
      </c>
      <c r="I23" s="9">
        <v>144</v>
      </c>
      <c r="J23" s="9">
        <v>87</v>
      </c>
      <c r="K23" s="9">
        <v>124</v>
      </c>
      <c r="L23" s="9">
        <v>0</v>
      </c>
      <c r="M23" s="9">
        <v>140</v>
      </c>
      <c r="N23" s="12"/>
      <c r="O23" s="10" t="s">
        <v>38</v>
      </c>
      <c r="P23">
        <f t="shared" si="0"/>
        <v>1</v>
      </c>
      <c r="R23">
        <f t="shared" si="1"/>
        <v>1456</v>
      </c>
      <c r="S23">
        <f t="shared" si="2"/>
        <v>10.574175824175825</v>
      </c>
      <c r="T23" t="str">
        <f t="shared" si="3"/>
        <v>High</v>
      </c>
      <c r="U23">
        <f t="shared" si="4"/>
        <v>2026</v>
      </c>
      <c r="V23">
        <f t="shared" si="5"/>
        <v>7</v>
      </c>
    </row>
    <row r="24" spans="1:22" x14ac:dyDescent="0.3">
      <c r="A24" s="5" t="s">
        <v>64</v>
      </c>
      <c r="B24" s="6">
        <v>20260916</v>
      </c>
      <c r="C24" s="6" t="s">
        <v>25</v>
      </c>
      <c r="D24" s="6" t="s">
        <v>33</v>
      </c>
      <c r="E24" s="6" t="s">
        <v>46</v>
      </c>
      <c r="F24" s="6">
        <v>25348</v>
      </c>
      <c r="G24" s="6">
        <v>33848</v>
      </c>
      <c r="H24" s="6">
        <v>2264</v>
      </c>
      <c r="I24" s="6">
        <v>135</v>
      </c>
      <c r="J24" s="6">
        <v>241</v>
      </c>
      <c r="K24" s="6">
        <v>356</v>
      </c>
      <c r="L24" s="6">
        <v>19629</v>
      </c>
      <c r="M24" s="6">
        <v>363</v>
      </c>
      <c r="N24" s="11">
        <v>0.36458333333333331</v>
      </c>
      <c r="O24" s="7" t="s">
        <v>34</v>
      </c>
      <c r="P24">
        <f t="shared" si="0"/>
        <v>1</v>
      </c>
      <c r="R24">
        <f t="shared" si="1"/>
        <v>2996</v>
      </c>
      <c r="S24">
        <f t="shared" si="2"/>
        <v>8.4606141522029379</v>
      </c>
      <c r="T24" t="str">
        <f t="shared" si="3"/>
        <v>Medium</v>
      </c>
      <c r="U24">
        <f t="shared" si="4"/>
        <v>2026</v>
      </c>
      <c r="V24">
        <f t="shared" si="5"/>
        <v>9</v>
      </c>
    </row>
    <row r="25" spans="1:22" x14ac:dyDescent="0.3">
      <c r="A25" s="8" t="s">
        <v>65</v>
      </c>
      <c r="B25" s="9">
        <v>20250804</v>
      </c>
      <c r="C25" s="9" t="s">
        <v>40</v>
      </c>
      <c r="D25" s="9" t="s">
        <v>17</v>
      </c>
      <c r="E25" s="9" t="s">
        <v>46</v>
      </c>
      <c r="F25" s="9">
        <v>10054</v>
      </c>
      <c r="G25" s="9">
        <v>11411</v>
      </c>
      <c r="H25" s="9"/>
      <c r="I25" s="9">
        <v>79</v>
      </c>
      <c r="J25" s="9">
        <v>73</v>
      </c>
      <c r="K25" s="9">
        <v>37</v>
      </c>
      <c r="L25" s="9">
        <v>4697</v>
      </c>
      <c r="M25" s="9">
        <v>120</v>
      </c>
      <c r="N25" s="12">
        <v>0.3125</v>
      </c>
      <c r="O25" s="10" t="s">
        <v>49</v>
      </c>
      <c r="P25">
        <f t="shared" si="0"/>
        <v>1</v>
      </c>
      <c r="R25">
        <f t="shared" si="1"/>
        <v>189</v>
      </c>
      <c r="S25">
        <f t="shared" si="2"/>
        <v>53.195767195767196</v>
      </c>
      <c r="T25" t="str">
        <f t="shared" si="3"/>
        <v>High</v>
      </c>
      <c r="U25">
        <f t="shared" si="4"/>
        <v>2025</v>
      </c>
      <c r="V25">
        <f t="shared" si="5"/>
        <v>8</v>
      </c>
    </row>
    <row r="26" spans="1:22" x14ac:dyDescent="0.3">
      <c r="A26" s="5" t="s">
        <v>66</v>
      </c>
      <c r="B26" s="6">
        <v>20260717</v>
      </c>
      <c r="C26" s="6" t="s">
        <v>16</v>
      </c>
      <c r="D26" s="6" t="s">
        <v>29</v>
      </c>
      <c r="E26" s="6" t="s">
        <v>18</v>
      </c>
      <c r="F26" s="6">
        <v>18706</v>
      </c>
      <c r="G26" s="6">
        <v>27066</v>
      </c>
      <c r="H26" s="6">
        <v>1103</v>
      </c>
      <c r="I26" s="6">
        <v>45</v>
      </c>
      <c r="J26" s="6">
        <v>138</v>
      </c>
      <c r="K26" s="6"/>
      <c r="L26" s="6">
        <v>0</v>
      </c>
      <c r="M26" s="6"/>
      <c r="N26" s="11">
        <v>0.41666666666666669</v>
      </c>
      <c r="O26" s="7" t="s">
        <v>47</v>
      </c>
      <c r="P26">
        <f t="shared" si="0"/>
        <v>1</v>
      </c>
      <c r="R26">
        <f t="shared" si="1"/>
        <v>1286</v>
      </c>
      <c r="S26">
        <f t="shared" si="2"/>
        <v>14.545878693623639</v>
      </c>
      <c r="T26" t="str">
        <f t="shared" si="3"/>
        <v>High</v>
      </c>
      <c r="U26">
        <f t="shared" si="4"/>
        <v>2026</v>
      </c>
      <c r="V26">
        <f t="shared" si="5"/>
        <v>7</v>
      </c>
    </row>
    <row r="27" spans="1:22" x14ac:dyDescent="0.3">
      <c r="A27" s="8" t="s">
        <v>67</v>
      </c>
      <c r="B27" s="9">
        <v>20251104</v>
      </c>
      <c r="C27" s="9" t="s">
        <v>16</v>
      </c>
      <c r="D27" s="9" t="s">
        <v>68</v>
      </c>
      <c r="E27" s="9" t="s">
        <v>26</v>
      </c>
      <c r="F27" s="9">
        <v>8842</v>
      </c>
      <c r="G27" s="9">
        <v>9874</v>
      </c>
      <c r="H27" s="9">
        <v>227</v>
      </c>
      <c r="I27" s="9">
        <v>31</v>
      </c>
      <c r="J27" s="9">
        <v>14</v>
      </c>
      <c r="K27" s="9">
        <v>34</v>
      </c>
      <c r="L27" s="9">
        <v>7515</v>
      </c>
      <c r="M27" s="9">
        <v>101</v>
      </c>
      <c r="N27" s="12">
        <v>0.84375</v>
      </c>
      <c r="O27" s="10" t="s">
        <v>19</v>
      </c>
      <c r="P27">
        <f t="shared" si="0"/>
        <v>1</v>
      </c>
      <c r="R27">
        <f t="shared" si="1"/>
        <v>306</v>
      </c>
      <c r="S27">
        <f t="shared" si="2"/>
        <v>28.895424836601308</v>
      </c>
      <c r="T27" t="str">
        <f t="shared" si="3"/>
        <v>High</v>
      </c>
      <c r="U27">
        <f t="shared" si="4"/>
        <v>2025</v>
      </c>
      <c r="V27">
        <f t="shared" si="5"/>
        <v>11</v>
      </c>
    </row>
    <row r="28" spans="1:22" x14ac:dyDescent="0.3">
      <c r="A28" s="5" t="s">
        <v>69</v>
      </c>
      <c r="B28" s="6">
        <v>20250202</v>
      </c>
      <c r="C28" s="6" t="s">
        <v>25</v>
      </c>
      <c r="D28" s="6" t="s">
        <v>21</v>
      </c>
      <c r="E28" s="6" t="s">
        <v>18</v>
      </c>
      <c r="F28" s="6">
        <v>7585</v>
      </c>
      <c r="G28" s="6">
        <v>12262</v>
      </c>
      <c r="H28" s="6">
        <v>681</v>
      </c>
      <c r="I28" s="6">
        <v>81</v>
      </c>
      <c r="J28" s="6">
        <v>31</v>
      </c>
      <c r="K28" s="6">
        <v>26</v>
      </c>
      <c r="L28" s="6">
        <v>0</v>
      </c>
      <c r="M28" s="6">
        <v>115</v>
      </c>
      <c r="N28" s="11">
        <v>0.8125</v>
      </c>
      <c r="O28" s="7" t="s">
        <v>27</v>
      </c>
      <c r="P28">
        <f t="shared" si="0"/>
        <v>1</v>
      </c>
      <c r="R28">
        <f t="shared" si="1"/>
        <v>819</v>
      </c>
      <c r="S28">
        <f t="shared" si="2"/>
        <v>9.2612942612942621</v>
      </c>
      <c r="T28" t="str">
        <f t="shared" si="3"/>
        <v>Medium</v>
      </c>
      <c r="U28">
        <f t="shared" si="4"/>
        <v>2025</v>
      </c>
      <c r="V28">
        <f t="shared" si="5"/>
        <v>2</v>
      </c>
    </row>
    <row r="29" spans="1:22" x14ac:dyDescent="0.3">
      <c r="A29" s="8" t="s">
        <v>70</v>
      </c>
      <c r="B29" s="9">
        <v>20250916</v>
      </c>
      <c r="C29" s="9" t="s">
        <v>32</v>
      </c>
      <c r="D29" s="9" t="s">
        <v>61</v>
      </c>
      <c r="E29" s="9" t="s">
        <v>46</v>
      </c>
      <c r="F29" s="9">
        <v>14995</v>
      </c>
      <c r="G29" s="9">
        <v>20663</v>
      </c>
      <c r="H29" s="9">
        <v>661</v>
      </c>
      <c r="I29" s="9">
        <v>60</v>
      </c>
      <c r="J29" s="9">
        <v>61</v>
      </c>
      <c r="K29" s="9">
        <v>95</v>
      </c>
      <c r="L29" s="9">
        <v>8632</v>
      </c>
      <c r="M29" s="9">
        <v>77</v>
      </c>
      <c r="N29" s="12">
        <v>0.78125</v>
      </c>
      <c r="O29" s="10" t="s">
        <v>34</v>
      </c>
      <c r="P29">
        <f t="shared" si="0"/>
        <v>1</v>
      </c>
      <c r="R29">
        <f t="shared" si="1"/>
        <v>877</v>
      </c>
      <c r="S29">
        <f t="shared" si="2"/>
        <v>17.098061573546179</v>
      </c>
      <c r="T29" t="str">
        <f t="shared" si="3"/>
        <v>High</v>
      </c>
      <c r="U29">
        <f t="shared" si="4"/>
        <v>2025</v>
      </c>
      <c r="V29">
        <f t="shared" si="5"/>
        <v>9</v>
      </c>
    </row>
    <row r="30" spans="1:22" x14ac:dyDescent="0.3">
      <c r="A30" s="5" t="s">
        <v>71</v>
      </c>
      <c r="B30" s="6">
        <v>20250102</v>
      </c>
      <c r="C30" s="6" t="s">
        <v>32</v>
      </c>
      <c r="D30" s="6" t="s">
        <v>36</v>
      </c>
      <c r="E30" s="6" t="s">
        <v>46</v>
      </c>
      <c r="F30" s="6">
        <v>7543</v>
      </c>
      <c r="G30" s="6">
        <v>9925</v>
      </c>
      <c r="H30" s="6">
        <v>210</v>
      </c>
      <c r="I30" s="6">
        <v>18</v>
      </c>
      <c r="J30" s="6">
        <v>41</v>
      </c>
      <c r="K30" s="6">
        <v>10</v>
      </c>
      <c r="L30" s="6">
        <v>4809</v>
      </c>
      <c r="M30" s="6">
        <v>77</v>
      </c>
      <c r="N30" s="11">
        <v>0.38541666666666669</v>
      </c>
      <c r="O30" s="7" t="s">
        <v>49</v>
      </c>
      <c r="P30">
        <f t="shared" si="0"/>
        <v>1</v>
      </c>
      <c r="R30">
        <f t="shared" si="1"/>
        <v>279</v>
      </c>
      <c r="S30">
        <f t="shared" si="2"/>
        <v>27.035842293906811</v>
      </c>
      <c r="T30" t="str">
        <f t="shared" si="3"/>
        <v>High</v>
      </c>
      <c r="U30">
        <f t="shared" si="4"/>
        <v>2025</v>
      </c>
      <c r="V30">
        <f t="shared" si="5"/>
        <v>1</v>
      </c>
    </row>
    <row r="31" spans="1:22" x14ac:dyDescent="0.3">
      <c r="A31" s="8" t="s">
        <v>72</v>
      </c>
      <c r="B31" s="9">
        <v>20250827</v>
      </c>
      <c r="C31" s="9" t="s">
        <v>44</v>
      </c>
      <c r="D31" s="9" t="s">
        <v>33</v>
      </c>
      <c r="E31" s="9" t="s">
        <v>22</v>
      </c>
      <c r="F31" s="9">
        <v>9052</v>
      </c>
      <c r="G31" s="9">
        <v>12595</v>
      </c>
      <c r="H31" s="9">
        <v>977</v>
      </c>
      <c r="I31" s="9">
        <v>68</v>
      </c>
      <c r="J31" s="9">
        <v>104</v>
      </c>
      <c r="K31" s="9">
        <v>115</v>
      </c>
      <c r="L31" s="9">
        <v>0</v>
      </c>
      <c r="M31" s="9">
        <v>95</v>
      </c>
      <c r="N31" s="12">
        <v>0.5</v>
      </c>
      <c r="O31" s="10" t="s">
        <v>42</v>
      </c>
      <c r="P31">
        <f t="shared" si="0"/>
        <v>1</v>
      </c>
      <c r="R31">
        <f t="shared" si="1"/>
        <v>1264</v>
      </c>
      <c r="S31">
        <f t="shared" si="2"/>
        <v>7.1613924050632916</v>
      </c>
      <c r="T31" t="str">
        <f t="shared" si="3"/>
        <v>Medium</v>
      </c>
      <c r="U31">
        <f t="shared" si="4"/>
        <v>2025</v>
      </c>
      <c r="V31">
        <f t="shared" si="5"/>
        <v>8</v>
      </c>
    </row>
    <row r="32" spans="1:22" x14ac:dyDescent="0.3">
      <c r="A32" s="5" t="s">
        <v>73</v>
      </c>
      <c r="B32" s="6">
        <v>20251120</v>
      </c>
      <c r="C32" s="6" t="s">
        <v>44</v>
      </c>
      <c r="D32" s="6" t="s">
        <v>36</v>
      </c>
      <c r="E32" s="6" t="s">
        <v>18</v>
      </c>
      <c r="F32" s="6">
        <v>67966</v>
      </c>
      <c r="G32" s="6">
        <v>107812</v>
      </c>
      <c r="H32" s="6">
        <v>2007</v>
      </c>
      <c r="I32" s="6">
        <v>151</v>
      </c>
      <c r="J32" s="6">
        <v>205</v>
      </c>
      <c r="K32" s="6">
        <v>208</v>
      </c>
      <c r="L32" s="6">
        <v>0</v>
      </c>
      <c r="M32" s="6">
        <v>722</v>
      </c>
      <c r="N32" s="11">
        <v>0.375</v>
      </c>
      <c r="O32" s="7" t="s">
        <v>27</v>
      </c>
      <c r="P32">
        <f t="shared" si="0"/>
        <v>1</v>
      </c>
      <c r="R32">
        <f t="shared" si="1"/>
        <v>2571</v>
      </c>
      <c r="S32">
        <f t="shared" si="2"/>
        <v>26.435628160248932</v>
      </c>
      <c r="T32" t="str">
        <f t="shared" si="3"/>
        <v>High</v>
      </c>
      <c r="U32">
        <f t="shared" si="4"/>
        <v>2025</v>
      </c>
      <c r="V32">
        <f t="shared" si="5"/>
        <v>11</v>
      </c>
    </row>
    <row r="33" spans="1:22" x14ac:dyDescent="0.3">
      <c r="A33" s="8" t="s">
        <v>74</v>
      </c>
      <c r="B33" s="9">
        <v>20250425</v>
      </c>
      <c r="C33" s="9" t="s">
        <v>40</v>
      </c>
      <c r="D33" s="9" t="s">
        <v>61</v>
      </c>
      <c r="E33" s="9" t="s">
        <v>22</v>
      </c>
      <c r="F33" s="9">
        <v>9353</v>
      </c>
      <c r="G33" s="9">
        <v>11016</v>
      </c>
      <c r="H33" s="9">
        <v>784</v>
      </c>
      <c r="I33" s="9">
        <v>29</v>
      </c>
      <c r="J33" s="9">
        <v>46</v>
      </c>
      <c r="K33" s="9">
        <v>108</v>
      </c>
      <c r="L33" s="9">
        <v>0</v>
      </c>
      <c r="M33" s="9">
        <v>83</v>
      </c>
      <c r="N33" s="12">
        <v>0.59375</v>
      </c>
      <c r="O33" s="10" t="s">
        <v>19</v>
      </c>
      <c r="P33">
        <f t="shared" si="0"/>
        <v>1</v>
      </c>
      <c r="R33">
        <f t="shared" si="1"/>
        <v>967</v>
      </c>
      <c r="S33">
        <f t="shared" si="2"/>
        <v>9.672182006204757</v>
      </c>
      <c r="T33" t="str">
        <f t="shared" si="3"/>
        <v>Medium</v>
      </c>
      <c r="U33">
        <f t="shared" si="4"/>
        <v>2025</v>
      </c>
      <c r="V33">
        <f t="shared" si="5"/>
        <v>4</v>
      </c>
    </row>
    <row r="34" spans="1:22" x14ac:dyDescent="0.3">
      <c r="A34" s="5" t="s">
        <v>75</v>
      </c>
      <c r="B34" s="6">
        <v>20250824</v>
      </c>
      <c r="C34" s="6" t="s">
        <v>40</v>
      </c>
      <c r="D34" s="6" t="s">
        <v>61</v>
      </c>
      <c r="E34" s="6" t="s">
        <v>51</v>
      </c>
      <c r="F34" s="6">
        <v>22496</v>
      </c>
      <c r="G34" s="6">
        <v>35769</v>
      </c>
      <c r="H34" s="6">
        <v>1423</v>
      </c>
      <c r="I34" s="6">
        <v>168</v>
      </c>
      <c r="J34" s="6">
        <v>200</v>
      </c>
      <c r="K34" s="6">
        <v>71</v>
      </c>
      <c r="L34" s="6">
        <v>0</v>
      </c>
      <c r="M34" s="6">
        <v>130</v>
      </c>
      <c r="N34" s="11">
        <v>0.60416666666666663</v>
      </c>
      <c r="O34" s="7" t="s">
        <v>19</v>
      </c>
      <c r="P34">
        <f t="shared" si="0"/>
        <v>1</v>
      </c>
      <c r="R34">
        <f t="shared" si="1"/>
        <v>1862</v>
      </c>
      <c r="S34">
        <f t="shared" si="2"/>
        <v>12.081632653061224</v>
      </c>
      <c r="T34" t="str">
        <f t="shared" si="3"/>
        <v>High</v>
      </c>
      <c r="U34">
        <f t="shared" si="4"/>
        <v>2025</v>
      </c>
      <c r="V34">
        <f t="shared" si="5"/>
        <v>8</v>
      </c>
    </row>
    <row r="35" spans="1:22" x14ac:dyDescent="0.3">
      <c r="A35" s="8" t="s">
        <v>76</v>
      </c>
      <c r="B35" s="9">
        <v>20250423</v>
      </c>
      <c r="C35" s="9" t="s">
        <v>40</v>
      </c>
      <c r="D35" s="9" t="s">
        <v>68</v>
      </c>
      <c r="E35" s="9" t="s">
        <v>46</v>
      </c>
      <c r="F35" s="9">
        <v>30910</v>
      </c>
      <c r="G35" s="9">
        <v>33665</v>
      </c>
      <c r="H35" s="9">
        <v>2339</v>
      </c>
      <c r="I35" s="9">
        <v>101</v>
      </c>
      <c r="J35" s="9">
        <v>209</v>
      </c>
      <c r="K35" s="9">
        <v>149</v>
      </c>
      <c r="L35" s="9">
        <v>18182</v>
      </c>
      <c r="M35" s="9">
        <v>283</v>
      </c>
      <c r="N35" s="12">
        <v>0.72916666666666663</v>
      </c>
      <c r="O35" s="10" t="s">
        <v>34</v>
      </c>
      <c r="P35">
        <f t="shared" si="0"/>
        <v>1</v>
      </c>
      <c r="R35">
        <f t="shared" si="1"/>
        <v>2798</v>
      </c>
      <c r="S35">
        <f t="shared" si="2"/>
        <v>11.047176554681915</v>
      </c>
      <c r="T35" t="str">
        <f t="shared" si="3"/>
        <v>High</v>
      </c>
      <c r="U35">
        <f t="shared" si="4"/>
        <v>2025</v>
      </c>
      <c r="V35">
        <f t="shared" si="5"/>
        <v>4</v>
      </c>
    </row>
    <row r="36" spans="1:22" x14ac:dyDescent="0.3">
      <c r="A36" s="5" t="s">
        <v>77</v>
      </c>
      <c r="B36" s="6">
        <v>20260303</v>
      </c>
      <c r="C36" s="6" t="s">
        <v>32</v>
      </c>
      <c r="D36" s="6" t="s">
        <v>17</v>
      </c>
      <c r="E36" s="6" t="s">
        <v>41</v>
      </c>
      <c r="F36" s="6">
        <v>18524</v>
      </c>
      <c r="G36" s="6">
        <v>27524</v>
      </c>
      <c r="H36" s="6">
        <v>1147</v>
      </c>
      <c r="I36" s="6">
        <v>121</v>
      </c>
      <c r="J36" s="6">
        <v>219</v>
      </c>
      <c r="K36" s="6">
        <v>146</v>
      </c>
      <c r="L36" s="6">
        <v>14182</v>
      </c>
      <c r="M36" s="6">
        <v>261</v>
      </c>
      <c r="N36" s="11">
        <v>0.8125</v>
      </c>
      <c r="O36" s="7" t="s">
        <v>23</v>
      </c>
      <c r="P36">
        <f t="shared" si="0"/>
        <v>1</v>
      </c>
      <c r="R36">
        <f t="shared" si="1"/>
        <v>1633</v>
      </c>
      <c r="S36">
        <f t="shared" si="2"/>
        <v>11.343539497856705</v>
      </c>
      <c r="T36" t="str">
        <f t="shared" si="3"/>
        <v>High</v>
      </c>
      <c r="U36">
        <f t="shared" si="4"/>
        <v>2026</v>
      </c>
      <c r="V36">
        <f t="shared" si="5"/>
        <v>3</v>
      </c>
    </row>
    <row r="37" spans="1:22" x14ac:dyDescent="0.3">
      <c r="A37" s="8" t="s">
        <v>78</v>
      </c>
      <c r="B37" s="9">
        <v>20250922</v>
      </c>
      <c r="C37" s="9" t="s">
        <v>16</v>
      </c>
      <c r="D37" s="9" t="s">
        <v>21</v>
      </c>
      <c r="E37" s="9" t="s">
        <v>18</v>
      </c>
      <c r="F37" s="9">
        <v>11486</v>
      </c>
      <c r="G37" s="9">
        <v>15952</v>
      </c>
      <c r="H37" s="9">
        <v>811</v>
      </c>
      <c r="I37" s="9">
        <v>66</v>
      </c>
      <c r="J37" s="9">
        <v>148</v>
      </c>
      <c r="K37" s="9">
        <v>116</v>
      </c>
      <c r="L37" s="9">
        <v>0</v>
      </c>
      <c r="M37" s="9">
        <v>112</v>
      </c>
      <c r="N37" s="12">
        <v>0.875</v>
      </c>
      <c r="O37" s="10" t="s">
        <v>49</v>
      </c>
      <c r="P37">
        <f t="shared" si="0"/>
        <v>1</v>
      </c>
      <c r="R37">
        <f t="shared" si="1"/>
        <v>1141</v>
      </c>
      <c r="S37">
        <f t="shared" si="2"/>
        <v>10.06660823838738</v>
      </c>
      <c r="T37" t="str">
        <f t="shared" si="3"/>
        <v>High</v>
      </c>
      <c r="U37">
        <f t="shared" si="4"/>
        <v>2025</v>
      </c>
      <c r="V37">
        <f t="shared" si="5"/>
        <v>9</v>
      </c>
    </row>
    <row r="38" spans="1:22" x14ac:dyDescent="0.3">
      <c r="A38" s="5" t="s">
        <v>79</v>
      </c>
      <c r="B38" s="6">
        <v>20260113</v>
      </c>
      <c r="C38" s="6" t="s">
        <v>16</v>
      </c>
      <c r="D38" s="6" t="s">
        <v>33</v>
      </c>
      <c r="E38" s="6" t="s">
        <v>46</v>
      </c>
      <c r="F38" s="6">
        <v>31373</v>
      </c>
      <c r="G38" s="6">
        <v>40323</v>
      </c>
      <c r="H38" s="6">
        <v>1160</v>
      </c>
      <c r="I38" s="6">
        <v>29</v>
      </c>
      <c r="J38" s="6">
        <v>180</v>
      </c>
      <c r="K38" s="6">
        <v>148</v>
      </c>
      <c r="L38" s="6">
        <v>27089</v>
      </c>
      <c r="M38" s="6">
        <v>122</v>
      </c>
      <c r="N38" s="11">
        <v>0.94791666666666663</v>
      </c>
      <c r="O38" s="7" t="s">
        <v>38</v>
      </c>
      <c r="P38">
        <f t="shared" si="0"/>
        <v>1</v>
      </c>
      <c r="R38">
        <f t="shared" si="1"/>
        <v>1517</v>
      </c>
      <c r="S38">
        <f t="shared" si="2"/>
        <v>20.68094924192485</v>
      </c>
      <c r="T38" t="str">
        <f t="shared" si="3"/>
        <v>High</v>
      </c>
      <c r="U38">
        <f t="shared" si="4"/>
        <v>2026</v>
      </c>
      <c r="V38">
        <f t="shared" si="5"/>
        <v>1</v>
      </c>
    </row>
    <row r="39" spans="1:22" x14ac:dyDescent="0.3">
      <c r="A39" s="8" t="s">
        <v>80</v>
      </c>
      <c r="B39" s="9">
        <v>20260519</v>
      </c>
      <c r="C39" s="9" t="s">
        <v>44</v>
      </c>
      <c r="D39" s="9" t="s">
        <v>68</v>
      </c>
      <c r="E39" s="9" t="s">
        <v>18</v>
      </c>
      <c r="F39" s="9">
        <v>39335</v>
      </c>
      <c r="G39" s="9">
        <v>53457</v>
      </c>
      <c r="H39" s="9">
        <v>1613</v>
      </c>
      <c r="I39" s="9">
        <v>181</v>
      </c>
      <c r="J39" s="9">
        <v>280</v>
      </c>
      <c r="K39" s="9">
        <v>252</v>
      </c>
      <c r="L39" s="9">
        <v>0</v>
      </c>
      <c r="M39" s="9">
        <v>485</v>
      </c>
      <c r="N39" s="12">
        <v>0.66666666666666663</v>
      </c>
      <c r="O39" s="10" t="s">
        <v>30</v>
      </c>
      <c r="P39">
        <f t="shared" si="0"/>
        <v>1</v>
      </c>
      <c r="R39">
        <f t="shared" si="1"/>
        <v>2326</v>
      </c>
      <c r="S39">
        <f t="shared" si="2"/>
        <v>16.911006018916595</v>
      </c>
      <c r="T39" t="str">
        <f t="shared" si="3"/>
        <v>High</v>
      </c>
      <c r="U39">
        <f t="shared" si="4"/>
        <v>2026</v>
      </c>
      <c r="V39">
        <f t="shared" si="5"/>
        <v>5</v>
      </c>
    </row>
    <row r="40" spans="1:22" x14ac:dyDescent="0.3">
      <c r="A40" s="5" t="s">
        <v>81</v>
      </c>
      <c r="B40" s="6">
        <v>20260519</v>
      </c>
      <c r="C40" s="6" t="s">
        <v>40</v>
      </c>
      <c r="D40" s="6" t="s">
        <v>36</v>
      </c>
      <c r="E40" s="6" t="s">
        <v>41</v>
      </c>
      <c r="F40" s="6">
        <v>16907</v>
      </c>
      <c r="G40" s="6">
        <v>17975</v>
      </c>
      <c r="H40" s="6">
        <v>603</v>
      </c>
      <c r="I40" s="6">
        <v>57</v>
      </c>
      <c r="J40" s="6">
        <v>120</v>
      </c>
      <c r="K40" s="6">
        <v>47</v>
      </c>
      <c r="L40" s="6">
        <v>14593</v>
      </c>
      <c r="M40" s="6">
        <v>184</v>
      </c>
      <c r="N40" s="11">
        <v>0.94791666666666663</v>
      </c>
      <c r="O40" s="7" t="s">
        <v>42</v>
      </c>
      <c r="P40">
        <f t="shared" si="0"/>
        <v>1</v>
      </c>
      <c r="R40">
        <f t="shared" si="1"/>
        <v>827</v>
      </c>
      <c r="S40">
        <f t="shared" si="2"/>
        <v>20.443772672309553</v>
      </c>
      <c r="T40" t="str">
        <f t="shared" si="3"/>
        <v>High</v>
      </c>
      <c r="U40">
        <f t="shared" si="4"/>
        <v>2026</v>
      </c>
      <c r="V40">
        <f t="shared" si="5"/>
        <v>5</v>
      </c>
    </row>
    <row r="41" spans="1:22" x14ac:dyDescent="0.3">
      <c r="A41" s="8" t="s">
        <v>82</v>
      </c>
      <c r="B41" s="9">
        <v>20260211</v>
      </c>
      <c r="C41" s="9" t="s">
        <v>44</v>
      </c>
      <c r="D41" s="9" t="s">
        <v>68</v>
      </c>
      <c r="E41" s="9" t="s">
        <v>41</v>
      </c>
      <c r="F41" s="9">
        <v>36373</v>
      </c>
      <c r="G41" s="9">
        <v>44431</v>
      </c>
      <c r="H41" s="9">
        <v>3162</v>
      </c>
      <c r="I41" s="9">
        <v>215</v>
      </c>
      <c r="J41" s="9">
        <v>509</v>
      </c>
      <c r="K41" s="9">
        <v>433</v>
      </c>
      <c r="L41" s="9">
        <v>24324</v>
      </c>
      <c r="M41" s="9">
        <v>549</v>
      </c>
      <c r="N41" s="12">
        <v>0.92708333333333337</v>
      </c>
      <c r="O41" s="10" t="s">
        <v>19</v>
      </c>
      <c r="P41">
        <f t="shared" si="0"/>
        <v>1</v>
      </c>
      <c r="R41">
        <f t="shared" si="1"/>
        <v>4319</v>
      </c>
      <c r="S41">
        <f t="shared" si="2"/>
        <v>8.421625376244501</v>
      </c>
      <c r="T41" t="str">
        <f t="shared" si="3"/>
        <v>Medium</v>
      </c>
      <c r="U41">
        <f t="shared" si="4"/>
        <v>2026</v>
      </c>
      <c r="V41">
        <f t="shared" si="5"/>
        <v>2</v>
      </c>
    </row>
    <row r="42" spans="1:22" x14ac:dyDescent="0.3">
      <c r="A42" s="5" t="s">
        <v>83</v>
      </c>
      <c r="B42" s="6">
        <v>20260505</v>
      </c>
      <c r="C42" s="6" t="s">
        <v>40</v>
      </c>
      <c r="D42" s="6" t="s">
        <v>29</v>
      </c>
      <c r="E42" s="6" t="s">
        <v>41</v>
      </c>
      <c r="F42" s="6">
        <v>22637</v>
      </c>
      <c r="G42" s="6">
        <v>30842</v>
      </c>
      <c r="H42" s="6">
        <v>852</v>
      </c>
      <c r="I42" s="6">
        <v>82</v>
      </c>
      <c r="J42" s="6">
        <v>37</v>
      </c>
      <c r="K42" s="6">
        <v>87</v>
      </c>
      <c r="L42" s="6">
        <v>11635</v>
      </c>
      <c r="M42" s="6">
        <v>382</v>
      </c>
      <c r="N42" s="11">
        <v>0.40625</v>
      </c>
      <c r="O42" s="7" t="s">
        <v>53</v>
      </c>
      <c r="P42">
        <f t="shared" si="0"/>
        <v>1</v>
      </c>
      <c r="R42">
        <f t="shared" si="1"/>
        <v>1058</v>
      </c>
      <c r="S42">
        <f t="shared" si="2"/>
        <v>21.39603024574669</v>
      </c>
      <c r="T42" t="str">
        <f t="shared" si="3"/>
        <v>High</v>
      </c>
      <c r="U42">
        <f t="shared" si="4"/>
        <v>2026</v>
      </c>
      <c r="V42">
        <f t="shared" si="5"/>
        <v>5</v>
      </c>
    </row>
    <row r="43" spans="1:22" x14ac:dyDescent="0.3">
      <c r="A43" s="8" t="s">
        <v>84</v>
      </c>
      <c r="B43" s="9">
        <v>20250616</v>
      </c>
      <c r="C43" s="9" t="s">
        <v>40</v>
      </c>
      <c r="D43" s="9" t="s">
        <v>17</v>
      </c>
      <c r="E43" s="9" t="s">
        <v>51</v>
      </c>
      <c r="F43" s="9">
        <v>15013</v>
      </c>
      <c r="G43" s="9">
        <v>20606</v>
      </c>
      <c r="H43" s="9">
        <v>1222</v>
      </c>
      <c r="I43" s="9">
        <v>105</v>
      </c>
      <c r="J43" s="9">
        <v>43</v>
      </c>
      <c r="K43" s="9">
        <v>154</v>
      </c>
      <c r="L43" s="9">
        <v>0</v>
      </c>
      <c r="M43" s="9">
        <v>155</v>
      </c>
      <c r="N43" s="12">
        <v>0.48958333333333331</v>
      </c>
      <c r="O43" s="10"/>
      <c r="P43">
        <f t="shared" si="0"/>
        <v>1</v>
      </c>
      <c r="R43">
        <f t="shared" si="1"/>
        <v>1524</v>
      </c>
      <c r="S43">
        <f t="shared" si="2"/>
        <v>9.8510498687664043</v>
      </c>
      <c r="T43" t="str">
        <f t="shared" si="3"/>
        <v>Medium</v>
      </c>
      <c r="U43">
        <f t="shared" si="4"/>
        <v>2025</v>
      </c>
      <c r="V43">
        <f t="shared" si="5"/>
        <v>6</v>
      </c>
    </row>
    <row r="44" spans="1:22" x14ac:dyDescent="0.3">
      <c r="A44" s="5" t="s">
        <v>85</v>
      </c>
      <c r="B44" s="6">
        <v>20250811</v>
      </c>
      <c r="C44" s="6" t="s">
        <v>32</v>
      </c>
      <c r="D44" s="6" t="s">
        <v>61</v>
      </c>
      <c r="E44" s="6" t="s">
        <v>46</v>
      </c>
      <c r="F44" s="6">
        <v>25104</v>
      </c>
      <c r="G44" s="6">
        <v>29472</v>
      </c>
      <c r="H44" s="6">
        <v>945</v>
      </c>
      <c r="I44" s="6">
        <v>95</v>
      </c>
      <c r="J44" s="6">
        <v>44</v>
      </c>
      <c r="K44" s="6">
        <v>145</v>
      </c>
      <c r="L44" s="6">
        <v>15005</v>
      </c>
      <c r="M44" s="6">
        <v>62</v>
      </c>
      <c r="N44" s="11">
        <v>0.94791666666666663</v>
      </c>
      <c r="O44" s="7" t="s">
        <v>38</v>
      </c>
      <c r="P44">
        <f t="shared" si="0"/>
        <v>1</v>
      </c>
      <c r="R44">
        <f t="shared" si="1"/>
        <v>1229</v>
      </c>
      <c r="S44">
        <f t="shared" si="2"/>
        <v>20.426362896663953</v>
      </c>
      <c r="T44" t="str">
        <f t="shared" si="3"/>
        <v>High</v>
      </c>
      <c r="U44">
        <f t="shared" si="4"/>
        <v>2025</v>
      </c>
      <c r="V44">
        <f t="shared" si="5"/>
        <v>8</v>
      </c>
    </row>
    <row r="45" spans="1:22" x14ac:dyDescent="0.3">
      <c r="A45" s="8" t="s">
        <v>86</v>
      </c>
      <c r="B45" s="9">
        <v>20260605</v>
      </c>
      <c r="C45" s="9" t="s">
        <v>16</v>
      </c>
      <c r="D45" s="9" t="s">
        <v>33</v>
      </c>
      <c r="E45" s="9" t="s">
        <v>46</v>
      </c>
      <c r="F45" s="9">
        <v>53325</v>
      </c>
      <c r="G45" s="9">
        <v>77205</v>
      </c>
      <c r="H45" s="9">
        <v>2824</v>
      </c>
      <c r="I45" s="9">
        <v>190</v>
      </c>
      <c r="J45" s="9">
        <v>510</v>
      </c>
      <c r="K45" s="9">
        <v>186</v>
      </c>
      <c r="L45" s="9">
        <v>35914</v>
      </c>
      <c r="M45" s="9">
        <v>381</v>
      </c>
      <c r="N45" s="12">
        <v>0.94791666666666663</v>
      </c>
      <c r="O45" s="10" t="s">
        <v>53</v>
      </c>
      <c r="P45">
        <f t="shared" si="0"/>
        <v>1</v>
      </c>
      <c r="R45">
        <f t="shared" si="1"/>
        <v>3710</v>
      </c>
      <c r="S45">
        <f t="shared" si="2"/>
        <v>14.373315363881401</v>
      </c>
      <c r="T45" t="str">
        <f t="shared" si="3"/>
        <v>High</v>
      </c>
      <c r="U45">
        <f t="shared" si="4"/>
        <v>2026</v>
      </c>
      <c r="V45">
        <f t="shared" si="5"/>
        <v>6</v>
      </c>
    </row>
    <row r="46" spans="1:22" x14ac:dyDescent="0.3">
      <c r="A46" s="5" t="s">
        <v>87</v>
      </c>
      <c r="B46" s="6">
        <v>20260731</v>
      </c>
      <c r="C46" s="6" t="s">
        <v>16</v>
      </c>
      <c r="D46" s="6" t="s">
        <v>21</v>
      </c>
      <c r="E46" s="6" t="s">
        <v>26</v>
      </c>
      <c r="F46" s="6">
        <v>23767</v>
      </c>
      <c r="G46" s="6">
        <v>30745</v>
      </c>
      <c r="H46" s="6">
        <v>1935</v>
      </c>
      <c r="I46" s="6">
        <v>157</v>
      </c>
      <c r="J46" s="6">
        <v>65</v>
      </c>
      <c r="K46" s="6">
        <v>102</v>
      </c>
      <c r="L46" s="6">
        <v>15636</v>
      </c>
      <c r="M46" s="6">
        <v>70</v>
      </c>
      <c r="N46" s="11">
        <v>0.44791666666666669</v>
      </c>
      <c r="O46" s="7" t="s">
        <v>53</v>
      </c>
      <c r="P46">
        <f t="shared" si="0"/>
        <v>1</v>
      </c>
      <c r="R46">
        <f t="shared" si="1"/>
        <v>2259</v>
      </c>
      <c r="S46">
        <f t="shared" si="2"/>
        <v>10.521027003098716</v>
      </c>
      <c r="T46" t="str">
        <f t="shared" si="3"/>
        <v>High</v>
      </c>
      <c r="U46">
        <f t="shared" si="4"/>
        <v>2026</v>
      </c>
      <c r="V46">
        <f t="shared" si="5"/>
        <v>7</v>
      </c>
    </row>
    <row r="47" spans="1:22" x14ac:dyDescent="0.3">
      <c r="A47" s="8" t="s">
        <v>88</v>
      </c>
      <c r="B47" s="9">
        <v>20251204</v>
      </c>
      <c r="C47" s="9" t="s">
        <v>25</v>
      </c>
      <c r="D47" s="9" t="s">
        <v>17</v>
      </c>
      <c r="E47" s="9" t="s">
        <v>26</v>
      </c>
      <c r="F47" s="9">
        <v>6906</v>
      </c>
      <c r="G47" s="9">
        <v>7889</v>
      </c>
      <c r="H47" s="9">
        <v>411</v>
      </c>
      <c r="I47" s="9">
        <v>30</v>
      </c>
      <c r="J47" s="9">
        <v>58</v>
      </c>
      <c r="K47" s="9">
        <v>64</v>
      </c>
      <c r="L47" s="9">
        <v>3947</v>
      </c>
      <c r="M47" s="9">
        <v>30</v>
      </c>
      <c r="N47" s="12">
        <v>0.65625</v>
      </c>
      <c r="O47" s="10" t="s">
        <v>19</v>
      </c>
      <c r="P47">
        <f t="shared" si="0"/>
        <v>1</v>
      </c>
      <c r="R47">
        <f t="shared" si="1"/>
        <v>563</v>
      </c>
      <c r="S47">
        <f t="shared" si="2"/>
        <v>12.266429840142095</v>
      </c>
      <c r="T47" t="str">
        <f t="shared" si="3"/>
        <v>High</v>
      </c>
      <c r="U47">
        <f t="shared" si="4"/>
        <v>2025</v>
      </c>
      <c r="V47">
        <f t="shared" si="5"/>
        <v>12</v>
      </c>
    </row>
    <row r="48" spans="1:22" x14ac:dyDescent="0.3">
      <c r="A48" s="5" t="s">
        <v>89</v>
      </c>
      <c r="B48" s="6">
        <v>20251106</v>
      </c>
      <c r="C48" s="6" t="s">
        <v>44</v>
      </c>
      <c r="D48" s="6" t="s">
        <v>36</v>
      </c>
      <c r="E48" s="6" t="s">
        <v>51</v>
      </c>
      <c r="F48" s="6">
        <v>46659</v>
      </c>
      <c r="G48" s="6">
        <v>55046</v>
      </c>
      <c r="H48" s="6">
        <v>4348</v>
      </c>
      <c r="I48" s="6">
        <v>414</v>
      </c>
      <c r="J48" s="6">
        <v>585</v>
      </c>
      <c r="K48" s="6">
        <v>352</v>
      </c>
      <c r="L48" s="6">
        <v>0</v>
      </c>
      <c r="M48" s="6">
        <v>776</v>
      </c>
      <c r="N48" s="11">
        <v>0.34375</v>
      </c>
      <c r="O48" s="7" t="s">
        <v>47</v>
      </c>
      <c r="P48">
        <f t="shared" si="0"/>
        <v>1</v>
      </c>
      <c r="R48">
        <f t="shared" si="1"/>
        <v>5699</v>
      </c>
      <c r="S48">
        <f t="shared" si="2"/>
        <v>8.1872258290928226</v>
      </c>
      <c r="T48" t="str">
        <f t="shared" si="3"/>
        <v>Medium</v>
      </c>
      <c r="U48">
        <f t="shared" si="4"/>
        <v>2025</v>
      </c>
      <c r="V48">
        <f t="shared" si="5"/>
        <v>11</v>
      </c>
    </row>
    <row r="49" spans="1:22" x14ac:dyDescent="0.3">
      <c r="A49" s="8" t="s">
        <v>90</v>
      </c>
      <c r="B49" s="9">
        <v>20260926</v>
      </c>
      <c r="C49" s="9" t="s">
        <v>16</v>
      </c>
      <c r="D49" s="9" t="s">
        <v>29</v>
      </c>
      <c r="E49" s="9" t="s">
        <v>46</v>
      </c>
      <c r="F49" s="9">
        <v>14720</v>
      </c>
      <c r="G49" s="9">
        <v>23989</v>
      </c>
      <c r="H49" s="9">
        <v>1507</v>
      </c>
      <c r="I49" s="9">
        <v>48</v>
      </c>
      <c r="J49" s="9">
        <v>93</v>
      </c>
      <c r="K49" s="9">
        <v>228</v>
      </c>
      <c r="L49" s="9">
        <v>13046</v>
      </c>
      <c r="M49" s="9">
        <v>136</v>
      </c>
      <c r="N49" s="12">
        <v>0.64583333333333337</v>
      </c>
      <c r="O49" s="10" t="s">
        <v>19</v>
      </c>
      <c r="P49">
        <f t="shared" si="0"/>
        <v>1</v>
      </c>
      <c r="R49">
        <f t="shared" si="1"/>
        <v>1876</v>
      </c>
      <c r="S49">
        <f t="shared" si="2"/>
        <v>7.8464818763326223</v>
      </c>
      <c r="T49" t="str">
        <f t="shared" si="3"/>
        <v>Medium</v>
      </c>
      <c r="U49">
        <f t="shared" si="4"/>
        <v>2026</v>
      </c>
      <c r="V49">
        <f t="shared" si="5"/>
        <v>9</v>
      </c>
    </row>
    <row r="50" spans="1:22" x14ac:dyDescent="0.3">
      <c r="A50" s="5" t="s">
        <v>91</v>
      </c>
      <c r="B50" s="6">
        <v>20251231</v>
      </c>
      <c r="C50" s="6" t="s">
        <v>40</v>
      </c>
      <c r="D50" s="6" t="s">
        <v>17</v>
      </c>
      <c r="E50" s="6" t="s">
        <v>46</v>
      </c>
      <c r="F50" s="6">
        <v>66908</v>
      </c>
      <c r="G50" s="6">
        <v>70941</v>
      </c>
      <c r="H50" s="6">
        <v>3153</v>
      </c>
      <c r="I50" s="6">
        <v>333</v>
      </c>
      <c r="J50" s="6">
        <v>589</v>
      </c>
      <c r="K50" s="6">
        <v>497</v>
      </c>
      <c r="L50" s="6">
        <v>37076</v>
      </c>
      <c r="M50" s="6">
        <v>950</v>
      </c>
      <c r="N50" s="11">
        <v>0.80208333333333337</v>
      </c>
      <c r="O50" s="7" t="s">
        <v>19</v>
      </c>
      <c r="P50">
        <f t="shared" si="0"/>
        <v>1</v>
      </c>
      <c r="R50">
        <f t="shared" si="1"/>
        <v>4572</v>
      </c>
      <c r="S50">
        <f t="shared" si="2"/>
        <v>14.63429571303587</v>
      </c>
      <c r="T50" t="str">
        <f t="shared" si="3"/>
        <v>High</v>
      </c>
      <c r="U50">
        <f t="shared" si="4"/>
        <v>2025</v>
      </c>
      <c r="V50">
        <f t="shared" si="5"/>
        <v>12</v>
      </c>
    </row>
    <row r="51" spans="1:22" x14ac:dyDescent="0.3">
      <c r="A51" s="8" t="s">
        <v>92</v>
      </c>
      <c r="B51" s="9">
        <v>20260802</v>
      </c>
      <c r="C51" s="9" t="s">
        <v>40</v>
      </c>
      <c r="D51" s="9" t="s">
        <v>17</v>
      </c>
      <c r="E51" s="9" t="s">
        <v>41</v>
      </c>
      <c r="F51" s="9">
        <v>50411</v>
      </c>
      <c r="G51" s="9">
        <v>62353</v>
      </c>
      <c r="H51" s="9">
        <v>4113</v>
      </c>
      <c r="I51" s="9">
        <v>325</v>
      </c>
      <c r="J51" s="9">
        <v>815</v>
      </c>
      <c r="K51" s="9">
        <v>350</v>
      </c>
      <c r="L51" s="9">
        <v>43516</v>
      </c>
      <c r="M51" s="9">
        <v>418</v>
      </c>
      <c r="N51" s="12">
        <v>0.83333333333333337</v>
      </c>
      <c r="O51" s="10" t="s">
        <v>27</v>
      </c>
      <c r="P51">
        <f t="shared" si="0"/>
        <v>1</v>
      </c>
      <c r="R51">
        <f t="shared" si="1"/>
        <v>5603</v>
      </c>
      <c r="S51">
        <f t="shared" si="2"/>
        <v>8.9971443869355703</v>
      </c>
      <c r="T51" t="str">
        <f t="shared" si="3"/>
        <v>Medium</v>
      </c>
      <c r="U51">
        <f t="shared" si="4"/>
        <v>2026</v>
      </c>
      <c r="V51">
        <f t="shared" si="5"/>
        <v>8</v>
      </c>
    </row>
    <row r="52" spans="1:22" x14ac:dyDescent="0.3">
      <c r="A52" s="5" t="s">
        <v>93</v>
      </c>
      <c r="B52" s="6">
        <v>20250115</v>
      </c>
      <c r="C52" s="6" t="s">
        <v>40</v>
      </c>
      <c r="D52" s="6" t="s">
        <v>17</v>
      </c>
      <c r="E52" s="6" t="s">
        <v>41</v>
      </c>
      <c r="F52" s="6">
        <v>23601</v>
      </c>
      <c r="G52" s="6">
        <v>32562</v>
      </c>
      <c r="H52" s="6">
        <v>1800</v>
      </c>
      <c r="I52" s="6">
        <v>189</v>
      </c>
      <c r="J52" s="6">
        <v>79</v>
      </c>
      <c r="K52" s="6">
        <v>147</v>
      </c>
      <c r="L52" s="6">
        <v>14469</v>
      </c>
      <c r="M52" s="6">
        <v>42</v>
      </c>
      <c r="N52" s="11">
        <v>0.83333333333333337</v>
      </c>
      <c r="O52" s="7" t="s">
        <v>30</v>
      </c>
      <c r="P52">
        <f t="shared" si="0"/>
        <v>1</v>
      </c>
      <c r="R52">
        <f t="shared" si="1"/>
        <v>2215</v>
      </c>
      <c r="S52">
        <f t="shared" si="2"/>
        <v>10.655079006772009</v>
      </c>
      <c r="T52" t="str">
        <f t="shared" si="3"/>
        <v>High</v>
      </c>
      <c r="U52">
        <f t="shared" si="4"/>
        <v>2025</v>
      </c>
      <c r="V52">
        <f t="shared" si="5"/>
        <v>1</v>
      </c>
    </row>
    <row r="53" spans="1:22" x14ac:dyDescent="0.3">
      <c r="A53" s="8" t="s">
        <v>94</v>
      </c>
      <c r="B53" s="9">
        <v>20260904</v>
      </c>
      <c r="C53" s="9" t="s">
        <v>16</v>
      </c>
      <c r="D53" s="9" t="s">
        <v>61</v>
      </c>
      <c r="E53" s="9" t="s">
        <v>46</v>
      </c>
      <c r="F53" s="9">
        <v>27063</v>
      </c>
      <c r="G53" s="9">
        <v>34417</v>
      </c>
      <c r="H53" s="9">
        <v>1998</v>
      </c>
      <c r="I53" s="9">
        <v>245</v>
      </c>
      <c r="J53" s="9">
        <v>88</v>
      </c>
      <c r="K53" s="9">
        <v>141</v>
      </c>
      <c r="L53" s="9">
        <v>22581</v>
      </c>
      <c r="M53" s="9">
        <v>195</v>
      </c>
      <c r="N53" s="12">
        <v>0.5625</v>
      </c>
      <c r="O53" s="10" t="s">
        <v>27</v>
      </c>
      <c r="P53">
        <f t="shared" si="0"/>
        <v>1</v>
      </c>
      <c r="R53">
        <f t="shared" si="1"/>
        <v>2472</v>
      </c>
      <c r="S53">
        <f t="shared" si="2"/>
        <v>10.947815533980583</v>
      </c>
      <c r="T53" t="str">
        <f t="shared" si="3"/>
        <v>High</v>
      </c>
      <c r="U53">
        <f t="shared" si="4"/>
        <v>2026</v>
      </c>
      <c r="V53">
        <f t="shared" si="5"/>
        <v>9</v>
      </c>
    </row>
    <row r="54" spans="1:22" x14ac:dyDescent="0.3">
      <c r="A54" s="5" t="s">
        <v>95</v>
      </c>
      <c r="B54" s="6">
        <v>20251016</v>
      </c>
      <c r="C54" s="6" t="s">
        <v>16</v>
      </c>
      <c r="D54" s="6" t="s">
        <v>68</v>
      </c>
      <c r="E54" s="6" t="s">
        <v>18</v>
      </c>
      <c r="F54" s="6">
        <v>21905</v>
      </c>
      <c r="G54" s="6">
        <v>28214</v>
      </c>
      <c r="H54" s="6">
        <v>1282</v>
      </c>
      <c r="I54" s="6">
        <v>43</v>
      </c>
      <c r="J54" s="6">
        <v>154</v>
      </c>
      <c r="K54" s="6">
        <v>192</v>
      </c>
      <c r="L54" s="6">
        <v>0</v>
      </c>
      <c r="M54" s="6">
        <v>111</v>
      </c>
      <c r="N54" s="11">
        <v>0.32291666666666669</v>
      </c>
      <c r="O54" s="7" t="s">
        <v>23</v>
      </c>
      <c r="P54">
        <f t="shared" si="0"/>
        <v>1</v>
      </c>
      <c r="R54">
        <f t="shared" si="1"/>
        <v>1671</v>
      </c>
      <c r="S54">
        <f t="shared" si="2"/>
        <v>13.108916816277677</v>
      </c>
      <c r="T54" t="str">
        <f t="shared" si="3"/>
        <v>High</v>
      </c>
      <c r="U54">
        <f t="shared" si="4"/>
        <v>2025</v>
      </c>
      <c r="V54">
        <f t="shared" si="5"/>
        <v>10</v>
      </c>
    </row>
    <row r="55" spans="1:22" x14ac:dyDescent="0.3">
      <c r="A55" s="8" t="s">
        <v>96</v>
      </c>
      <c r="B55" s="9">
        <v>20260128</v>
      </c>
      <c r="C55" s="9" t="s">
        <v>40</v>
      </c>
      <c r="D55" s="9" t="s">
        <v>21</v>
      </c>
      <c r="E55" s="9" t="s">
        <v>18</v>
      </c>
      <c r="F55" s="9">
        <v>33818</v>
      </c>
      <c r="G55" s="9">
        <v>47103</v>
      </c>
      <c r="H55" s="9">
        <v>909</v>
      </c>
      <c r="I55" s="9">
        <v>121</v>
      </c>
      <c r="J55" s="9">
        <v>70</v>
      </c>
      <c r="K55" s="9">
        <v>122</v>
      </c>
      <c r="L55" s="9">
        <v>0</v>
      </c>
      <c r="M55" s="9">
        <v>116</v>
      </c>
      <c r="N55" s="12">
        <v>0.69791666666666663</v>
      </c>
      <c r="O55" s="10" t="s">
        <v>34</v>
      </c>
      <c r="P55">
        <f t="shared" si="0"/>
        <v>1</v>
      </c>
      <c r="R55">
        <f t="shared" si="1"/>
        <v>1222</v>
      </c>
      <c r="S55">
        <f t="shared" si="2"/>
        <v>27.674304418985269</v>
      </c>
      <c r="T55" t="str">
        <f t="shared" si="3"/>
        <v>High</v>
      </c>
      <c r="U55">
        <f t="shared" si="4"/>
        <v>2026</v>
      </c>
      <c r="V55">
        <f t="shared" si="5"/>
        <v>1</v>
      </c>
    </row>
    <row r="56" spans="1:22" x14ac:dyDescent="0.3">
      <c r="A56" s="5" t="s">
        <v>97</v>
      </c>
      <c r="B56" s="6">
        <v>20250817</v>
      </c>
      <c r="C56" s="6" t="s">
        <v>40</v>
      </c>
      <c r="D56" s="6" t="s">
        <v>33</v>
      </c>
      <c r="E56" s="6" t="s">
        <v>41</v>
      </c>
      <c r="F56" s="6">
        <v>14778</v>
      </c>
      <c r="G56" s="6">
        <v>23855</v>
      </c>
      <c r="H56" s="6">
        <v>675</v>
      </c>
      <c r="I56" s="6">
        <v>42</v>
      </c>
      <c r="J56" s="6">
        <v>37</v>
      </c>
      <c r="K56" s="6">
        <v>28</v>
      </c>
      <c r="L56" s="6">
        <v>8368</v>
      </c>
      <c r="M56" s="6">
        <v>159</v>
      </c>
      <c r="N56" s="11">
        <v>0.85416666666666663</v>
      </c>
      <c r="O56" s="7" t="s">
        <v>34</v>
      </c>
      <c r="P56">
        <f t="shared" si="0"/>
        <v>1</v>
      </c>
      <c r="R56">
        <f t="shared" si="1"/>
        <v>782</v>
      </c>
      <c r="S56">
        <f t="shared" si="2"/>
        <v>18.897698209718669</v>
      </c>
      <c r="T56" t="str">
        <f t="shared" si="3"/>
        <v>High</v>
      </c>
      <c r="U56">
        <f t="shared" si="4"/>
        <v>2025</v>
      </c>
      <c r="V56">
        <f t="shared" si="5"/>
        <v>8</v>
      </c>
    </row>
    <row r="57" spans="1:22" x14ac:dyDescent="0.3">
      <c r="A57" s="8" t="s">
        <v>98</v>
      </c>
      <c r="B57" s="9">
        <v>20260127</v>
      </c>
      <c r="C57" s="9" t="s">
        <v>44</v>
      </c>
      <c r="D57" s="9" t="s">
        <v>21</v>
      </c>
      <c r="E57" s="9" t="s">
        <v>46</v>
      </c>
      <c r="F57" s="9">
        <v>36658</v>
      </c>
      <c r="G57" s="9">
        <v>57421</v>
      </c>
      <c r="H57" s="9">
        <v>2128</v>
      </c>
      <c r="I57" s="9">
        <v>196</v>
      </c>
      <c r="J57" s="9">
        <v>346</v>
      </c>
      <c r="K57" s="9">
        <v>44</v>
      </c>
      <c r="L57" s="9">
        <v>24270</v>
      </c>
      <c r="M57" s="9">
        <v>159</v>
      </c>
      <c r="N57" s="12">
        <v>0.75</v>
      </c>
      <c r="O57" s="10" t="s">
        <v>38</v>
      </c>
      <c r="P57">
        <f t="shared" si="0"/>
        <v>1</v>
      </c>
      <c r="R57">
        <f t="shared" si="1"/>
        <v>2714</v>
      </c>
      <c r="S57">
        <f t="shared" si="2"/>
        <v>13.507000736919675</v>
      </c>
      <c r="T57" t="str">
        <f t="shared" si="3"/>
        <v>High</v>
      </c>
      <c r="U57">
        <f t="shared" si="4"/>
        <v>2026</v>
      </c>
      <c r="V57">
        <f t="shared" si="5"/>
        <v>1</v>
      </c>
    </row>
    <row r="58" spans="1:22" x14ac:dyDescent="0.3">
      <c r="A58" s="5" t="s">
        <v>99</v>
      </c>
      <c r="B58" s="6">
        <v>20260422</v>
      </c>
      <c r="C58" s="6" t="s">
        <v>32</v>
      </c>
      <c r="D58" s="6" t="s">
        <v>61</v>
      </c>
      <c r="E58" s="6" t="s">
        <v>18</v>
      </c>
      <c r="F58" s="6">
        <v>9802</v>
      </c>
      <c r="G58" s="6">
        <v>11299</v>
      </c>
      <c r="H58" s="6">
        <v>351</v>
      </c>
      <c r="I58" s="6">
        <v>41</v>
      </c>
      <c r="J58" s="6">
        <v>56</v>
      </c>
      <c r="K58" s="6">
        <v>28</v>
      </c>
      <c r="L58" s="6">
        <v>0</v>
      </c>
      <c r="M58" s="6">
        <v>69</v>
      </c>
      <c r="N58" s="11">
        <v>0.51041666666666663</v>
      </c>
      <c r="O58" s="7" t="s">
        <v>23</v>
      </c>
      <c r="P58">
        <f t="shared" si="0"/>
        <v>1</v>
      </c>
      <c r="R58">
        <f t="shared" si="1"/>
        <v>476</v>
      </c>
      <c r="S58">
        <f t="shared" si="2"/>
        <v>20.592436974789916</v>
      </c>
      <c r="T58" t="str">
        <f t="shared" si="3"/>
        <v>High</v>
      </c>
      <c r="U58">
        <f t="shared" si="4"/>
        <v>2026</v>
      </c>
      <c r="V58">
        <f t="shared" si="5"/>
        <v>4</v>
      </c>
    </row>
    <row r="59" spans="1:22" x14ac:dyDescent="0.3">
      <c r="A59" s="8" t="s">
        <v>100</v>
      </c>
      <c r="B59" s="9">
        <v>20250825</v>
      </c>
      <c r="C59" s="9" t="s">
        <v>44</v>
      </c>
      <c r="D59" s="9" t="s">
        <v>21</v>
      </c>
      <c r="E59" s="9" t="s">
        <v>46</v>
      </c>
      <c r="F59" s="9">
        <v>44943</v>
      </c>
      <c r="G59" s="9">
        <v>58814</v>
      </c>
      <c r="H59" s="9">
        <v>1319</v>
      </c>
      <c r="I59" s="9">
        <v>104</v>
      </c>
      <c r="J59" s="9">
        <v>157</v>
      </c>
      <c r="K59" s="9">
        <v>168</v>
      </c>
      <c r="L59" s="9">
        <v>24181</v>
      </c>
      <c r="M59" s="9">
        <v>139</v>
      </c>
      <c r="N59" s="12">
        <v>0.77083333333333337</v>
      </c>
      <c r="O59" s="10" t="s">
        <v>27</v>
      </c>
      <c r="P59">
        <f t="shared" si="0"/>
        <v>1</v>
      </c>
      <c r="R59">
        <f t="shared" si="1"/>
        <v>1748</v>
      </c>
      <c r="S59">
        <f t="shared" si="2"/>
        <v>25.711098398169337</v>
      </c>
      <c r="T59" t="str">
        <f t="shared" si="3"/>
        <v>High</v>
      </c>
      <c r="U59">
        <f t="shared" si="4"/>
        <v>2025</v>
      </c>
      <c r="V59">
        <f t="shared" si="5"/>
        <v>8</v>
      </c>
    </row>
    <row r="60" spans="1:22" x14ac:dyDescent="0.3">
      <c r="A60" s="5" t="s">
        <v>101</v>
      </c>
      <c r="B60" s="6">
        <v>20250819</v>
      </c>
      <c r="C60" s="6" t="s">
        <v>16</v>
      </c>
      <c r="D60" s="6" t="s">
        <v>17</v>
      </c>
      <c r="E60" s="6" t="s">
        <v>41</v>
      </c>
      <c r="F60" s="6">
        <v>69183</v>
      </c>
      <c r="G60" s="6">
        <v>87864</v>
      </c>
      <c r="H60" s="6">
        <v>7727</v>
      </c>
      <c r="I60" s="6">
        <v>520</v>
      </c>
      <c r="J60" s="6">
        <v>1413</v>
      </c>
      <c r="K60" s="6">
        <v>1051</v>
      </c>
      <c r="L60" s="6">
        <v>36264</v>
      </c>
      <c r="M60" s="6">
        <v>988</v>
      </c>
      <c r="N60" s="11">
        <v>0.82291666666666663</v>
      </c>
      <c r="O60" s="7" t="s">
        <v>38</v>
      </c>
      <c r="P60">
        <f t="shared" si="0"/>
        <v>1</v>
      </c>
      <c r="R60">
        <f t="shared" si="1"/>
        <v>10711</v>
      </c>
      <c r="S60">
        <f t="shared" si="2"/>
        <v>6.4590607786387828</v>
      </c>
      <c r="T60" t="str">
        <f t="shared" si="3"/>
        <v>Medium</v>
      </c>
      <c r="U60">
        <f t="shared" si="4"/>
        <v>2025</v>
      </c>
      <c r="V60">
        <f t="shared" si="5"/>
        <v>8</v>
      </c>
    </row>
    <row r="61" spans="1:22" x14ac:dyDescent="0.3">
      <c r="A61" s="8" t="s">
        <v>102</v>
      </c>
      <c r="B61" s="9">
        <v>20251028</v>
      </c>
      <c r="C61" s="9" t="s">
        <v>44</v>
      </c>
      <c r="D61" s="9" t="s">
        <v>68</v>
      </c>
      <c r="E61" s="9" t="s">
        <v>18</v>
      </c>
      <c r="F61" s="9">
        <v>24792</v>
      </c>
      <c r="G61" s="9">
        <v>31748</v>
      </c>
      <c r="H61" s="9">
        <v>1413</v>
      </c>
      <c r="I61" s="9">
        <v>135</v>
      </c>
      <c r="J61" s="9">
        <v>44</v>
      </c>
      <c r="K61" s="9">
        <v>185</v>
      </c>
      <c r="L61" s="9">
        <v>0</v>
      </c>
      <c r="M61" s="9">
        <v>293</v>
      </c>
      <c r="N61" s="12">
        <v>0.375</v>
      </c>
      <c r="O61" s="10" t="s">
        <v>42</v>
      </c>
      <c r="P61">
        <f t="shared" si="0"/>
        <v>1</v>
      </c>
      <c r="R61">
        <f t="shared" si="1"/>
        <v>1777</v>
      </c>
      <c r="S61">
        <f t="shared" si="2"/>
        <v>13.95160382667417</v>
      </c>
      <c r="T61" t="str">
        <f t="shared" si="3"/>
        <v>High</v>
      </c>
      <c r="U61">
        <f t="shared" si="4"/>
        <v>2025</v>
      </c>
      <c r="V61">
        <f t="shared" si="5"/>
        <v>10</v>
      </c>
    </row>
    <row r="62" spans="1:22" x14ac:dyDescent="0.3">
      <c r="A62" s="5" t="s">
        <v>103</v>
      </c>
      <c r="B62" s="6">
        <v>20260514</v>
      </c>
      <c r="C62" s="6" t="s">
        <v>44</v>
      </c>
      <c r="D62" s="6" t="s">
        <v>68</v>
      </c>
      <c r="E62" s="6" t="s">
        <v>46</v>
      </c>
      <c r="F62" s="6">
        <v>99995</v>
      </c>
      <c r="G62" s="6">
        <v>142952</v>
      </c>
      <c r="H62" s="6">
        <v>10191</v>
      </c>
      <c r="I62" s="6">
        <v>1073</v>
      </c>
      <c r="J62" s="6">
        <v>1193</v>
      </c>
      <c r="K62" s="6">
        <v>524</v>
      </c>
      <c r="L62" s="6">
        <v>45808</v>
      </c>
      <c r="M62" s="6">
        <v>208</v>
      </c>
      <c r="N62" s="11">
        <v>0.60416666666666663</v>
      </c>
      <c r="O62" s="7" t="s">
        <v>47</v>
      </c>
      <c r="P62">
        <f t="shared" si="0"/>
        <v>1</v>
      </c>
      <c r="R62">
        <f t="shared" si="1"/>
        <v>12981</v>
      </c>
      <c r="S62">
        <f t="shared" si="2"/>
        <v>7.7031815730683304</v>
      </c>
      <c r="T62" t="str">
        <f t="shared" si="3"/>
        <v>Medium</v>
      </c>
      <c r="U62">
        <f t="shared" si="4"/>
        <v>2026</v>
      </c>
      <c r="V62">
        <f t="shared" si="5"/>
        <v>5</v>
      </c>
    </row>
    <row r="63" spans="1:22" x14ac:dyDescent="0.3">
      <c r="A63" s="8" t="s">
        <v>104</v>
      </c>
      <c r="B63" s="9">
        <v>20251001</v>
      </c>
      <c r="C63" s="9" t="s">
        <v>44</v>
      </c>
      <c r="D63" s="9" t="s">
        <v>36</v>
      </c>
      <c r="E63" s="9" t="s">
        <v>22</v>
      </c>
      <c r="F63" s="9">
        <v>10811</v>
      </c>
      <c r="G63" s="9">
        <v>14542</v>
      </c>
      <c r="H63" s="9">
        <v>339</v>
      </c>
      <c r="I63" s="9">
        <v>45</v>
      </c>
      <c r="J63" s="9">
        <v>25</v>
      </c>
      <c r="K63" s="9">
        <v>52</v>
      </c>
      <c r="L63" s="9">
        <v>0</v>
      </c>
      <c r="M63" s="9">
        <v>185</v>
      </c>
      <c r="N63" s="12">
        <v>0.70833333333333337</v>
      </c>
      <c r="O63" s="10" t="s">
        <v>53</v>
      </c>
      <c r="P63">
        <f t="shared" si="0"/>
        <v>1</v>
      </c>
      <c r="R63">
        <f t="shared" si="1"/>
        <v>461</v>
      </c>
      <c r="S63">
        <f t="shared" si="2"/>
        <v>23.451193058568329</v>
      </c>
      <c r="T63" t="str">
        <f t="shared" si="3"/>
        <v>High</v>
      </c>
      <c r="U63">
        <f t="shared" si="4"/>
        <v>2025</v>
      </c>
      <c r="V63">
        <f t="shared" si="5"/>
        <v>10</v>
      </c>
    </row>
    <row r="64" spans="1:22" x14ac:dyDescent="0.3">
      <c r="A64" s="5" t="s">
        <v>105</v>
      </c>
      <c r="B64" s="6">
        <v>20250831</v>
      </c>
      <c r="C64" s="6" t="s">
        <v>32</v>
      </c>
      <c r="D64" s="6" t="s">
        <v>33</v>
      </c>
      <c r="E64" s="6" t="s">
        <v>51</v>
      </c>
      <c r="F64" s="6">
        <v>13170</v>
      </c>
      <c r="G64" s="6">
        <v>15823</v>
      </c>
      <c r="H64" s="6">
        <v>865</v>
      </c>
      <c r="I64" s="6">
        <v>82</v>
      </c>
      <c r="J64" s="6">
        <v>58</v>
      </c>
      <c r="K64" s="6">
        <v>24</v>
      </c>
      <c r="L64" s="6">
        <v>0</v>
      </c>
      <c r="M64" s="6">
        <v>57</v>
      </c>
      <c r="N64" s="11">
        <v>0.84375</v>
      </c>
      <c r="O64" s="7" t="s">
        <v>38</v>
      </c>
      <c r="P64">
        <f t="shared" si="0"/>
        <v>1</v>
      </c>
      <c r="R64">
        <f t="shared" si="1"/>
        <v>1029</v>
      </c>
      <c r="S64">
        <f t="shared" si="2"/>
        <v>12.798833819241983</v>
      </c>
      <c r="T64" t="str">
        <f t="shared" si="3"/>
        <v>High</v>
      </c>
      <c r="U64">
        <f t="shared" si="4"/>
        <v>2025</v>
      </c>
      <c r="V64">
        <f t="shared" si="5"/>
        <v>8</v>
      </c>
    </row>
    <row r="65" spans="1:22" x14ac:dyDescent="0.3">
      <c r="A65" s="8" t="s">
        <v>106</v>
      </c>
      <c r="B65" s="9">
        <v>20250627</v>
      </c>
      <c r="C65" s="9" t="s">
        <v>25</v>
      </c>
      <c r="D65" s="9" t="s">
        <v>61</v>
      </c>
      <c r="E65" s="9" t="s">
        <v>46</v>
      </c>
      <c r="F65" s="9">
        <v>27368</v>
      </c>
      <c r="G65" s="9">
        <v>38022</v>
      </c>
      <c r="H65" s="9">
        <v>1287</v>
      </c>
      <c r="I65" s="9">
        <v>105</v>
      </c>
      <c r="J65" s="9">
        <v>143</v>
      </c>
      <c r="K65" s="9">
        <v>197</v>
      </c>
      <c r="L65" s="9">
        <v>9607</v>
      </c>
      <c r="M65" s="9">
        <v>216</v>
      </c>
      <c r="N65" s="12">
        <v>0.47916666666666669</v>
      </c>
      <c r="O65" s="10" t="s">
        <v>34</v>
      </c>
      <c r="P65">
        <f t="shared" si="0"/>
        <v>1</v>
      </c>
      <c r="R65">
        <f t="shared" si="1"/>
        <v>1732</v>
      </c>
      <c r="S65">
        <f t="shared" si="2"/>
        <v>15.801385681293302</v>
      </c>
      <c r="T65" t="str">
        <f t="shared" si="3"/>
        <v>High</v>
      </c>
      <c r="U65">
        <f t="shared" si="4"/>
        <v>2025</v>
      </c>
      <c r="V65">
        <f t="shared" si="5"/>
        <v>6</v>
      </c>
    </row>
    <row r="66" spans="1:22" x14ac:dyDescent="0.3">
      <c r="A66" s="5" t="s">
        <v>107</v>
      </c>
      <c r="B66" s="6">
        <v>20250129</v>
      </c>
      <c r="C66" s="6" t="s">
        <v>16</v>
      </c>
      <c r="D66" s="6" t="s">
        <v>29</v>
      </c>
      <c r="E66" s="6" t="s">
        <v>26</v>
      </c>
      <c r="F66" s="6">
        <v>26446</v>
      </c>
      <c r="G66" s="6">
        <v>34988</v>
      </c>
      <c r="H66" s="6">
        <v>2861</v>
      </c>
      <c r="I66" s="6">
        <v>354</v>
      </c>
      <c r="J66" s="6">
        <v>127</v>
      </c>
      <c r="K66" s="6">
        <v>322</v>
      </c>
      <c r="L66" s="6">
        <v>15116</v>
      </c>
      <c r="M66" s="6">
        <v>382</v>
      </c>
      <c r="N66" s="11">
        <v>0.53125</v>
      </c>
      <c r="O66" s="7" t="s">
        <v>47</v>
      </c>
      <c r="P66">
        <f t="shared" si="0"/>
        <v>1</v>
      </c>
      <c r="R66">
        <f t="shared" si="1"/>
        <v>3664</v>
      </c>
      <c r="S66">
        <f t="shared" si="2"/>
        <v>7.2177947598253276</v>
      </c>
      <c r="T66" t="str">
        <f t="shared" si="3"/>
        <v>Medium</v>
      </c>
      <c r="U66">
        <f t="shared" si="4"/>
        <v>2025</v>
      </c>
      <c r="V66">
        <f t="shared" si="5"/>
        <v>1</v>
      </c>
    </row>
    <row r="67" spans="1:22" x14ac:dyDescent="0.3">
      <c r="A67" s="8" t="s">
        <v>108</v>
      </c>
      <c r="B67" s="9">
        <v>20260112</v>
      </c>
      <c r="C67" s="9" t="s">
        <v>16</v>
      </c>
      <c r="D67" s="9" t="s">
        <v>17</v>
      </c>
      <c r="E67" s="9" t="s">
        <v>18</v>
      </c>
      <c r="F67" s="9">
        <v>49151</v>
      </c>
      <c r="G67" s="9">
        <v>77709</v>
      </c>
      <c r="H67" s="9">
        <v>4526</v>
      </c>
      <c r="I67" s="9">
        <v>497</v>
      </c>
      <c r="J67" s="9">
        <v>653</v>
      </c>
      <c r="K67" s="9">
        <v>676</v>
      </c>
      <c r="L67" s="9">
        <v>0</v>
      </c>
      <c r="M67" s="9">
        <v>840</v>
      </c>
      <c r="N67" s="12">
        <v>0.65625</v>
      </c>
      <c r="O67" s="10" t="s">
        <v>23</v>
      </c>
      <c r="P67">
        <f t="shared" ref="P67:P130" si="6">COUNTIF($A$2:$A$500,A67)</f>
        <v>1</v>
      </c>
      <c r="R67">
        <f t="shared" ref="R67:R130" si="7">SUM(H67:K67)</f>
        <v>6352</v>
      </c>
      <c r="S67">
        <f t="shared" ref="S67:S130" si="8">IFERROR(F67/R67,0)</f>
        <v>7.7378778337531484</v>
      </c>
      <c r="T67" t="str">
        <f t="shared" ref="T67:T130" si="9">IF(S67&gt;=10,"High",IF(S67&gt;=5,"Medium",IF(S67&gt;=0,"Low")))</f>
        <v>Medium</v>
      </c>
      <c r="U67">
        <f t="shared" ref="U67:U130" si="10">LEFT(B67,4)*1</f>
        <v>2026</v>
      </c>
      <c r="V67">
        <f t="shared" ref="V67:V130" si="11">MID(B67,5,2)*1</f>
        <v>1</v>
      </c>
    </row>
    <row r="68" spans="1:22" x14ac:dyDescent="0.3">
      <c r="A68" s="5" t="s">
        <v>109</v>
      </c>
      <c r="B68" s="6">
        <v>20250720</v>
      </c>
      <c r="C68" s="6" t="s">
        <v>16</v>
      </c>
      <c r="D68" s="6" t="s">
        <v>21</v>
      </c>
      <c r="E68" s="6" t="s">
        <v>41</v>
      </c>
      <c r="F68" s="6">
        <v>74057</v>
      </c>
      <c r="G68" s="6">
        <v>103275</v>
      </c>
      <c r="H68" s="6">
        <v>8484</v>
      </c>
      <c r="I68" s="6">
        <v>243</v>
      </c>
      <c r="J68" s="6">
        <v>1199</v>
      </c>
      <c r="K68" s="6">
        <v>713</v>
      </c>
      <c r="L68" s="6">
        <v>38259</v>
      </c>
      <c r="M68" s="6">
        <v>809</v>
      </c>
      <c r="N68" s="11">
        <v>0.64583333333333337</v>
      </c>
      <c r="O68" s="7" t="s">
        <v>53</v>
      </c>
      <c r="P68">
        <f t="shared" si="6"/>
        <v>1</v>
      </c>
      <c r="R68">
        <f t="shared" si="7"/>
        <v>10639</v>
      </c>
      <c r="S68">
        <f t="shared" si="8"/>
        <v>6.9608985806936738</v>
      </c>
      <c r="T68" t="str">
        <f t="shared" si="9"/>
        <v>Medium</v>
      </c>
      <c r="U68">
        <f t="shared" si="10"/>
        <v>2025</v>
      </c>
      <c r="V68">
        <f t="shared" si="11"/>
        <v>7</v>
      </c>
    </row>
    <row r="69" spans="1:22" x14ac:dyDescent="0.3">
      <c r="A69" s="8" t="s">
        <v>110</v>
      </c>
      <c r="B69" s="9">
        <v>20250612</v>
      </c>
      <c r="C69" s="9" t="s">
        <v>16</v>
      </c>
      <c r="D69" s="9" t="s">
        <v>68</v>
      </c>
      <c r="E69" s="9" t="s">
        <v>46</v>
      </c>
      <c r="F69" s="9">
        <v>65081</v>
      </c>
      <c r="G69" s="9">
        <v>72838</v>
      </c>
      <c r="H69" s="9">
        <v>4949</v>
      </c>
      <c r="I69" s="9">
        <v>494</v>
      </c>
      <c r="J69" s="9">
        <v>970</v>
      </c>
      <c r="K69" s="9">
        <v>436</v>
      </c>
      <c r="L69" s="9">
        <v>30315</v>
      </c>
      <c r="M69" s="9">
        <v>337</v>
      </c>
      <c r="N69" s="12">
        <v>0.65625</v>
      </c>
      <c r="O69" s="10" t="s">
        <v>49</v>
      </c>
      <c r="P69">
        <f t="shared" si="6"/>
        <v>1</v>
      </c>
      <c r="R69">
        <f t="shared" si="7"/>
        <v>6849</v>
      </c>
      <c r="S69">
        <f t="shared" si="8"/>
        <v>9.5022631041027878</v>
      </c>
      <c r="T69" t="str">
        <f t="shared" si="9"/>
        <v>Medium</v>
      </c>
      <c r="U69">
        <f t="shared" si="10"/>
        <v>2025</v>
      </c>
      <c r="V69">
        <f t="shared" si="11"/>
        <v>6</v>
      </c>
    </row>
    <row r="70" spans="1:22" x14ac:dyDescent="0.3">
      <c r="A70" s="5" t="s">
        <v>111</v>
      </c>
      <c r="B70" s="6">
        <v>20250725</v>
      </c>
      <c r="C70" s="6" t="s">
        <v>44</v>
      </c>
      <c r="D70" s="6"/>
      <c r="E70" s="6" t="s">
        <v>22</v>
      </c>
      <c r="F70" s="6">
        <v>15535</v>
      </c>
      <c r="G70" s="6">
        <v>24195</v>
      </c>
      <c r="H70" s="6">
        <v>1047</v>
      </c>
      <c r="I70" s="6">
        <v>53</v>
      </c>
      <c r="J70" s="6">
        <v>94</v>
      </c>
      <c r="K70" s="6">
        <v>76</v>
      </c>
      <c r="L70" s="6">
        <v>0</v>
      </c>
      <c r="M70" s="6">
        <v>72</v>
      </c>
      <c r="N70" s="11">
        <v>0.66666666666666663</v>
      </c>
      <c r="O70" s="7" t="s">
        <v>38</v>
      </c>
      <c r="P70">
        <f t="shared" si="6"/>
        <v>1</v>
      </c>
      <c r="R70">
        <f t="shared" si="7"/>
        <v>1270</v>
      </c>
      <c r="S70">
        <f t="shared" si="8"/>
        <v>12.23228346456693</v>
      </c>
      <c r="T70" t="str">
        <f t="shared" si="9"/>
        <v>High</v>
      </c>
      <c r="U70">
        <f t="shared" si="10"/>
        <v>2025</v>
      </c>
      <c r="V70">
        <f t="shared" si="11"/>
        <v>7</v>
      </c>
    </row>
    <row r="71" spans="1:22" x14ac:dyDescent="0.3">
      <c r="A71" s="8" t="s">
        <v>112</v>
      </c>
      <c r="B71" s="9">
        <v>20250325</v>
      </c>
      <c r="C71" s="9" t="s">
        <v>16</v>
      </c>
      <c r="D71" s="9" t="s">
        <v>36</v>
      </c>
      <c r="E71" s="9" t="s">
        <v>41</v>
      </c>
      <c r="F71" s="9">
        <v>28418</v>
      </c>
      <c r="G71" s="9">
        <v>45917</v>
      </c>
      <c r="H71" s="9">
        <v>3036</v>
      </c>
      <c r="I71" s="9">
        <v>268</v>
      </c>
      <c r="J71" s="9">
        <v>552</v>
      </c>
      <c r="K71" s="9">
        <v>394</v>
      </c>
      <c r="L71" s="9">
        <v>12829</v>
      </c>
      <c r="M71" s="9">
        <v>30</v>
      </c>
      <c r="N71" s="12">
        <v>0.32291666666666669</v>
      </c>
      <c r="O71" s="10" t="s">
        <v>19</v>
      </c>
      <c r="P71">
        <f t="shared" si="6"/>
        <v>1</v>
      </c>
      <c r="R71">
        <f t="shared" si="7"/>
        <v>4250</v>
      </c>
      <c r="S71">
        <f t="shared" si="8"/>
        <v>6.6865882352941179</v>
      </c>
      <c r="T71" t="str">
        <f t="shared" si="9"/>
        <v>Medium</v>
      </c>
      <c r="U71">
        <f t="shared" si="10"/>
        <v>2025</v>
      </c>
      <c r="V71">
        <f t="shared" si="11"/>
        <v>3</v>
      </c>
    </row>
    <row r="72" spans="1:22" x14ac:dyDescent="0.3">
      <c r="A72" s="5" t="s">
        <v>113</v>
      </c>
      <c r="B72" s="6">
        <v>20260524</v>
      </c>
      <c r="C72" s="6" t="s">
        <v>25</v>
      </c>
      <c r="D72" s="6" t="s">
        <v>68</v>
      </c>
      <c r="E72" s="6" t="s">
        <v>46</v>
      </c>
      <c r="F72" s="6">
        <v>19241</v>
      </c>
      <c r="G72" s="6">
        <v>24499</v>
      </c>
      <c r="H72" s="6">
        <v>1626</v>
      </c>
      <c r="I72" s="6">
        <v>180</v>
      </c>
      <c r="J72" s="6">
        <v>223</v>
      </c>
      <c r="K72" s="6">
        <v>65</v>
      </c>
      <c r="L72" s="6">
        <v>17023</v>
      </c>
      <c r="M72" s="6">
        <v>149</v>
      </c>
      <c r="N72" s="11">
        <v>0.3125</v>
      </c>
      <c r="O72" s="7" t="s">
        <v>34</v>
      </c>
      <c r="P72">
        <f t="shared" si="6"/>
        <v>1</v>
      </c>
      <c r="R72">
        <f t="shared" si="7"/>
        <v>2094</v>
      </c>
      <c r="S72">
        <f t="shared" si="8"/>
        <v>9.188634192932188</v>
      </c>
      <c r="T72" t="str">
        <f t="shared" si="9"/>
        <v>Medium</v>
      </c>
      <c r="U72">
        <f t="shared" si="10"/>
        <v>2026</v>
      </c>
      <c r="V72">
        <f t="shared" si="11"/>
        <v>5</v>
      </c>
    </row>
    <row r="73" spans="1:22" x14ac:dyDescent="0.3">
      <c r="A73" s="8" t="s">
        <v>114</v>
      </c>
      <c r="B73" s="9">
        <v>20260813</v>
      </c>
      <c r="C73" s="9" t="s">
        <v>44</v>
      </c>
      <c r="D73" s="9" t="s">
        <v>36</v>
      </c>
      <c r="E73" s="9" t="s">
        <v>26</v>
      </c>
      <c r="F73" s="9">
        <v>15849</v>
      </c>
      <c r="G73" s="9">
        <v>17830</v>
      </c>
      <c r="H73" s="9">
        <v>445</v>
      </c>
      <c r="I73" s="9">
        <v>42</v>
      </c>
      <c r="J73" s="9">
        <v>46</v>
      </c>
      <c r="K73" s="9">
        <v>26</v>
      </c>
      <c r="L73" s="9">
        <v>7243</v>
      </c>
      <c r="M73" s="9">
        <v>252</v>
      </c>
      <c r="N73" s="12">
        <v>0.44791666666666669</v>
      </c>
      <c r="O73" s="10" t="s">
        <v>47</v>
      </c>
      <c r="P73">
        <f t="shared" si="6"/>
        <v>1</v>
      </c>
      <c r="R73">
        <f t="shared" si="7"/>
        <v>559</v>
      </c>
      <c r="S73">
        <f t="shared" si="8"/>
        <v>28.352415026833633</v>
      </c>
      <c r="T73" t="str">
        <f t="shared" si="9"/>
        <v>High</v>
      </c>
      <c r="U73">
        <f t="shared" si="10"/>
        <v>2026</v>
      </c>
      <c r="V73">
        <f t="shared" si="11"/>
        <v>8</v>
      </c>
    </row>
    <row r="74" spans="1:22" x14ac:dyDescent="0.3">
      <c r="A74" s="5" t="s">
        <v>115</v>
      </c>
      <c r="B74" s="6">
        <v>20250329</v>
      </c>
      <c r="C74" s="6" t="s">
        <v>32</v>
      </c>
      <c r="D74" s="6" t="s">
        <v>21</v>
      </c>
      <c r="E74" s="6" t="s">
        <v>46</v>
      </c>
      <c r="F74" s="6">
        <v>18085</v>
      </c>
      <c r="G74" s="6">
        <v>23482</v>
      </c>
      <c r="H74" s="6">
        <v>1308</v>
      </c>
      <c r="I74" s="6">
        <v>94</v>
      </c>
      <c r="J74" s="6">
        <v>70</v>
      </c>
      <c r="K74" s="6">
        <v>77</v>
      </c>
      <c r="L74" s="6">
        <v>11940</v>
      </c>
      <c r="M74" s="6">
        <v>224</v>
      </c>
      <c r="N74" s="11">
        <v>0.375</v>
      </c>
      <c r="O74" s="7" t="s">
        <v>53</v>
      </c>
      <c r="P74">
        <f t="shared" si="6"/>
        <v>1</v>
      </c>
      <c r="R74">
        <f t="shared" si="7"/>
        <v>1549</v>
      </c>
      <c r="S74">
        <f t="shared" si="8"/>
        <v>11.675274370561652</v>
      </c>
      <c r="T74" t="str">
        <f t="shared" si="9"/>
        <v>High</v>
      </c>
      <c r="U74">
        <f t="shared" si="10"/>
        <v>2025</v>
      </c>
      <c r="V74">
        <f t="shared" si="11"/>
        <v>3</v>
      </c>
    </row>
    <row r="75" spans="1:22" x14ac:dyDescent="0.3">
      <c r="A75" s="8" t="s">
        <v>116</v>
      </c>
      <c r="B75" s="9">
        <v>20250111</v>
      </c>
      <c r="C75" s="9" t="s">
        <v>44</v>
      </c>
      <c r="D75" s="9" t="s">
        <v>17</v>
      </c>
      <c r="E75" s="9" t="s">
        <v>18</v>
      </c>
      <c r="F75" s="9">
        <v>41648</v>
      </c>
      <c r="G75" s="9">
        <v>47256</v>
      </c>
      <c r="H75" s="9">
        <v>4851</v>
      </c>
      <c r="I75" s="9">
        <v>165</v>
      </c>
      <c r="J75" s="9">
        <v>557</v>
      </c>
      <c r="K75" s="9">
        <v>494</v>
      </c>
      <c r="L75" s="9">
        <v>0</v>
      </c>
      <c r="M75" s="9">
        <v>617</v>
      </c>
      <c r="N75" s="12">
        <v>0.75</v>
      </c>
      <c r="O75" s="10" t="s">
        <v>30</v>
      </c>
      <c r="P75">
        <f t="shared" si="6"/>
        <v>1</v>
      </c>
      <c r="R75">
        <f t="shared" si="7"/>
        <v>6067</v>
      </c>
      <c r="S75">
        <f t="shared" si="8"/>
        <v>6.8646777649579693</v>
      </c>
      <c r="T75" t="str">
        <f t="shared" si="9"/>
        <v>Medium</v>
      </c>
      <c r="U75">
        <f t="shared" si="10"/>
        <v>2025</v>
      </c>
      <c r="V75">
        <f t="shared" si="11"/>
        <v>1</v>
      </c>
    </row>
    <row r="76" spans="1:22" x14ac:dyDescent="0.3">
      <c r="A76" s="5" t="s">
        <v>117</v>
      </c>
      <c r="B76" s="6">
        <v>20260703</v>
      </c>
      <c r="C76" s="6" t="s">
        <v>44</v>
      </c>
      <c r="D76" s="6" t="s">
        <v>68</v>
      </c>
      <c r="E76" s="6" t="s">
        <v>51</v>
      </c>
      <c r="F76" s="6">
        <v>36860</v>
      </c>
      <c r="G76" s="6">
        <v>51020</v>
      </c>
      <c r="H76" s="6">
        <v>3541</v>
      </c>
      <c r="I76" s="6">
        <v>399</v>
      </c>
      <c r="J76" s="6">
        <v>366</v>
      </c>
      <c r="K76" s="6">
        <v>285</v>
      </c>
      <c r="L76" s="6">
        <v>0</v>
      </c>
      <c r="M76" s="6">
        <v>187</v>
      </c>
      <c r="N76" s="11">
        <v>0.8125</v>
      </c>
      <c r="O76" s="7" t="s">
        <v>23</v>
      </c>
      <c r="P76">
        <f t="shared" si="6"/>
        <v>1</v>
      </c>
      <c r="R76">
        <f t="shared" si="7"/>
        <v>4591</v>
      </c>
      <c r="S76">
        <f t="shared" si="8"/>
        <v>8.0287519059028529</v>
      </c>
      <c r="T76" t="str">
        <f t="shared" si="9"/>
        <v>Medium</v>
      </c>
      <c r="U76">
        <f t="shared" si="10"/>
        <v>2026</v>
      </c>
      <c r="V76">
        <f t="shared" si="11"/>
        <v>7</v>
      </c>
    </row>
    <row r="77" spans="1:22" x14ac:dyDescent="0.3">
      <c r="A77" s="8" t="s">
        <v>118</v>
      </c>
      <c r="B77" s="9">
        <v>20260729</v>
      </c>
      <c r="C77" s="9" t="s">
        <v>25</v>
      </c>
      <c r="D77" s="9" t="s">
        <v>33</v>
      </c>
      <c r="E77" s="9" t="s">
        <v>26</v>
      </c>
      <c r="F77" s="9">
        <v>9842</v>
      </c>
      <c r="G77" s="9">
        <v>13846</v>
      </c>
      <c r="H77" s="9">
        <v>852</v>
      </c>
      <c r="I77" s="9">
        <v>75</v>
      </c>
      <c r="J77" s="9">
        <v>57</v>
      </c>
      <c r="K77" s="9">
        <v>47</v>
      </c>
      <c r="L77" s="9">
        <v>8847</v>
      </c>
      <c r="M77" s="9">
        <v>64</v>
      </c>
      <c r="N77" s="12">
        <v>0.79166666666666663</v>
      </c>
      <c r="O77" s="10" t="s">
        <v>27</v>
      </c>
      <c r="P77">
        <f t="shared" si="6"/>
        <v>1</v>
      </c>
      <c r="R77">
        <f t="shared" si="7"/>
        <v>1031</v>
      </c>
      <c r="S77">
        <f t="shared" si="8"/>
        <v>9.5460717749757524</v>
      </c>
      <c r="T77" t="str">
        <f t="shared" si="9"/>
        <v>Medium</v>
      </c>
      <c r="U77">
        <f t="shared" si="10"/>
        <v>2026</v>
      </c>
      <c r="V77">
        <f t="shared" si="11"/>
        <v>7</v>
      </c>
    </row>
    <row r="78" spans="1:22" x14ac:dyDescent="0.3">
      <c r="A78" s="5" t="s">
        <v>119</v>
      </c>
      <c r="B78" s="6">
        <v>20251023</v>
      </c>
      <c r="C78" s="6" t="s">
        <v>16</v>
      </c>
      <c r="D78" s="6" t="s">
        <v>61</v>
      </c>
      <c r="E78" s="6" t="s">
        <v>26</v>
      </c>
      <c r="F78" s="6">
        <v>35055</v>
      </c>
      <c r="G78" s="6">
        <v>53523</v>
      </c>
      <c r="H78" s="6">
        <v>1121</v>
      </c>
      <c r="I78" s="6">
        <v>101</v>
      </c>
      <c r="J78" s="6">
        <v>100</v>
      </c>
      <c r="K78" s="6">
        <v>159</v>
      </c>
      <c r="L78" s="6">
        <v>15208</v>
      </c>
      <c r="M78" s="6">
        <v>128</v>
      </c>
      <c r="N78" s="11">
        <v>0.4375</v>
      </c>
      <c r="O78" s="7" t="s">
        <v>38</v>
      </c>
      <c r="P78">
        <f t="shared" si="6"/>
        <v>1</v>
      </c>
      <c r="R78">
        <f t="shared" si="7"/>
        <v>1481</v>
      </c>
      <c r="S78">
        <f t="shared" si="8"/>
        <v>23.669817690749493</v>
      </c>
      <c r="T78" t="str">
        <f t="shared" si="9"/>
        <v>High</v>
      </c>
      <c r="U78">
        <f t="shared" si="10"/>
        <v>2025</v>
      </c>
      <c r="V78">
        <f t="shared" si="11"/>
        <v>10</v>
      </c>
    </row>
    <row r="79" spans="1:22" x14ac:dyDescent="0.3">
      <c r="A79" s="8" t="s">
        <v>120</v>
      </c>
      <c r="B79" s="9">
        <v>20250105</v>
      </c>
      <c r="C79" s="9" t="s">
        <v>44</v>
      </c>
      <c r="D79" s="9" t="s">
        <v>21</v>
      </c>
      <c r="E79" s="9" t="s">
        <v>18</v>
      </c>
      <c r="F79" s="9">
        <v>25792</v>
      </c>
      <c r="G79" s="9">
        <v>35503</v>
      </c>
      <c r="H79" s="9">
        <v>952</v>
      </c>
      <c r="I79" s="9">
        <v>92</v>
      </c>
      <c r="J79" s="9">
        <v>77</v>
      </c>
      <c r="K79" s="9">
        <v>96</v>
      </c>
      <c r="L79" s="9">
        <v>0</v>
      </c>
      <c r="M79" s="9">
        <v>426</v>
      </c>
      <c r="N79" s="12">
        <v>0.80208333333333337</v>
      </c>
      <c r="O79" s="10" t="s">
        <v>19</v>
      </c>
      <c r="P79">
        <f t="shared" si="6"/>
        <v>1</v>
      </c>
      <c r="R79">
        <f t="shared" si="7"/>
        <v>1217</v>
      </c>
      <c r="S79">
        <f t="shared" si="8"/>
        <v>21.193097781429746</v>
      </c>
      <c r="T79" t="str">
        <f t="shared" si="9"/>
        <v>High</v>
      </c>
      <c r="U79">
        <f t="shared" si="10"/>
        <v>2025</v>
      </c>
      <c r="V79">
        <f t="shared" si="11"/>
        <v>1</v>
      </c>
    </row>
    <row r="80" spans="1:22" x14ac:dyDescent="0.3">
      <c r="A80" s="5" t="s">
        <v>121</v>
      </c>
      <c r="B80" s="6">
        <v>20250501</v>
      </c>
      <c r="C80" s="6" t="s">
        <v>16</v>
      </c>
      <c r="D80" s="6" t="s">
        <v>21</v>
      </c>
      <c r="E80" s="6" t="s">
        <v>46</v>
      </c>
      <c r="F80" s="6">
        <v>63778</v>
      </c>
      <c r="G80" s="6">
        <v>77760</v>
      </c>
      <c r="H80" s="6">
        <v>1975</v>
      </c>
      <c r="I80" s="6">
        <v>244</v>
      </c>
      <c r="J80" s="6">
        <v>386</v>
      </c>
      <c r="K80" s="6">
        <v>244</v>
      </c>
      <c r="L80" s="6">
        <v>56333</v>
      </c>
      <c r="M80" s="6">
        <v>478</v>
      </c>
      <c r="N80" s="11">
        <v>0.55208333333333337</v>
      </c>
      <c r="O80" s="7" t="s">
        <v>19</v>
      </c>
      <c r="P80">
        <f t="shared" si="6"/>
        <v>1</v>
      </c>
      <c r="R80">
        <f t="shared" si="7"/>
        <v>2849</v>
      </c>
      <c r="S80">
        <f t="shared" si="8"/>
        <v>22.386100386100384</v>
      </c>
      <c r="T80" t="str">
        <f t="shared" si="9"/>
        <v>High</v>
      </c>
      <c r="U80">
        <f t="shared" si="10"/>
        <v>2025</v>
      </c>
      <c r="V80">
        <f t="shared" si="11"/>
        <v>5</v>
      </c>
    </row>
    <row r="81" spans="1:22" x14ac:dyDescent="0.3">
      <c r="A81" s="8" t="s">
        <v>122</v>
      </c>
      <c r="B81" s="9">
        <v>20260901</v>
      </c>
      <c r="C81" s="9" t="s">
        <v>25</v>
      </c>
      <c r="D81" s="9" t="s">
        <v>61</v>
      </c>
      <c r="E81" s="9" t="s">
        <v>46</v>
      </c>
      <c r="F81" s="9">
        <v>22760</v>
      </c>
      <c r="G81" s="9">
        <v>37481</v>
      </c>
      <c r="H81" s="9">
        <v>2640</v>
      </c>
      <c r="I81" s="9">
        <v>157</v>
      </c>
      <c r="J81" s="9">
        <v>112</v>
      </c>
      <c r="K81" s="9">
        <v>276</v>
      </c>
      <c r="L81" s="9"/>
      <c r="M81" s="9">
        <v>123</v>
      </c>
      <c r="N81" s="12">
        <v>0.73958333333333337</v>
      </c>
      <c r="O81" s="10" t="s">
        <v>27</v>
      </c>
      <c r="P81">
        <f t="shared" si="6"/>
        <v>1</v>
      </c>
      <c r="R81">
        <f t="shared" si="7"/>
        <v>3185</v>
      </c>
      <c r="S81">
        <f t="shared" si="8"/>
        <v>7.1459968602825743</v>
      </c>
      <c r="T81" t="str">
        <f t="shared" si="9"/>
        <v>Medium</v>
      </c>
      <c r="U81">
        <f t="shared" si="10"/>
        <v>2026</v>
      </c>
      <c r="V81">
        <f t="shared" si="11"/>
        <v>9</v>
      </c>
    </row>
    <row r="82" spans="1:22" x14ac:dyDescent="0.3">
      <c r="A82" s="5" t="s">
        <v>123</v>
      </c>
      <c r="B82" s="6">
        <v>20250610</v>
      </c>
      <c r="C82" s="6" t="s">
        <v>16</v>
      </c>
      <c r="D82" s="6" t="s">
        <v>61</v>
      </c>
      <c r="E82" s="6" t="s">
        <v>46</v>
      </c>
      <c r="F82" s="6">
        <v>54329</v>
      </c>
      <c r="G82" s="6">
        <v>85225</v>
      </c>
      <c r="H82" s="6">
        <v>1796</v>
      </c>
      <c r="I82" s="6">
        <v>130</v>
      </c>
      <c r="J82" s="6">
        <v>323</v>
      </c>
      <c r="K82" s="6">
        <v>181</v>
      </c>
      <c r="L82" s="6">
        <v>30966</v>
      </c>
      <c r="M82" s="6">
        <v>425</v>
      </c>
      <c r="N82" s="11">
        <v>0.66666666666666663</v>
      </c>
      <c r="O82" s="7" t="s">
        <v>53</v>
      </c>
      <c r="P82">
        <f t="shared" si="6"/>
        <v>1</v>
      </c>
      <c r="R82">
        <f t="shared" si="7"/>
        <v>2430</v>
      </c>
      <c r="S82">
        <f t="shared" si="8"/>
        <v>22.357613168724281</v>
      </c>
      <c r="T82" t="str">
        <f t="shared" si="9"/>
        <v>High</v>
      </c>
      <c r="U82">
        <f t="shared" si="10"/>
        <v>2025</v>
      </c>
      <c r="V82">
        <f t="shared" si="11"/>
        <v>6</v>
      </c>
    </row>
    <row r="83" spans="1:22" x14ac:dyDescent="0.3">
      <c r="A83" s="8" t="s">
        <v>124</v>
      </c>
      <c r="B83" s="9">
        <v>20250423</v>
      </c>
      <c r="C83" s="9" t="s">
        <v>16</v>
      </c>
      <c r="D83" s="9" t="s">
        <v>17</v>
      </c>
      <c r="E83" s="9" t="s">
        <v>51</v>
      </c>
      <c r="F83" s="9">
        <v>16531</v>
      </c>
      <c r="G83" s="9">
        <v>26275</v>
      </c>
      <c r="H83" s="9">
        <v>1330</v>
      </c>
      <c r="I83" s="9">
        <v>38</v>
      </c>
      <c r="J83" s="9">
        <v>109</v>
      </c>
      <c r="K83" s="9">
        <v>157</v>
      </c>
      <c r="L83" s="9">
        <v>0</v>
      </c>
      <c r="M83" s="9">
        <v>273</v>
      </c>
      <c r="N83" s="12">
        <v>0.9375</v>
      </c>
      <c r="O83" s="10" t="s">
        <v>42</v>
      </c>
      <c r="P83">
        <f t="shared" si="6"/>
        <v>1</v>
      </c>
      <c r="R83">
        <f t="shared" si="7"/>
        <v>1634</v>
      </c>
      <c r="S83">
        <f t="shared" si="8"/>
        <v>10.116891064871481</v>
      </c>
      <c r="T83" t="str">
        <f t="shared" si="9"/>
        <v>High</v>
      </c>
      <c r="U83">
        <f t="shared" si="10"/>
        <v>2025</v>
      </c>
      <c r="V83">
        <f t="shared" si="11"/>
        <v>4</v>
      </c>
    </row>
    <row r="84" spans="1:22" x14ac:dyDescent="0.3">
      <c r="A84" s="5" t="s">
        <v>125</v>
      </c>
      <c r="B84" s="6">
        <v>20251127</v>
      </c>
      <c r="C84" s="6" t="s">
        <v>25</v>
      </c>
      <c r="D84" s="6" t="s">
        <v>36</v>
      </c>
      <c r="E84" s="6" t="s">
        <v>18</v>
      </c>
      <c r="F84" s="6">
        <v>6960</v>
      </c>
      <c r="G84" s="6">
        <v>8530</v>
      </c>
      <c r="H84" s="6">
        <v>448</v>
      </c>
      <c r="I84" s="6">
        <v>31</v>
      </c>
      <c r="J84" s="6">
        <v>64</v>
      </c>
      <c r="K84" s="6">
        <v>13</v>
      </c>
      <c r="L84" s="6">
        <v>0</v>
      </c>
      <c r="M84" s="6">
        <v>46</v>
      </c>
      <c r="N84" s="11">
        <v>0.61458333333333337</v>
      </c>
      <c r="O84" s="7" t="s">
        <v>42</v>
      </c>
      <c r="P84">
        <f t="shared" si="6"/>
        <v>1</v>
      </c>
      <c r="R84">
        <f t="shared" si="7"/>
        <v>556</v>
      </c>
      <c r="S84">
        <f t="shared" si="8"/>
        <v>12.517985611510792</v>
      </c>
      <c r="T84" t="str">
        <f t="shared" si="9"/>
        <v>High</v>
      </c>
      <c r="U84">
        <f t="shared" si="10"/>
        <v>2025</v>
      </c>
      <c r="V84">
        <f t="shared" si="11"/>
        <v>11</v>
      </c>
    </row>
    <row r="85" spans="1:22" x14ac:dyDescent="0.3">
      <c r="A85" s="8" t="s">
        <v>126</v>
      </c>
      <c r="B85" s="9">
        <v>20250925</v>
      </c>
      <c r="C85" s="9" t="s">
        <v>16</v>
      </c>
      <c r="D85" s="9" t="s">
        <v>68</v>
      </c>
      <c r="E85" s="9" t="s">
        <v>22</v>
      </c>
      <c r="F85" s="9">
        <v>28609</v>
      </c>
      <c r="G85" s="9">
        <v>33616</v>
      </c>
      <c r="H85" s="9">
        <v>3354</v>
      </c>
      <c r="I85" s="9">
        <v>229</v>
      </c>
      <c r="J85" s="9">
        <v>504</v>
      </c>
      <c r="K85" s="9">
        <v>149</v>
      </c>
      <c r="L85" s="9">
        <v>0</v>
      </c>
      <c r="M85" s="9">
        <v>324</v>
      </c>
      <c r="N85" s="12">
        <v>0.84375</v>
      </c>
      <c r="O85" s="10" t="s">
        <v>19</v>
      </c>
      <c r="P85">
        <f t="shared" si="6"/>
        <v>1</v>
      </c>
      <c r="R85">
        <f t="shared" si="7"/>
        <v>4236</v>
      </c>
      <c r="S85">
        <f t="shared" si="8"/>
        <v>6.7537771482530689</v>
      </c>
      <c r="T85" t="str">
        <f t="shared" si="9"/>
        <v>Medium</v>
      </c>
      <c r="U85">
        <f t="shared" si="10"/>
        <v>2025</v>
      </c>
      <c r="V85">
        <f t="shared" si="11"/>
        <v>9</v>
      </c>
    </row>
    <row r="86" spans="1:22" x14ac:dyDescent="0.3">
      <c r="A86" s="5" t="s">
        <v>127</v>
      </c>
      <c r="B86" s="6">
        <v>20251027</v>
      </c>
      <c r="C86" s="6" t="s">
        <v>32</v>
      </c>
      <c r="D86" s="6" t="s">
        <v>29</v>
      </c>
      <c r="E86" s="6" t="s">
        <v>51</v>
      </c>
      <c r="F86" s="6">
        <v>9363</v>
      </c>
      <c r="G86" s="6">
        <v>13617</v>
      </c>
      <c r="H86" s="6">
        <v>1034</v>
      </c>
      <c r="I86" s="6">
        <v>50</v>
      </c>
      <c r="J86" s="6">
        <v>86</v>
      </c>
      <c r="K86" s="6">
        <v>51</v>
      </c>
      <c r="L86" s="6">
        <v>0</v>
      </c>
      <c r="M86" s="6">
        <v>58</v>
      </c>
      <c r="N86" s="11">
        <v>0.6875</v>
      </c>
      <c r="O86" s="7" t="s">
        <v>19</v>
      </c>
      <c r="P86">
        <f t="shared" si="6"/>
        <v>1</v>
      </c>
      <c r="R86">
        <f t="shared" si="7"/>
        <v>1221</v>
      </c>
      <c r="S86">
        <f t="shared" si="8"/>
        <v>7.6683046683046685</v>
      </c>
      <c r="T86" t="str">
        <f t="shared" si="9"/>
        <v>Medium</v>
      </c>
      <c r="U86">
        <f t="shared" si="10"/>
        <v>2025</v>
      </c>
      <c r="V86">
        <f t="shared" si="11"/>
        <v>10</v>
      </c>
    </row>
    <row r="87" spans="1:22" x14ac:dyDescent="0.3">
      <c r="A87" s="8" t="s">
        <v>128</v>
      </c>
      <c r="B87" s="9">
        <v>20260208</v>
      </c>
      <c r="C87" s="9" t="s">
        <v>16</v>
      </c>
      <c r="D87" s="9" t="s">
        <v>17</v>
      </c>
      <c r="E87" s="9" t="s">
        <v>41</v>
      </c>
      <c r="F87" s="9">
        <v>78955</v>
      </c>
      <c r="G87" s="9">
        <v>126097</v>
      </c>
      <c r="H87" s="9">
        <v>7143</v>
      </c>
      <c r="I87" s="9">
        <v>749</v>
      </c>
      <c r="J87" s="9">
        <v>952</v>
      </c>
      <c r="K87" s="9">
        <v>482</v>
      </c>
      <c r="L87" s="9">
        <v>30726</v>
      </c>
      <c r="M87" s="9">
        <v>417</v>
      </c>
      <c r="N87" s="12">
        <v>0.73958333333333337</v>
      </c>
      <c r="O87" s="10" t="s">
        <v>23</v>
      </c>
      <c r="P87">
        <f t="shared" si="6"/>
        <v>1</v>
      </c>
      <c r="R87">
        <f t="shared" si="7"/>
        <v>9326</v>
      </c>
      <c r="S87">
        <f t="shared" si="8"/>
        <v>8.4661162341840015</v>
      </c>
      <c r="T87" t="str">
        <f t="shared" si="9"/>
        <v>Medium</v>
      </c>
      <c r="U87">
        <f t="shared" si="10"/>
        <v>2026</v>
      </c>
      <c r="V87">
        <f t="shared" si="11"/>
        <v>2</v>
      </c>
    </row>
    <row r="88" spans="1:22" x14ac:dyDescent="0.3">
      <c r="A88" s="5" t="s">
        <v>129</v>
      </c>
      <c r="B88" s="6">
        <v>20260422</v>
      </c>
      <c r="C88" s="6" t="s">
        <v>44</v>
      </c>
      <c r="D88" s="6" t="s">
        <v>36</v>
      </c>
      <c r="E88" s="6" t="s">
        <v>18</v>
      </c>
      <c r="F88" s="6">
        <v>86055</v>
      </c>
      <c r="G88" s="6">
        <v>140938</v>
      </c>
      <c r="H88" s="6">
        <v>3926</v>
      </c>
      <c r="I88" s="6">
        <v>274</v>
      </c>
      <c r="J88" s="6">
        <v>351</v>
      </c>
      <c r="K88" s="6">
        <v>185</v>
      </c>
      <c r="L88" s="6">
        <v>0</v>
      </c>
      <c r="M88" s="6">
        <v>1333</v>
      </c>
      <c r="N88" s="11">
        <v>0.41666666666666669</v>
      </c>
      <c r="O88" s="7" t="s">
        <v>34</v>
      </c>
      <c r="P88">
        <f t="shared" si="6"/>
        <v>1</v>
      </c>
      <c r="R88">
        <f t="shared" si="7"/>
        <v>4736</v>
      </c>
      <c r="S88">
        <f t="shared" si="8"/>
        <v>18.17039695945946</v>
      </c>
      <c r="T88" t="str">
        <f t="shared" si="9"/>
        <v>High</v>
      </c>
      <c r="U88">
        <f t="shared" si="10"/>
        <v>2026</v>
      </c>
      <c r="V88">
        <f t="shared" si="11"/>
        <v>4</v>
      </c>
    </row>
    <row r="89" spans="1:22" x14ac:dyDescent="0.3">
      <c r="A89" s="8" t="s">
        <v>130</v>
      </c>
      <c r="B89" s="9">
        <v>20260517</v>
      </c>
      <c r="C89" s="9" t="s">
        <v>25</v>
      </c>
      <c r="D89" s="9" t="s">
        <v>33</v>
      </c>
      <c r="E89" s="9" t="s">
        <v>26</v>
      </c>
      <c r="F89" s="9">
        <v>10700</v>
      </c>
      <c r="G89" s="9">
        <v>16157</v>
      </c>
      <c r="H89" s="9">
        <v>1029</v>
      </c>
      <c r="I89" s="9">
        <v>115</v>
      </c>
      <c r="J89" s="9">
        <v>34</v>
      </c>
      <c r="K89" s="9">
        <v>105</v>
      </c>
      <c r="L89" s="9">
        <v>7080</v>
      </c>
      <c r="M89" s="9">
        <v>59</v>
      </c>
      <c r="N89" s="12">
        <v>0.57291666666666663</v>
      </c>
      <c r="O89" s="10" t="s">
        <v>23</v>
      </c>
      <c r="P89">
        <f t="shared" si="6"/>
        <v>1</v>
      </c>
      <c r="R89">
        <f t="shared" si="7"/>
        <v>1283</v>
      </c>
      <c r="S89">
        <f t="shared" si="8"/>
        <v>8.339828526890102</v>
      </c>
      <c r="T89" t="str">
        <f t="shared" si="9"/>
        <v>Medium</v>
      </c>
      <c r="U89">
        <f t="shared" si="10"/>
        <v>2026</v>
      </c>
      <c r="V89">
        <f t="shared" si="11"/>
        <v>5</v>
      </c>
    </row>
    <row r="90" spans="1:22" x14ac:dyDescent="0.3">
      <c r="A90" s="5" t="s">
        <v>131</v>
      </c>
      <c r="B90" s="6">
        <v>20260505</v>
      </c>
      <c r="C90" s="6" t="s">
        <v>16</v>
      </c>
      <c r="D90" s="6" t="s">
        <v>33</v>
      </c>
      <c r="E90" s="6" t="s">
        <v>51</v>
      </c>
      <c r="F90" s="6">
        <v>33212</v>
      </c>
      <c r="G90" s="6">
        <v>49192</v>
      </c>
      <c r="H90" s="6">
        <v>3619</v>
      </c>
      <c r="I90" s="6">
        <v>107</v>
      </c>
      <c r="J90" s="6">
        <v>186</v>
      </c>
      <c r="K90" s="6">
        <v>373</v>
      </c>
      <c r="L90" s="6">
        <v>0</v>
      </c>
      <c r="M90" s="6">
        <v>222</v>
      </c>
      <c r="N90" s="11">
        <v>0.64583333333333337</v>
      </c>
      <c r="O90" s="7" t="s">
        <v>53</v>
      </c>
      <c r="P90">
        <f t="shared" si="6"/>
        <v>1</v>
      </c>
      <c r="R90">
        <f t="shared" si="7"/>
        <v>4285</v>
      </c>
      <c r="S90">
        <f t="shared" si="8"/>
        <v>7.7507584597432908</v>
      </c>
      <c r="T90" t="str">
        <f t="shared" si="9"/>
        <v>Medium</v>
      </c>
      <c r="U90">
        <f t="shared" si="10"/>
        <v>2026</v>
      </c>
      <c r="V90">
        <f t="shared" si="11"/>
        <v>5</v>
      </c>
    </row>
    <row r="91" spans="1:22" x14ac:dyDescent="0.3">
      <c r="A91" s="8" t="s">
        <v>132</v>
      </c>
      <c r="B91" s="9">
        <v>20250810</v>
      </c>
      <c r="C91" s="9" t="s">
        <v>16</v>
      </c>
      <c r="D91" s="9" t="s">
        <v>61</v>
      </c>
      <c r="E91" s="9" t="s">
        <v>46</v>
      </c>
      <c r="F91" s="9">
        <v>59584</v>
      </c>
      <c r="G91" s="9">
        <v>86744</v>
      </c>
      <c r="H91" s="9">
        <v>2451</v>
      </c>
      <c r="I91" s="9">
        <v>155</v>
      </c>
      <c r="J91" s="9">
        <v>294</v>
      </c>
      <c r="K91" s="9">
        <v>215</v>
      </c>
      <c r="L91" s="9">
        <v>31894</v>
      </c>
      <c r="M91" s="9">
        <v>256</v>
      </c>
      <c r="N91" s="12">
        <v>0.34375</v>
      </c>
      <c r="O91" s="10" t="s">
        <v>23</v>
      </c>
      <c r="P91">
        <f t="shared" si="6"/>
        <v>1</v>
      </c>
      <c r="R91">
        <f t="shared" si="7"/>
        <v>3115</v>
      </c>
      <c r="S91">
        <f t="shared" si="8"/>
        <v>19.128089887640449</v>
      </c>
      <c r="T91" t="str">
        <f t="shared" si="9"/>
        <v>High</v>
      </c>
      <c r="U91">
        <f t="shared" si="10"/>
        <v>2025</v>
      </c>
      <c r="V91">
        <f t="shared" si="11"/>
        <v>8</v>
      </c>
    </row>
    <row r="92" spans="1:22" x14ac:dyDescent="0.3">
      <c r="A92" s="5" t="s">
        <v>133</v>
      </c>
      <c r="B92" s="6">
        <v>20260421</v>
      </c>
      <c r="C92" s="6" t="s">
        <v>32</v>
      </c>
      <c r="D92" s="6" t="s">
        <v>33</v>
      </c>
      <c r="E92" s="6" t="s">
        <v>26</v>
      </c>
      <c r="F92" s="6">
        <v>5186</v>
      </c>
      <c r="G92" s="6">
        <v>7906</v>
      </c>
      <c r="H92" s="6">
        <v>437</v>
      </c>
      <c r="I92" s="6">
        <v>42</v>
      </c>
      <c r="J92" s="6">
        <v>80</v>
      </c>
      <c r="K92" s="6">
        <v>25</v>
      </c>
      <c r="L92" s="6">
        <v>2396</v>
      </c>
      <c r="M92" s="6">
        <v>71</v>
      </c>
      <c r="N92" s="11">
        <v>0.78125</v>
      </c>
      <c r="O92" s="7" t="s">
        <v>47</v>
      </c>
      <c r="P92">
        <f t="shared" si="6"/>
        <v>1</v>
      </c>
      <c r="R92">
        <f t="shared" si="7"/>
        <v>584</v>
      </c>
      <c r="S92">
        <f t="shared" si="8"/>
        <v>8.8801369863013697</v>
      </c>
      <c r="T92" t="str">
        <f t="shared" si="9"/>
        <v>Medium</v>
      </c>
      <c r="U92">
        <f t="shared" si="10"/>
        <v>2026</v>
      </c>
      <c r="V92">
        <f t="shared" si="11"/>
        <v>4</v>
      </c>
    </row>
    <row r="93" spans="1:22" x14ac:dyDescent="0.3">
      <c r="A93" s="8" t="s">
        <v>134</v>
      </c>
      <c r="B93" s="9">
        <v>20250120</v>
      </c>
      <c r="C93" s="9" t="s">
        <v>32</v>
      </c>
      <c r="D93" s="9" t="s">
        <v>21</v>
      </c>
      <c r="E93" s="9" t="s">
        <v>46</v>
      </c>
      <c r="F93" s="9">
        <v>13756</v>
      </c>
      <c r="G93" s="9">
        <v>16296</v>
      </c>
      <c r="H93" s="9">
        <v>924</v>
      </c>
      <c r="I93" s="9">
        <v>111</v>
      </c>
      <c r="J93" s="9">
        <v>130</v>
      </c>
      <c r="K93" s="9">
        <v>34</v>
      </c>
      <c r="L93" s="9">
        <v>11262</v>
      </c>
      <c r="M93" s="9">
        <v>185</v>
      </c>
      <c r="N93" s="12">
        <v>0.875</v>
      </c>
      <c r="O93" s="10" t="s">
        <v>23</v>
      </c>
      <c r="P93">
        <f t="shared" si="6"/>
        <v>1</v>
      </c>
      <c r="R93">
        <f t="shared" si="7"/>
        <v>1199</v>
      </c>
      <c r="S93">
        <f t="shared" si="8"/>
        <v>11.472894078398665</v>
      </c>
      <c r="T93" t="str">
        <f t="shared" si="9"/>
        <v>High</v>
      </c>
      <c r="U93">
        <f t="shared" si="10"/>
        <v>2025</v>
      </c>
      <c r="V93">
        <f t="shared" si="11"/>
        <v>1</v>
      </c>
    </row>
    <row r="94" spans="1:22" x14ac:dyDescent="0.3">
      <c r="A94" s="5" t="s">
        <v>135</v>
      </c>
      <c r="B94" s="6">
        <v>20251214</v>
      </c>
      <c r="C94" s="6" t="s">
        <v>32</v>
      </c>
      <c r="D94" s="6" t="s">
        <v>36</v>
      </c>
      <c r="E94" s="6" t="s">
        <v>51</v>
      </c>
      <c r="F94" s="6">
        <v>10552</v>
      </c>
      <c r="G94" s="6">
        <v>16607</v>
      </c>
      <c r="H94" s="6">
        <v>837</v>
      </c>
      <c r="I94" s="6">
        <v>51</v>
      </c>
      <c r="J94" s="6">
        <v>149</v>
      </c>
      <c r="K94" s="6">
        <v>77</v>
      </c>
      <c r="L94" s="6">
        <v>0</v>
      </c>
      <c r="M94" s="6">
        <v>104</v>
      </c>
      <c r="N94" s="11">
        <v>0.82291666666666663</v>
      </c>
      <c r="O94" s="7" t="s">
        <v>34</v>
      </c>
      <c r="P94">
        <f t="shared" si="6"/>
        <v>1</v>
      </c>
      <c r="R94">
        <f t="shared" si="7"/>
        <v>1114</v>
      </c>
      <c r="S94">
        <f t="shared" si="8"/>
        <v>9.4721723518850993</v>
      </c>
      <c r="T94" t="str">
        <f t="shared" si="9"/>
        <v>Medium</v>
      </c>
      <c r="U94">
        <f t="shared" si="10"/>
        <v>2025</v>
      </c>
      <c r="V94">
        <f t="shared" si="11"/>
        <v>12</v>
      </c>
    </row>
    <row r="95" spans="1:22" x14ac:dyDescent="0.3">
      <c r="A95" s="8" t="s">
        <v>136</v>
      </c>
      <c r="B95" s="9">
        <v>20251022</v>
      </c>
      <c r="C95" s="9" t="s">
        <v>25</v>
      </c>
      <c r="D95" s="9" t="s">
        <v>21</v>
      </c>
      <c r="E95" s="9" t="s">
        <v>51</v>
      </c>
      <c r="F95" s="9">
        <v>12305</v>
      </c>
      <c r="G95" s="9">
        <v>15793</v>
      </c>
      <c r="H95" s="9">
        <v>321</v>
      </c>
      <c r="I95" s="9">
        <v>25</v>
      </c>
      <c r="J95" s="9">
        <v>24</v>
      </c>
      <c r="K95" s="9">
        <v>7</v>
      </c>
      <c r="L95" s="9">
        <v>0</v>
      </c>
      <c r="M95" s="9">
        <v>214</v>
      </c>
      <c r="N95" s="12">
        <v>0.55208333333333337</v>
      </c>
      <c r="O95" s="10" t="s">
        <v>34</v>
      </c>
      <c r="P95">
        <f t="shared" si="6"/>
        <v>1</v>
      </c>
      <c r="R95">
        <f t="shared" si="7"/>
        <v>377</v>
      </c>
      <c r="S95">
        <f t="shared" si="8"/>
        <v>32.639257294429711</v>
      </c>
      <c r="T95" t="str">
        <f t="shared" si="9"/>
        <v>High</v>
      </c>
      <c r="U95">
        <f t="shared" si="10"/>
        <v>2025</v>
      </c>
      <c r="V95">
        <f t="shared" si="11"/>
        <v>10</v>
      </c>
    </row>
    <row r="96" spans="1:22" x14ac:dyDescent="0.3">
      <c r="A96" s="5" t="s">
        <v>137</v>
      </c>
      <c r="B96" s="6">
        <v>20250304</v>
      </c>
      <c r="C96" s="6" t="s">
        <v>40</v>
      </c>
      <c r="D96" s="6" t="s">
        <v>61</v>
      </c>
      <c r="E96" s="6" t="s">
        <v>51</v>
      </c>
      <c r="F96" s="6">
        <v>24824</v>
      </c>
      <c r="G96" s="6">
        <v>29101</v>
      </c>
      <c r="H96" s="6">
        <v>717</v>
      </c>
      <c r="I96" s="6">
        <v>63</v>
      </c>
      <c r="J96" s="6">
        <v>142</v>
      </c>
      <c r="K96" s="6">
        <v>74</v>
      </c>
      <c r="L96" s="6">
        <v>0</v>
      </c>
      <c r="M96" s="6">
        <v>339</v>
      </c>
      <c r="N96" s="11">
        <v>0.76041666666666663</v>
      </c>
      <c r="O96" s="7" t="s">
        <v>30</v>
      </c>
      <c r="P96">
        <f t="shared" si="6"/>
        <v>1</v>
      </c>
      <c r="R96">
        <f t="shared" si="7"/>
        <v>996</v>
      </c>
      <c r="S96">
        <f t="shared" si="8"/>
        <v>24.923694779116467</v>
      </c>
      <c r="T96" t="str">
        <f t="shared" si="9"/>
        <v>High</v>
      </c>
      <c r="U96">
        <f t="shared" si="10"/>
        <v>2025</v>
      </c>
      <c r="V96">
        <f t="shared" si="11"/>
        <v>3</v>
      </c>
    </row>
    <row r="97" spans="1:22" x14ac:dyDescent="0.3">
      <c r="A97" s="8" t="s">
        <v>138</v>
      </c>
      <c r="B97" s="9">
        <v>20260518</v>
      </c>
      <c r="C97" s="9" t="s">
        <v>16</v>
      </c>
      <c r="D97" s="9" t="s">
        <v>61</v>
      </c>
      <c r="E97" s="9" t="s">
        <v>46</v>
      </c>
      <c r="F97" s="9">
        <v>20379</v>
      </c>
      <c r="G97" s="9">
        <v>27441</v>
      </c>
      <c r="H97" s="9">
        <v>1402</v>
      </c>
      <c r="I97" s="9">
        <v>66</v>
      </c>
      <c r="J97" s="9">
        <v>185</v>
      </c>
      <c r="K97" s="9">
        <v>116</v>
      </c>
      <c r="L97" s="9">
        <v>7805</v>
      </c>
      <c r="M97" s="9">
        <v>364</v>
      </c>
      <c r="N97" s="12">
        <v>0.5625</v>
      </c>
      <c r="O97" s="10" t="s">
        <v>23</v>
      </c>
      <c r="P97">
        <f t="shared" si="6"/>
        <v>1</v>
      </c>
      <c r="R97">
        <f t="shared" si="7"/>
        <v>1769</v>
      </c>
      <c r="S97">
        <f t="shared" si="8"/>
        <v>11.520067834934991</v>
      </c>
      <c r="T97" t="str">
        <f t="shared" si="9"/>
        <v>High</v>
      </c>
      <c r="U97">
        <f t="shared" si="10"/>
        <v>2026</v>
      </c>
      <c r="V97">
        <f t="shared" si="11"/>
        <v>5</v>
      </c>
    </row>
    <row r="98" spans="1:22" x14ac:dyDescent="0.3">
      <c r="A98" s="5" t="s">
        <v>139</v>
      </c>
      <c r="B98" s="6">
        <v>20260414</v>
      </c>
      <c r="C98" s="6" t="s">
        <v>40</v>
      </c>
      <c r="D98" s="6" t="s">
        <v>33</v>
      </c>
      <c r="E98" s="6" t="s">
        <v>22</v>
      </c>
      <c r="F98" s="6">
        <v>12231</v>
      </c>
      <c r="G98" s="6">
        <v>15689</v>
      </c>
      <c r="H98" s="6">
        <v>728</v>
      </c>
      <c r="I98" s="6">
        <v>61</v>
      </c>
      <c r="J98" s="6">
        <v>21</v>
      </c>
      <c r="K98" s="6">
        <v>81</v>
      </c>
      <c r="L98" s="6">
        <v>0</v>
      </c>
      <c r="M98" s="6">
        <v>17</v>
      </c>
      <c r="N98" s="11">
        <v>0.51041666666666663</v>
      </c>
      <c r="O98" s="7" t="s">
        <v>38</v>
      </c>
      <c r="P98">
        <f t="shared" si="6"/>
        <v>1</v>
      </c>
      <c r="R98">
        <f t="shared" si="7"/>
        <v>891</v>
      </c>
      <c r="S98">
        <f t="shared" si="8"/>
        <v>13.727272727272727</v>
      </c>
      <c r="T98" t="str">
        <f t="shared" si="9"/>
        <v>High</v>
      </c>
      <c r="U98">
        <f t="shared" si="10"/>
        <v>2026</v>
      </c>
      <c r="V98">
        <f t="shared" si="11"/>
        <v>4</v>
      </c>
    </row>
    <row r="99" spans="1:22" x14ac:dyDescent="0.3">
      <c r="A99" s="8" t="s">
        <v>140</v>
      </c>
      <c r="B99" s="9">
        <v>20260318</v>
      </c>
      <c r="C99" s="9" t="s">
        <v>25</v>
      </c>
      <c r="D99" s="9" t="s">
        <v>36</v>
      </c>
      <c r="E99" s="9" t="s">
        <v>18</v>
      </c>
      <c r="F99" s="9">
        <v>7749</v>
      </c>
      <c r="G99" s="9">
        <v>10634</v>
      </c>
      <c r="H99" s="9">
        <v>344</v>
      </c>
      <c r="I99" s="9">
        <v>40</v>
      </c>
      <c r="J99" s="9">
        <v>29</v>
      </c>
      <c r="K99" s="9">
        <v>47</v>
      </c>
      <c r="L99" s="9">
        <v>0</v>
      </c>
      <c r="M99" s="9">
        <v>133</v>
      </c>
      <c r="N99" s="12">
        <v>0.65625</v>
      </c>
      <c r="O99" s="10" t="s">
        <v>49</v>
      </c>
      <c r="P99">
        <f t="shared" si="6"/>
        <v>1</v>
      </c>
      <c r="R99">
        <f t="shared" si="7"/>
        <v>460</v>
      </c>
      <c r="S99">
        <f t="shared" si="8"/>
        <v>16.845652173913045</v>
      </c>
      <c r="T99" t="str">
        <f t="shared" si="9"/>
        <v>High</v>
      </c>
      <c r="U99">
        <f t="shared" si="10"/>
        <v>2026</v>
      </c>
      <c r="V99">
        <f t="shared" si="11"/>
        <v>3</v>
      </c>
    </row>
    <row r="100" spans="1:22" x14ac:dyDescent="0.3">
      <c r="A100" s="5" t="s">
        <v>141</v>
      </c>
      <c r="B100" s="6">
        <v>20260609</v>
      </c>
      <c r="C100" s="6" t="s">
        <v>16</v>
      </c>
      <c r="D100" s="6" t="s">
        <v>36</v>
      </c>
      <c r="E100" s="6" t="s">
        <v>18</v>
      </c>
      <c r="F100" s="6">
        <v>15751</v>
      </c>
      <c r="G100" s="6">
        <v>17839</v>
      </c>
      <c r="H100" s="6">
        <v>1765</v>
      </c>
      <c r="I100" s="6">
        <v>163</v>
      </c>
      <c r="J100" s="6">
        <v>122</v>
      </c>
      <c r="K100" s="6">
        <v>57</v>
      </c>
      <c r="L100" s="6">
        <v>0</v>
      </c>
      <c r="M100" s="6">
        <v>92</v>
      </c>
      <c r="N100" s="11">
        <v>0.54166666666666663</v>
      </c>
      <c r="O100" s="7" t="s">
        <v>30</v>
      </c>
      <c r="P100">
        <f t="shared" si="6"/>
        <v>1</v>
      </c>
      <c r="R100">
        <f t="shared" si="7"/>
        <v>2107</v>
      </c>
      <c r="S100">
        <f t="shared" si="8"/>
        <v>7.4755576649264359</v>
      </c>
      <c r="T100" t="str">
        <f t="shared" si="9"/>
        <v>Medium</v>
      </c>
      <c r="U100">
        <f t="shared" si="10"/>
        <v>2026</v>
      </c>
      <c r="V100">
        <f t="shared" si="11"/>
        <v>6</v>
      </c>
    </row>
    <row r="101" spans="1:22" x14ac:dyDescent="0.3">
      <c r="A101" s="8" t="s">
        <v>142</v>
      </c>
      <c r="B101" s="9">
        <v>20251030</v>
      </c>
      <c r="C101" s="9" t="s">
        <v>44</v>
      </c>
      <c r="D101" s="9" t="s">
        <v>17</v>
      </c>
      <c r="E101" s="9" t="s">
        <v>46</v>
      </c>
      <c r="F101" s="9">
        <v>93606</v>
      </c>
      <c r="G101" s="9">
        <v>141284</v>
      </c>
      <c r="H101" s="9">
        <v>8855</v>
      </c>
      <c r="I101" s="9">
        <v>1104</v>
      </c>
      <c r="J101" s="9">
        <v>350</v>
      </c>
      <c r="K101" s="9">
        <v>925</v>
      </c>
      <c r="L101" s="9">
        <v>60111</v>
      </c>
      <c r="M101" s="9">
        <v>298</v>
      </c>
      <c r="N101" s="12">
        <v>0.70833333333333337</v>
      </c>
      <c r="O101" s="10" t="s">
        <v>19</v>
      </c>
      <c r="P101">
        <f t="shared" si="6"/>
        <v>1</v>
      </c>
      <c r="R101">
        <f t="shared" si="7"/>
        <v>11234</v>
      </c>
      <c r="S101">
        <f t="shared" si="8"/>
        <v>8.3323838347872528</v>
      </c>
      <c r="T101" t="str">
        <f t="shared" si="9"/>
        <v>Medium</v>
      </c>
      <c r="U101">
        <f t="shared" si="10"/>
        <v>2025</v>
      </c>
      <c r="V101">
        <f t="shared" si="11"/>
        <v>10</v>
      </c>
    </row>
    <row r="102" spans="1:22" x14ac:dyDescent="0.3">
      <c r="A102" s="5" t="s">
        <v>143</v>
      </c>
      <c r="B102" s="6">
        <v>20260320</v>
      </c>
      <c r="C102" s="6" t="s">
        <v>16</v>
      </c>
      <c r="D102" s="6" t="s">
        <v>36</v>
      </c>
      <c r="E102" s="6" t="s">
        <v>41</v>
      </c>
      <c r="F102" s="6">
        <v>26922</v>
      </c>
      <c r="G102" s="6">
        <v>32532</v>
      </c>
      <c r="H102" s="6">
        <v>1775</v>
      </c>
      <c r="I102" s="6">
        <v>193</v>
      </c>
      <c r="J102" s="6">
        <v>68</v>
      </c>
      <c r="K102" s="6">
        <v>79</v>
      </c>
      <c r="L102" s="6">
        <v>20784</v>
      </c>
      <c r="M102" s="6">
        <v>64</v>
      </c>
      <c r="N102" s="11">
        <v>0.45833333333333331</v>
      </c>
      <c r="O102" s="7" t="s">
        <v>30</v>
      </c>
      <c r="P102">
        <f t="shared" si="6"/>
        <v>1</v>
      </c>
      <c r="R102">
        <f t="shared" si="7"/>
        <v>2115</v>
      </c>
      <c r="S102">
        <f t="shared" si="8"/>
        <v>12.729078014184397</v>
      </c>
      <c r="T102" t="str">
        <f t="shared" si="9"/>
        <v>High</v>
      </c>
      <c r="U102">
        <f t="shared" si="10"/>
        <v>2026</v>
      </c>
      <c r="V102">
        <f t="shared" si="11"/>
        <v>3</v>
      </c>
    </row>
    <row r="103" spans="1:22" x14ac:dyDescent="0.3">
      <c r="A103" s="8" t="s">
        <v>144</v>
      </c>
      <c r="B103" s="9">
        <v>20260701</v>
      </c>
      <c r="C103" s="9" t="s">
        <v>40</v>
      </c>
      <c r="D103" s="9" t="s">
        <v>36</v>
      </c>
      <c r="E103" s="9" t="s">
        <v>18</v>
      </c>
      <c r="F103" s="9">
        <v>13492</v>
      </c>
      <c r="G103" s="9">
        <v>22064</v>
      </c>
      <c r="H103" s="9">
        <v>435</v>
      </c>
      <c r="I103" s="9">
        <v>32</v>
      </c>
      <c r="J103" s="9">
        <v>79</v>
      </c>
      <c r="K103" s="9">
        <v>17</v>
      </c>
      <c r="L103" s="9">
        <v>0</v>
      </c>
      <c r="M103" s="9">
        <v>76</v>
      </c>
      <c r="N103" s="12">
        <v>0.46875</v>
      </c>
      <c r="O103" s="10" t="s">
        <v>23</v>
      </c>
      <c r="P103">
        <f t="shared" si="6"/>
        <v>1</v>
      </c>
      <c r="R103">
        <f t="shared" si="7"/>
        <v>563</v>
      </c>
      <c r="S103">
        <f t="shared" si="8"/>
        <v>23.964476021314386</v>
      </c>
      <c r="T103" t="str">
        <f t="shared" si="9"/>
        <v>High</v>
      </c>
      <c r="U103">
        <f t="shared" si="10"/>
        <v>2026</v>
      </c>
      <c r="V103">
        <f t="shared" si="11"/>
        <v>7</v>
      </c>
    </row>
    <row r="104" spans="1:22" x14ac:dyDescent="0.3">
      <c r="A104" s="5" t="s">
        <v>145</v>
      </c>
      <c r="B104" s="6">
        <v>20260405</v>
      </c>
      <c r="C104" s="6" t="s">
        <v>32</v>
      </c>
      <c r="D104" s="6" t="s">
        <v>29</v>
      </c>
      <c r="E104" s="6" t="s">
        <v>41</v>
      </c>
      <c r="F104" s="6">
        <v>10539</v>
      </c>
      <c r="G104" s="6">
        <v>11701</v>
      </c>
      <c r="H104" s="6">
        <v>615</v>
      </c>
      <c r="I104" s="6">
        <v>74</v>
      </c>
      <c r="J104" s="6">
        <v>113</v>
      </c>
      <c r="K104" s="6">
        <v>69</v>
      </c>
      <c r="L104" s="6">
        <v>7752</v>
      </c>
      <c r="M104" s="6">
        <v>12</v>
      </c>
      <c r="N104" s="11">
        <v>0.32291666666666669</v>
      </c>
      <c r="O104" s="7" t="s">
        <v>27</v>
      </c>
      <c r="P104">
        <f t="shared" si="6"/>
        <v>1</v>
      </c>
      <c r="R104">
        <f t="shared" si="7"/>
        <v>871</v>
      </c>
      <c r="S104">
        <f t="shared" si="8"/>
        <v>12.099885189437428</v>
      </c>
      <c r="T104" t="str">
        <f t="shared" si="9"/>
        <v>High</v>
      </c>
      <c r="U104">
        <f t="shared" si="10"/>
        <v>2026</v>
      </c>
      <c r="V104">
        <f t="shared" si="11"/>
        <v>4</v>
      </c>
    </row>
    <row r="105" spans="1:22" x14ac:dyDescent="0.3">
      <c r="A105" s="8" t="s">
        <v>146</v>
      </c>
      <c r="B105" s="9">
        <v>20251125</v>
      </c>
      <c r="C105" s="9" t="s">
        <v>44</v>
      </c>
      <c r="D105" s="9" t="s">
        <v>61</v>
      </c>
      <c r="E105" s="9" t="s">
        <v>46</v>
      </c>
      <c r="F105" s="9">
        <v>77350</v>
      </c>
      <c r="G105" s="9">
        <v>105282</v>
      </c>
      <c r="H105" s="9">
        <v>8353</v>
      </c>
      <c r="I105" s="9">
        <v>1036</v>
      </c>
      <c r="J105" s="9">
        <v>1507</v>
      </c>
      <c r="K105" s="9">
        <v>1320</v>
      </c>
      <c r="L105" s="9">
        <v>32239</v>
      </c>
      <c r="M105" s="9">
        <v>1316</v>
      </c>
      <c r="N105" s="12">
        <v>0.35416666666666669</v>
      </c>
      <c r="O105" s="10" t="s">
        <v>27</v>
      </c>
      <c r="P105">
        <f t="shared" si="6"/>
        <v>1</v>
      </c>
      <c r="R105">
        <f t="shared" si="7"/>
        <v>12216</v>
      </c>
      <c r="S105">
        <f t="shared" si="8"/>
        <v>6.3318598559266537</v>
      </c>
      <c r="T105" t="str">
        <f t="shared" si="9"/>
        <v>Medium</v>
      </c>
      <c r="U105">
        <f t="shared" si="10"/>
        <v>2025</v>
      </c>
      <c r="V105">
        <f t="shared" si="11"/>
        <v>11</v>
      </c>
    </row>
    <row r="106" spans="1:22" x14ac:dyDescent="0.3">
      <c r="A106" s="5" t="s">
        <v>147</v>
      </c>
      <c r="B106" s="6">
        <v>20260701</v>
      </c>
      <c r="C106" s="6" t="s">
        <v>25</v>
      </c>
      <c r="D106" s="6" t="s">
        <v>36</v>
      </c>
      <c r="E106" s="6" t="s">
        <v>26</v>
      </c>
      <c r="F106" s="6">
        <v>10693</v>
      </c>
      <c r="G106" s="6">
        <v>11586</v>
      </c>
      <c r="H106" s="6">
        <v>549</v>
      </c>
      <c r="I106" s="6">
        <v>27</v>
      </c>
      <c r="J106" s="6">
        <v>45</v>
      </c>
      <c r="K106" s="6">
        <v>31</v>
      </c>
      <c r="L106" s="6">
        <v>4656</v>
      </c>
      <c r="M106" s="6">
        <v>165</v>
      </c>
      <c r="N106" s="11">
        <v>0.625</v>
      </c>
      <c r="O106" s="7" t="s">
        <v>42</v>
      </c>
      <c r="P106">
        <f t="shared" si="6"/>
        <v>1</v>
      </c>
      <c r="R106">
        <f t="shared" si="7"/>
        <v>652</v>
      </c>
      <c r="S106">
        <f t="shared" si="8"/>
        <v>16.400306748466257</v>
      </c>
      <c r="T106" t="str">
        <f t="shared" si="9"/>
        <v>High</v>
      </c>
      <c r="U106">
        <f t="shared" si="10"/>
        <v>2026</v>
      </c>
      <c r="V106">
        <f t="shared" si="11"/>
        <v>7</v>
      </c>
    </row>
    <row r="107" spans="1:22" x14ac:dyDescent="0.3">
      <c r="A107" s="8" t="s">
        <v>148</v>
      </c>
      <c r="B107" s="9">
        <v>20250216</v>
      </c>
      <c r="C107" s="9" t="s">
        <v>16</v>
      </c>
      <c r="D107" s="9" t="s">
        <v>21</v>
      </c>
      <c r="E107" s="9" t="s">
        <v>41</v>
      </c>
      <c r="F107" s="9">
        <v>55308</v>
      </c>
      <c r="G107" s="9">
        <v>70157</v>
      </c>
      <c r="H107" s="9">
        <v>2151</v>
      </c>
      <c r="I107" s="9">
        <v>287</v>
      </c>
      <c r="J107" s="9">
        <v>105</v>
      </c>
      <c r="K107" s="9">
        <v>49</v>
      </c>
      <c r="L107" s="9">
        <v>47245</v>
      </c>
      <c r="M107" s="9">
        <v>161</v>
      </c>
      <c r="N107" s="12">
        <v>0.66666666666666663</v>
      </c>
      <c r="O107" s="10" t="s">
        <v>38</v>
      </c>
      <c r="P107">
        <f t="shared" si="6"/>
        <v>1</v>
      </c>
      <c r="R107">
        <f t="shared" si="7"/>
        <v>2592</v>
      </c>
      <c r="S107">
        <f t="shared" si="8"/>
        <v>21.337962962962962</v>
      </c>
      <c r="T107" t="str">
        <f t="shared" si="9"/>
        <v>High</v>
      </c>
      <c r="U107">
        <f t="shared" si="10"/>
        <v>2025</v>
      </c>
      <c r="V107">
        <f t="shared" si="11"/>
        <v>2</v>
      </c>
    </row>
    <row r="108" spans="1:22" x14ac:dyDescent="0.3">
      <c r="A108" s="5" t="s">
        <v>149</v>
      </c>
      <c r="B108" s="6">
        <v>20251101</v>
      </c>
      <c r="C108" s="6" t="s">
        <v>16</v>
      </c>
      <c r="D108" s="6" t="s">
        <v>33</v>
      </c>
      <c r="E108" s="6" t="s">
        <v>41</v>
      </c>
      <c r="F108" s="6">
        <v>77089</v>
      </c>
      <c r="G108" s="6">
        <v>82139</v>
      </c>
      <c r="H108" s="6">
        <v>6118</v>
      </c>
      <c r="I108" s="6">
        <v>264</v>
      </c>
      <c r="J108" s="6">
        <v>1098</v>
      </c>
      <c r="K108" s="6">
        <v>973</v>
      </c>
      <c r="L108" s="6">
        <v>33013</v>
      </c>
      <c r="M108" s="6">
        <v>927</v>
      </c>
      <c r="N108" s="11">
        <v>0.35416666666666669</v>
      </c>
      <c r="O108" s="7" t="s">
        <v>34</v>
      </c>
      <c r="P108">
        <f t="shared" si="6"/>
        <v>1</v>
      </c>
      <c r="R108">
        <f t="shared" si="7"/>
        <v>8453</v>
      </c>
      <c r="S108">
        <f t="shared" si="8"/>
        <v>9.1197208091801727</v>
      </c>
      <c r="T108" t="str">
        <f t="shared" si="9"/>
        <v>Medium</v>
      </c>
      <c r="U108">
        <f t="shared" si="10"/>
        <v>2025</v>
      </c>
      <c r="V108">
        <f t="shared" si="11"/>
        <v>11</v>
      </c>
    </row>
    <row r="109" spans="1:22" x14ac:dyDescent="0.3">
      <c r="A109" s="8" t="s">
        <v>150</v>
      </c>
      <c r="B109" s="9">
        <v>20251213</v>
      </c>
      <c r="C109" s="9" t="s">
        <v>44</v>
      </c>
      <c r="D109" s="9" t="s">
        <v>33</v>
      </c>
      <c r="E109" s="9" t="s">
        <v>41</v>
      </c>
      <c r="F109" s="9">
        <v>49633</v>
      </c>
      <c r="G109" s="9">
        <v>67835</v>
      </c>
      <c r="H109" s="9">
        <v>2708</v>
      </c>
      <c r="I109" s="9">
        <v>276</v>
      </c>
      <c r="J109" s="9">
        <v>94</v>
      </c>
      <c r="K109" s="9">
        <v>362</v>
      </c>
      <c r="L109" s="9">
        <v>19252</v>
      </c>
      <c r="M109" s="9">
        <v>636</v>
      </c>
      <c r="N109" s="12">
        <v>0.82291666666666663</v>
      </c>
      <c r="O109" s="10" t="s">
        <v>38</v>
      </c>
      <c r="P109">
        <f t="shared" si="6"/>
        <v>1</v>
      </c>
      <c r="R109">
        <f t="shared" si="7"/>
        <v>3440</v>
      </c>
      <c r="S109">
        <f t="shared" si="8"/>
        <v>14.428197674418605</v>
      </c>
      <c r="T109" t="str">
        <f t="shared" si="9"/>
        <v>High</v>
      </c>
      <c r="U109">
        <f t="shared" si="10"/>
        <v>2025</v>
      </c>
      <c r="V109">
        <f t="shared" si="11"/>
        <v>12</v>
      </c>
    </row>
    <row r="110" spans="1:22" x14ac:dyDescent="0.3">
      <c r="A110" s="5" t="s">
        <v>151</v>
      </c>
      <c r="B110" s="6">
        <v>20260717</v>
      </c>
      <c r="C110" s="6" t="s">
        <v>44</v>
      </c>
      <c r="D110" s="6" t="s">
        <v>36</v>
      </c>
      <c r="E110" s="6" t="s">
        <v>18</v>
      </c>
      <c r="F110" s="6">
        <v>31528</v>
      </c>
      <c r="G110" s="6">
        <v>36722</v>
      </c>
      <c r="H110" s="6">
        <v>2502</v>
      </c>
      <c r="I110" s="6">
        <v>81</v>
      </c>
      <c r="J110" s="6">
        <v>145</v>
      </c>
      <c r="K110" s="6">
        <v>329</v>
      </c>
      <c r="L110" s="6">
        <v>0</v>
      </c>
      <c r="M110" s="6">
        <v>149</v>
      </c>
      <c r="N110" s="11">
        <v>0.71875</v>
      </c>
      <c r="O110" s="7" t="s">
        <v>42</v>
      </c>
      <c r="P110">
        <f t="shared" si="6"/>
        <v>1</v>
      </c>
      <c r="R110">
        <f t="shared" si="7"/>
        <v>3057</v>
      </c>
      <c r="S110">
        <f t="shared" si="8"/>
        <v>10.313379129865881</v>
      </c>
      <c r="T110" t="str">
        <f t="shared" si="9"/>
        <v>High</v>
      </c>
      <c r="U110">
        <f t="shared" si="10"/>
        <v>2026</v>
      </c>
      <c r="V110">
        <f t="shared" si="11"/>
        <v>7</v>
      </c>
    </row>
    <row r="111" spans="1:22" x14ac:dyDescent="0.3">
      <c r="A111" s="8" t="s">
        <v>152</v>
      </c>
      <c r="B111" s="9">
        <v>20250916</v>
      </c>
      <c r="C111" s="9" t="s">
        <v>16</v>
      </c>
      <c r="D111" s="9" t="s">
        <v>21</v>
      </c>
      <c r="E111" s="9" t="s">
        <v>41</v>
      </c>
      <c r="F111" s="9">
        <v>50277</v>
      </c>
      <c r="G111" s="9">
        <v>73231</v>
      </c>
      <c r="H111" s="9">
        <v>4832</v>
      </c>
      <c r="I111" s="9">
        <v>531</v>
      </c>
      <c r="J111" s="9">
        <v>856</v>
      </c>
      <c r="K111" s="9">
        <v>147</v>
      </c>
      <c r="L111" s="9">
        <v>32635</v>
      </c>
      <c r="M111" s="9">
        <v>71</v>
      </c>
      <c r="N111" s="12">
        <v>0.3125</v>
      </c>
      <c r="O111" s="10" t="s">
        <v>47</v>
      </c>
      <c r="P111">
        <f t="shared" si="6"/>
        <v>1</v>
      </c>
      <c r="R111">
        <f t="shared" si="7"/>
        <v>6366</v>
      </c>
      <c r="S111">
        <f t="shared" si="8"/>
        <v>7.8977379830348724</v>
      </c>
      <c r="T111" t="str">
        <f t="shared" si="9"/>
        <v>Medium</v>
      </c>
      <c r="U111">
        <f t="shared" si="10"/>
        <v>2025</v>
      </c>
      <c r="V111">
        <f t="shared" si="11"/>
        <v>9</v>
      </c>
    </row>
    <row r="112" spans="1:22" x14ac:dyDescent="0.3">
      <c r="A112" s="5" t="s">
        <v>153</v>
      </c>
      <c r="B112" s="6">
        <v>20260304</v>
      </c>
      <c r="C112" s="6" t="s">
        <v>44</v>
      </c>
      <c r="D112" s="6" t="s">
        <v>36</v>
      </c>
      <c r="E112" s="6" t="s">
        <v>26</v>
      </c>
      <c r="F112" s="6">
        <v>49394</v>
      </c>
      <c r="G112" s="6">
        <v>80687</v>
      </c>
      <c r="H112" s="6">
        <v>2727</v>
      </c>
      <c r="I112" s="6">
        <v>344</v>
      </c>
      <c r="J112" s="6">
        <v>268</v>
      </c>
      <c r="K112" s="6">
        <v>417</v>
      </c>
      <c r="L112" s="6">
        <v>22346</v>
      </c>
      <c r="M112" s="6">
        <v>727</v>
      </c>
      <c r="N112" s="11">
        <v>0.72916666666666663</v>
      </c>
      <c r="O112" s="7" t="s">
        <v>30</v>
      </c>
      <c r="P112">
        <f t="shared" si="6"/>
        <v>1</v>
      </c>
      <c r="R112">
        <f t="shared" si="7"/>
        <v>3756</v>
      </c>
      <c r="S112">
        <f t="shared" si="8"/>
        <v>13.150692225772097</v>
      </c>
      <c r="T112" t="str">
        <f t="shared" si="9"/>
        <v>High</v>
      </c>
      <c r="U112">
        <f t="shared" si="10"/>
        <v>2026</v>
      </c>
      <c r="V112">
        <f t="shared" si="11"/>
        <v>3</v>
      </c>
    </row>
    <row r="113" spans="1:22" x14ac:dyDescent="0.3">
      <c r="A113" s="8" t="s">
        <v>154</v>
      </c>
      <c r="B113" s="9">
        <v>20250108</v>
      </c>
      <c r="C113" s="9" t="s">
        <v>32</v>
      </c>
      <c r="D113" s="9" t="s">
        <v>29</v>
      </c>
      <c r="E113" s="9" t="s">
        <v>18</v>
      </c>
      <c r="F113" s="9">
        <v>3427</v>
      </c>
      <c r="G113" s="9">
        <v>4947</v>
      </c>
      <c r="H113" s="9">
        <v>311</v>
      </c>
      <c r="I113" s="9">
        <v>10</v>
      </c>
      <c r="J113" s="9">
        <v>59</v>
      </c>
      <c r="K113" s="9">
        <v>29</v>
      </c>
      <c r="L113" s="9">
        <v>0</v>
      </c>
      <c r="M113" s="9">
        <v>60</v>
      </c>
      <c r="N113" s="12">
        <v>0.38541666666666669</v>
      </c>
      <c r="O113" s="10" t="s">
        <v>30</v>
      </c>
      <c r="P113">
        <f t="shared" si="6"/>
        <v>1</v>
      </c>
      <c r="R113">
        <f t="shared" si="7"/>
        <v>409</v>
      </c>
      <c r="S113">
        <f t="shared" si="8"/>
        <v>8.3789731051344738</v>
      </c>
      <c r="T113" t="str">
        <f t="shared" si="9"/>
        <v>Medium</v>
      </c>
      <c r="U113">
        <f t="shared" si="10"/>
        <v>2025</v>
      </c>
      <c r="V113">
        <f t="shared" si="11"/>
        <v>1</v>
      </c>
    </row>
    <row r="114" spans="1:22" x14ac:dyDescent="0.3">
      <c r="A114" s="5" t="s">
        <v>155</v>
      </c>
      <c r="B114" s="6">
        <v>20260121</v>
      </c>
      <c r="C114" s="6" t="s">
        <v>40</v>
      </c>
      <c r="D114" s="6" t="s">
        <v>68</v>
      </c>
      <c r="E114" s="6" t="s">
        <v>22</v>
      </c>
      <c r="F114" s="6">
        <v>12662</v>
      </c>
      <c r="G114" s="6">
        <v>20293</v>
      </c>
      <c r="H114" s="6">
        <v>716</v>
      </c>
      <c r="I114" s="6"/>
      <c r="J114" s="6">
        <v>55</v>
      </c>
      <c r="K114" s="6">
        <v>56</v>
      </c>
      <c r="L114" s="6">
        <v>0</v>
      </c>
      <c r="M114" s="6">
        <v>172</v>
      </c>
      <c r="N114" s="11">
        <v>0.36458333333333331</v>
      </c>
      <c r="O114" s="7" t="s">
        <v>19</v>
      </c>
      <c r="P114">
        <f t="shared" si="6"/>
        <v>1</v>
      </c>
      <c r="R114">
        <f t="shared" si="7"/>
        <v>827</v>
      </c>
      <c r="S114">
        <f t="shared" si="8"/>
        <v>15.310761789600967</v>
      </c>
      <c r="T114" t="str">
        <f t="shared" si="9"/>
        <v>High</v>
      </c>
      <c r="U114">
        <f t="shared" si="10"/>
        <v>2026</v>
      </c>
      <c r="V114">
        <f t="shared" si="11"/>
        <v>1</v>
      </c>
    </row>
    <row r="115" spans="1:22" x14ac:dyDescent="0.3">
      <c r="A115" s="8" t="s">
        <v>156</v>
      </c>
      <c r="B115" s="9">
        <v>20260209</v>
      </c>
      <c r="C115" s="9" t="s">
        <v>40</v>
      </c>
      <c r="D115" s="9" t="s">
        <v>33</v>
      </c>
      <c r="E115" s="9" t="s">
        <v>51</v>
      </c>
      <c r="F115" s="9">
        <v>10204</v>
      </c>
      <c r="G115" s="9">
        <v>15007</v>
      </c>
      <c r="H115" s="9">
        <v>1020</v>
      </c>
      <c r="I115" s="9">
        <v>118</v>
      </c>
      <c r="J115" s="9">
        <v>39</v>
      </c>
      <c r="K115" s="9">
        <v>109</v>
      </c>
      <c r="L115" s="9">
        <v>0</v>
      </c>
      <c r="M115" s="9">
        <v>128</v>
      </c>
      <c r="N115" s="12">
        <v>0.57291666666666663</v>
      </c>
      <c r="O115" s="10" t="s">
        <v>19</v>
      </c>
      <c r="P115">
        <f t="shared" si="6"/>
        <v>1</v>
      </c>
      <c r="R115">
        <f t="shared" si="7"/>
        <v>1286</v>
      </c>
      <c r="S115">
        <f t="shared" si="8"/>
        <v>7.9346811819595642</v>
      </c>
      <c r="T115" t="str">
        <f t="shared" si="9"/>
        <v>Medium</v>
      </c>
      <c r="U115">
        <f t="shared" si="10"/>
        <v>2026</v>
      </c>
      <c r="V115">
        <f t="shared" si="11"/>
        <v>2</v>
      </c>
    </row>
    <row r="116" spans="1:22" x14ac:dyDescent="0.3">
      <c r="A116" s="5" t="s">
        <v>157</v>
      </c>
      <c r="B116" s="6">
        <v>20260803</v>
      </c>
      <c r="C116" s="6" t="s">
        <v>16</v>
      </c>
      <c r="D116" s="6" t="s">
        <v>17</v>
      </c>
      <c r="E116" s="6" t="s">
        <v>26</v>
      </c>
      <c r="F116" s="6">
        <v>12004</v>
      </c>
      <c r="G116" s="6">
        <v>13849</v>
      </c>
      <c r="H116" s="6">
        <v>631</v>
      </c>
      <c r="I116" s="6">
        <v>69</v>
      </c>
      <c r="J116" s="6">
        <v>35</v>
      </c>
      <c r="K116" s="6">
        <v>25</v>
      </c>
      <c r="L116" s="6">
        <v>10516</v>
      </c>
      <c r="M116" s="6">
        <v>165</v>
      </c>
      <c r="N116" s="11">
        <v>0.625</v>
      </c>
      <c r="O116" s="7" t="s">
        <v>23</v>
      </c>
      <c r="P116">
        <f t="shared" si="6"/>
        <v>1</v>
      </c>
      <c r="R116">
        <f t="shared" si="7"/>
        <v>760</v>
      </c>
      <c r="S116">
        <f t="shared" si="8"/>
        <v>15.794736842105262</v>
      </c>
      <c r="T116" t="str">
        <f t="shared" si="9"/>
        <v>High</v>
      </c>
      <c r="U116">
        <f t="shared" si="10"/>
        <v>2026</v>
      </c>
      <c r="V116">
        <f t="shared" si="11"/>
        <v>8</v>
      </c>
    </row>
    <row r="117" spans="1:22" x14ac:dyDescent="0.3">
      <c r="A117" s="8" t="s">
        <v>158</v>
      </c>
      <c r="B117" s="9">
        <v>20260715</v>
      </c>
      <c r="C117" s="9" t="s">
        <v>16</v>
      </c>
      <c r="D117" s="9" t="s">
        <v>17</v>
      </c>
      <c r="E117" s="9" t="s">
        <v>46</v>
      </c>
      <c r="F117" s="9">
        <v>10772</v>
      </c>
      <c r="G117" s="9">
        <v>16589</v>
      </c>
      <c r="H117" s="9">
        <v>1152</v>
      </c>
      <c r="I117" s="9">
        <v>127</v>
      </c>
      <c r="J117" s="9">
        <v>201</v>
      </c>
      <c r="K117" s="9">
        <v>164</v>
      </c>
      <c r="L117" s="9">
        <v>5633</v>
      </c>
      <c r="M117" s="9">
        <v>46</v>
      </c>
      <c r="N117" s="12">
        <v>0.42708333333333331</v>
      </c>
      <c r="O117" s="10" t="s">
        <v>38</v>
      </c>
      <c r="P117">
        <f t="shared" si="6"/>
        <v>1</v>
      </c>
      <c r="R117">
        <f t="shared" si="7"/>
        <v>1644</v>
      </c>
      <c r="S117">
        <f t="shared" si="8"/>
        <v>6.552311435523114</v>
      </c>
      <c r="T117" t="str">
        <f t="shared" si="9"/>
        <v>Medium</v>
      </c>
      <c r="U117">
        <f t="shared" si="10"/>
        <v>2026</v>
      </c>
      <c r="V117">
        <f t="shared" si="11"/>
        <v>7</v>
      </c>
    </row>
    <row r="118" spans="1:22" x14ac:dyDescent="0.3">
      <c r="A118" s="5" t="s">
        <v>159</v>
      </c>
      <c r="B118" s="6">
        <v>20250616</v>
      </c>
      <c r="C118" s="6" t="s">
        <v>16</v>
      </c>
      <c r="D118" s="6" t="s">
        <v>68</v>
      </c>
      <c r="E118" s="6" t="s">
        <v>22</v>
      </c>
      <c r="F118" s="6">
        <v>22876</v>
      </c>
      <c r="G118" s="6">
        <v>26733</v>
      </c>
      <c r="H118" s="6">
        <v>2688</v>
      </c>
      <c r="I118" s="6">
        <v>242</v>
      </c>
      <c r="J118" s="6">
        <v>211</v>
      </c>
      <c r="K118" s="6">
        <v>68</v>
      </c>
      <c r="L118" s="6">
        <v>0</v>
      </c>
      <c r="M118" s="6">
        <v>86</v>
      </c>
      <c r="N118" s="11">
        <v>0.76041666666666663</v>
      </c>
      <c r="O118" s="7" t="s">
        <v>38</v>
      </c>
      <c r="P118">
        <f t="shared" si="6"/>
        <v>1</v>
      </c>
      <c r="R118">
        <f t="shared" si="7"/>
        <v>3209</v>
      </c>
      <c r="S118">
        <f t="shared" si="8"/>
        <v>7.1287005297600494</v>
      </c>
      <c r="T118" t="str">
        <f t="shared" si="9"/>
        <v>Medium</v>
      </c>
      <c r="U118">
        <f t="shared" si="10"/>
        <v>2025</v>
      </c>
      <c r="V118">
        <f t="shared" si="11"/>
        <v>6</v>
      </c>
    </row>
    <row r="119" spans="1:22" x14ac:dyDescent="0.3">
      <c r="A119" s="8" t="s">
        <v>160</v>
      </c>
      <c r="B119" s="9">
        <v>20260930</v>
      </c>
      <c r="C119" s="9" t="s">
        <v>40</v>
      </c>
      <c r="D119" s="9" t="s">
        <v>21</v>
      </c>
      <c r="E119" s="9" t="s">
        <v>51</v>
      </c>
      <c r="F119" s="9">
        <v>20102</v>
      </c>
      <c r="G119" s="9">
        <v>29263</v>
      </c>
      <c r="H119" s="9">
        <v>1518</v>
      </c>
      <c r="I119" s="9">
        <v>191</v>
      </c>
      <c r="J119" s="9">
        <v>120</v>
      </c>
      <c r="K119" s="9">
        <v>62</v>
      </c>
      <c r="L119" s="9">
        <v>0</v>
      </c>
      <c r="M119" s="9">
        <v>80</v>
      </c>
      <c r="N119" s="12">
        <v>0.375</v>
      </c>
      <c r="O119" s="10" t="s">
        <v>53</v>
      </c>
      <c r="P119">
        <f t="shared" si="6"/>
        <v>1</v>
      </c>
      <c r="R119">
        <f t="shared" si="7"/>
        <v>1891</v>
      </c>
      <c r="S119">
        <f t="shared" si="8"/>
        <v>10.630354309888947</v>
      </c>
      <c r="T119" t="str">
        <f t="shared" si="9"/>
        <v>High</v>
      </c>
      <c r="U119">
        <f t="shared" si="10"/>
        <v>2026</v>
      </c>
      <c r="V119">
        <f t="shared" si="11"/>
        <v>9</v>
      </c>
    </row>
    <row r="120" spans="1:22" x14ac:dyDescent="0.3">
      <c r="A120" s="5" t="s">
        <v>161</v>
      </c>
      <c r="B120" s="6">
        <v>20251110</v>
      </c>
      <c r="C120" s="6" t="s">
        <v>44</v>
      </c>
      <c r="D120" s="6" t="s">
        <v>61</v>
      </c>
      <c r="E120" s="6" t="s">
        <v>18</v>
      </c>
      <c r="F120" s="6">
        <v>42633</v>
      </c>
      <c r="G120" s="6">
        <v>60761</v>
      </c>
      <c r="H120" s="6">
        <v>2154</v>
      </c>
      <c r="I120" s="6">
        <v>245</v>
      </c>
      <c r="J120" s="6">
        <v>329</v>
      </c>
      <c r="K120" s="6">
        <v>146</v>
      </c>
      <c r="L120" s="6">
        <v>0</v>
      </c>
      <c r="M120" s="6">
        <v>290</v>
      </c>
      <c r="N120" s="11">
        <v>0.30208333333333331</v>
      </c>
      <c r="O120" s="7" t="s">
        <v>42</v>
      </c>
      <c r="P120">
        <f t="shared" si="6"/>
        <v>1</v>
      </c>
      <c r="R120">
        <f t="shared" si="7"/>
        <v>2874</v>
      </c>
      <c r="S120">
        <f t="shared" si="8"/>
        <v>14.834029227557412</v>
      </c>
      <c r="T120" t="str">
        <f t="shared" si="9"/>
        <v>High</v>
      </c>
      <c r="U120">
        <f t="shared" si="10"/>
        <v>2025</v>
      </c>
      <c r="V120">
        <f t="shared" si="11"/>
        <v>11</v>
      </c>
    </row>
    <row r="121" spans="1:22" x14ac:dyDescent="0.3">
      <c r="A121" s="8" t="s">
        <v>162</v>
      </c>
      <c r="B121" s="9">
        <v>20251005</v>
      </c>
      <c r="C121" s="9" t="s">
        <v>32</v>
      </c>
      <c r="D121" s="9" t="s">
        <v>21</v>
      </c>
      <c r="E121" s="9" t="s">
        <v>46</v>
      </c>
      <c r="F121" s="9">
        <v>15250</v>
      </c>
      <c r="G121" s="9">
        <v>20708</v>
      </c>
      <c r="H121" s="9">
        <v>841</v>
      </c>
      <c r="I121" s="9">
        <v>40</v>
      </c>
      <c r="J121" s="9">
        <v>25</v>
      </c>
      <c r="K121" s="9">
        <v>89</v>
      </c>
      <c r="L121" s="9">
        <v>7006</v>
      </c>
      <c r="M121" s="9">
        <v>26</v>
      </c>
      <c r="N121" s="12">
        <v>0.41666666666666669</v>
      </c>
      <c r="O121" s="10" t="s">
        <v>19</v>
      </c>
      <c r="P121">
        <f t="shared" si="6"/>
        <v>1</v>
      </c>
      <c r="R121">
        <f t="shared" si="7"/>
        <v>995</v>
      </c>
      <c r="S121">
        <f t="shared" si="8"/>
        <v>15.326633165829145</v>
      </c>
      <c r="T121" t="str">
        <f t="shared" si="9"/>
        <v>High</v>
      </c>
      <c r="U121">
        <f t="shared" si="10"/>
        <v>2025</v>
      </c>
      <c r="V121">
        <f t="shared" si="11"/>
        <v>10</v>
      </c>
    </row>
    <row r="122" spans="1:22" x14ac:dyDescent="0.3">
      <c r="A122" s="5" t="s">
        <v>163</v>
      </c>
      <c r="B122" s="6">
        <v>20250114</v>
      </c>
      <c r="C122" s="6" t="s">
        <v>16</v>
      </c>
      <c r="D122" s="6" t="s">
        <v>21</v>
      </c>
      <c r="E122" s="6" t="s">
        <v>26</v>
      </c>
      <c r="F122" s="6">
        <v>42594</v>
      </c>
      <c r="G122" s="6">
        <v>53577</v>
      </c>
      <c r="H122" s="6">
        <v>4677</v>
      </c>
      <c r="I122" s="6">
        <v>564</v>
      </c>
      <c r="J122" s="6">
        <v>613</v>
      </c>
      <c r="K122" s="6">
        <v>243</v>
      </c>
      <c r="L122" s="6">
        <v>33799</v>
      </c>
      <c r="M122" s="6">
        <v>687</v>
      </c>
      <c r="N122" s="11">
        <v>0.53125</v>
      </c>
      <c r="O122" s="7" t="s">
        <v>27</v>
      </c>
      <c r="P122">
        <f t="shared" si="6"/>
        <v>1</v>
      </c>
      <c r="R122">
        <f t="shared" si="7"/>
        <v>6097</v>
      </c>
      <c r="S122">
        <f t="shared" si="8"/>
        <v>6.9860587174020008</v>
      </c>
      <c r="T122" t="str">
        <f t="shared" si="9"/>
        <v>Medium</v>
      </c>
      <c r="U122">
        <f t="shared" si="10"/>
        <v>2025</v>
      </c>
      <c r="V122">
        <f t="shared" si="11"/>
        <v>1</v>
      </c>
    </row>
    <row r="123" spans="1:22" x14ac:dyDescent="0.3">
      <c r="A123" s="8" t="s">
        <v>164</v>
      </c>
      <c r="B123" s="9">
        <v>20260106</v>
      </c>
      <c r="C123" s="9" t="s">
        <v>25</v>
      </c>
      <c r="D123" s="9" t="s">
        <v>33</v>
      </c>
      <c r="E123" s="9" t="s">
        <v>46</v>
      </c>
      <c r="F123" s="9">
        <v>27290</v>
      </c>
      <c r="G123" s="9">
        <v>44014</v>
      </c>
      <c r="H123" s="9">
        <v>1421</v>
      </c>
      <c r="I123" s="9">
        <v>67</v>
      </c>
      <c r="J123" s="9">
        <v>80</v>
      </c>
      <c r="K123" s="9">
        <v>180</v>
      </c>
      <c r="L123" s="9">
        <v>14200</v>
      </c>
      <c r="M123" s="9">
        <v>443</v>
      </c>
      <c r="N123" s="12">
        <v>0.66666666666666663</v>
      </c>
      <c r="O123" s="10" t="s">
        <v>19</v>
      </c>
      <c r="P123">
        <f t="shared" si="6"/>
        <v>1</v>
      </c>
      <c r="R123">
        <f t="shared" si="7"/>
        <v>1748</v>
      </c>
      <c r="S123">
        <f t="shared" si="8"/>
        <v>15.61212814645309</v>
      </c>
      <c r="T123" t="str">
        <f t="shared" si="9"/>
        <v>High</v>
      </c>
      <c r="U123">
        <f t="shared" si="10"/>
        <v>2026</v>
      </c>
      <c r="V123">
        <f t="shared" si="11"/>
        <v>1</v>
      </c>
    </row>
    <row r="124" spans="1:22" x14ac:dyDescent="0.3">
      <c r="A124" s="5" t="s">
        <v>165</v>
      </c>
      <c r="B124" s="6">
        <v>20250327</v>
      </c>
      <c r="C124" s="6" t="s">
        <v>32</v>
      </c>
      <c r="D124" s="6" t="s">
        <v>33</v>
      </c>
      <c r="E124" s="6" t="s">
        <v>26</v>
      </c>
      <c r="F124" s="6">
        <v>8128</v>
      </c>
      <c r="G124" s="6">
        <v>10769</v>
      </c>
      <c r="H124" s="6">
        <v>352</v>
      </c>
      <c r="I124" s="6">
        <v>45</v>
      </c>
      <c r="J124" s="6">
        <v>53</v>
      </c>
      <c r="K124" s="6">
        <v>29</v>
      </c>
      <c r="L124" s="6">
        <v>4988</v>
      </c>
      <c r="M124" s="6">
        <v>91</v>
      </c>
      <c r="N124" s="11">
        <v>0.48958333333333331</v>
      </c>
      <c r="O124" s="7" t="s">
        <v>30</v>
      </c>
      <c r="P124">
        <f t="shared" si="6"/>
        <v>1</v>
      </c>
      <c r="R124">
        <f t="shared" si="7"/>
        <v>479</v>
      </c>
      <c r="S124">
        <f t="shared" si="8"/>
        <v>16.968684759916492</v>
      </c>
      <c r="T124" t="str">
        <f t="shared" si="9"/>
        <v>High</v>
      </c>
      <c r="U124">
        <f t="shared" si="10"/>
        <v>2025</v>
      </c>
      <c r="V124">
        <f t="shared" si="11"/>
        <v>3</v>
      </c>
    </row>
    <row r="125" spans="1:22" x14ac:dyDescent="0.3">
      <c r="A125" s="8" t="s">
        <v>166</v>
      </c>
      <c r="B125" s="9">
        <v>20250927</v>
      </c>
      <c r="C125" s="9" t="s">
        <v>25</v>
      </c>
      <c r="D125" s="9"/>
      <c r="E125" s="9" t="s">
        <v>26</v>
      </c>
      <c r="F125" s="9">
        <v>12055</v>
      </c>
      <c r="G125" s="9">
        <v>14425</v>
      </c>
      <c r="H125" s="9">
        <v>657</v>
      </c>
      <c r="I125" s="9">
        <v>36</v>
      </c>
      <c r="J125" s="9">
        <v>27</v>
      </c>
      <c r="K125" s="9">
        <v>36</v>
      </c>
      <c r="L125" s="9">
        <v>5421</v>
      </c>
      <c r="M125" s="9">
        <v>110</v>
      </c>
      <c r="N125" s="12">
        <v>0.8125</v>
      </c>
      <c r="O125" s="10" t="s">
        <v>49</v>
      </c>
      <c r="P125">
        <f t="shared" si="6"/>
        <v>1</v>
      </c>
      <c r="R125">
        <f t="shared" si="7"/>
        <v>756</v>
      </c>
      <c r="S125">
        <f t="shared" si="8"/>
        <v>15.945767195767196</v>
      </c>
      <c r="T125" t="str">
        <f t="shared" si="9"/>
        <v>High</v>
      </c>
      <c r="U125">
        <f t="shared" si="10"/>
        <v>2025</v>
      </c>
      <c r="V125">
        <f t="shared" si="11"/>
        <v>9</v>
      </c>
    </row>
    <row r="126" spans="1:22" x14ac:dyDescent="0.3">
      <c r="A126" s="5" t="s">
        <v>167</v>
      </c>
      <c r="B126" s="6">
        <v>20260326</v>
      </c>
      <c r="C126" s="6" t="s">
        <v>25</v>
      </c>
      <c r="D126" s="6" t="s">
        <v>17</v>
      </c>
      <c r="E126" s="6" t="s">
        <v>51</v>
      </c>
      <c r="F126" s="6">
        <v>13724</v>
      </c>
      <c r="G126" s="6">
        <v>15569</v>
      </c>
      <c r="H126" s="6">
        <v>539</v>
      </c>
      <c r="I126" s="6">
        <v>43</v>
      </c>
      <c r="J126" s="6">
        <v>34</v>
      </c>
      <c r="K126" s="6">
        <v>17</v>
      </c>
      <c r="L126" s="6">
        <v>0</v>
      </c>
      <c r="M126" s="6">
        <v>176</v>
      </c>
      <c r="N126" s="11">
        <v>0.88541666666666663</v>
      </c>
      <c r="O126" s="7" t="s">
        <v>47</v>
      </c>
      <c r="P126">
        <f t="shared" si="6"/>
        <v>1</v>
      </c>
      <c r="R126">
        <f t="shared" si="7"/>
        <v>633</v>
      </c>
      <c r="S126">
        <f t="shared" si="8"/>
        <v>21.68088467614534</v>
      </c>
      <c r="T126" t="str">
        <f t="shared" si="9"/>
        <v>High</v>
      </c>
      <c r="U126">
        <f t="shared" si="10"/>
        <v>2026</v>
      </c>
      <c r="V126">
        <f t="shared" si="11"/>
        <v>3</v>
      </c>
    </row>
    <row r="127" spans="1:22" x14ac:dyDescent="0.3">
      <c r="A127" s="8" t="s">
        <v>168</v>
      </c>
      <c r="B127" s="9">
        <v>20251223</v>
      </c>
      <c r="C127" s="9" t="s">
        <v>44</v>
      </c>
      <c r="D127" s="9" t="s">
        <v>17</v>
      </c>
      <c r="E127" s="9" t="s">
        <v>46</v>
      </c>
      <c r="F127" s="9">
        <v>34995</v>
      </c>
      <c r="G127" s="9">
        <v>46956</v>
      </c>
      <c r="H127" s="9">
        <v>3554</v>
      </c>
      <c r="I127" s="9">
        <v>186</v>
      </c>
      <c r="J127" s="9">
        <v>429</v>
      </c>
      <c r="K127" s="9">
        <v>246</v>
      </c>
      <c r="L127" s="9">
        <v>16642</v>
      </c>
      <c r="M127" s="9">
        <v>432</v>
      </c>
      <c r="N127" s="12">
        <v>0.41666666666666669</v>
      </c>
      <c r="O127" s="10" t="s">
        <v>49</v>
      </c>
      <c r="P127">
        <f t="shared" si="6"/>
        <v>1</v>
      </c>
      <c r="R127">
        <f t="shared" si="7"/>
        <v>4415</v>
      </c>
      <c r="S127">
        <f t="shared" si="8"/>
        <v>7.9263873159682898</v>
      </c>
      <c r="T127" t="str">
        <f t="shared" si="9"/>
        <v>Medium</v>
      </c>
      <c r="U127">
        <f t="shared" si="10"/>
        <v>2025</v>
      </c>
      <c r="V127">
        <f t="shared" si="11"/>
        <v>12</v>
      </c>
    </row>
    <row r="128" spans="1:22" x14ac:dyDescent="0.3">
      <c r="A128" s="5" t="s">
        <v>169</v>
      </c>
      <c r="B128" s="6">
        <v>20260927</v>
      </c>
      <c r="C128" s="6" t="s">
        <v>16</v>
      </c>
      <c r="D128" s="6" t="s">
        <v>21</v>
      </c>
      <c r="E128" s="6" t="s">
        <v>51</v>
      </c>
      <c r="F128" s="6">
        <v>27326</v>
      </c>
      <c r="G128" s="6">
        <v>36765</v>
      </c>
      <c r="H128" s="6">
        <v>1300</v>
      </c>
      <c r="I128" s="6">
        <v>109</v>
      </c>
      <c r="J128" s="6">
        <v>142</v>
      </c>
      <c r="K128" s="6">
        <v>61</v>
      </c>
      <c r="L128" s="6">
        <v>0</v>
      </c>
      <c r="M128" s="6">
        <v>165</v>
      </c>
      <c r="N128" s="11">
        <v>0.57291666666666663</v>
      </c>
      <c r="O128" s="7" t="s">
        <v>19</v>
      </c>
      <c r="P128">
        <f t="shared" si="6"/>
        <v>1</v>
      </c>
      <c r="R128">
        <f t="shared" si="7"/>
        <v>1612</v>
      </c>
      <c r="S128">
        <f t="shared" si="8"/>
        <v>16.951612903225808</v>
      </c>
      <c r="T128" t="str">
        <f t="shared" si="9"/>
        <v>High</v>
      </c>
      <c r="U128">
        <f t="shared" si="10"/>
        <v>2026</v>
      </c>
      <c r="V128">
        <f t="shared" si="11"/>
        <v>9</v>
      </c>
    </row>
    <row r="129" spans="1:22" x14ac:dyDescent="0.3">
      <c r="A129" s="8" t="s">
        <v>170</v>
      </c>
      <c r="B129" s="9">
        <v>20260825</v>
      </c>
      <c r="C129" s="9" t="s">
        <v>40</v>
      </c>
      <c r="D129" s="9" t="s">
        <v>33</v>
      </c>
      <c r="E129" s="9" t="s">
        <v>26</v>
      </c>
      <c r="F129" s="9">
        <v>24524</v>
      </c>
      <c r="G129" s="9">
        <v>30393</v>
      </c>
      <c r="H129" s="9">
        <v>1373</v>
      </c>
      <c r="I129" s="9">
        <v>105</v>
      </c>
      <c r="J129" s="9">
        <v>209</v>
      </c>
      <c r="K129" s="9">
        <v>92</v>
      </c>
      <c r="L129" s="9">
        <v>10500</v>
      </c>
      <c r="M129" s="9">
        <v>262</v>
      </c>
      <c r="N129" s="12">
        <v>0.92708333333333337</v>
      </c>
      <c r="O129" s="10" t="s">
        <v>27</v>
      </c>
      <c r="P129">
        <f t="shared" si="6"/>
        <v>1</v>
      </c>
      <c r="R129">
        <f t="shared" si="7"/>
        <v>1779</v>
      </c>
      <c r="S129">
        <f t="shared" si="8"/>
        <v>13.785272625070265</v>
      </c>
      <c r="T129" t="str">
        <f t="shared" si="9"/>
        <v>High</v>
      </c>
      <c r="U129">
        <f t="shared" si="10"/>
        <v>2026</v>
      </c>
      <c r="V129">
        <f t="shared" si="11"/>
        <v>8</v>
      </c>
    </row>
    <row r="130" spans="1:22" x14ac:dyDescent="0.3">
      <c r="A130" s="5" t="s">
        <v>171</v>
      </c>
      <c r="B130" s="6">
        <v>20260619</v>
      </c>
      <c r="C130" s="6" t="s">
        <v>16</v>
      </c>
      <c r="D130" s="6" t="s">
        <v>33</v>
      </c>
      <c r="E130" s="6" t="s">
        <v>18</v>
      </c>
      <c r="F130" s="6">
        <v>21024</v>
      </c>
      <c r="G130" s="6">
        <v>28691</v>
      </c>
      <c r="H130" s="6">
        <v>604</v>
      </c>
      <c r="I130" s="6">
        <v>26</v>
      </c>
      <c r="J130" s="6">
        <v>98</v>
      </c>
      <c r="K130" s="6">
        <v>52</v>
      </c>
      <c r="L130" s="6">
        <v>0</v>
      </c>
      <c r="M130" s="6">
        <v>47</v>
      </c>
      <c r="N130" s="11">
        <v>0.38541666666666669</v>
      </c>
      <c r="O130" s="7" t="s">
        <v>23</v>
      </c>
      <c r="P130">
        <f t="shared" si="6"/>
        <v>1</v>
      </c>
      <c r="R130">
        <f t="shared" si="7"/>
        <v>780</v>
      </c>
      <c r="S130">
        <f t="shared" si="8"/>
        <v>26.953846153846154</v>
      </c>
      <c r="T130" t="str">
        <f t="shared" si="9"/>
        <v>High</v>
      </c>
      <c r="U130">
        <f t="shared" si="10"/>
        <v>2026</v>
      </c>
      <c r="V130">
        <f t="shared" si="11"/>
        <v>6</v>
      </c>
    </row>
    <row r="131" spans="1:22" x14ac:dyDescent="0.3">
      <c r="A131" s="8" t="s">
        <v>172</v>
      </c>
      <c r="B131" s="9">
        <v>20251225</v>
      </c>
      <c r="C131" s="9" t="s">
        <v>40</v>
      </c>
      <c r="D131" s="9"/>
      <c r="E131" s="9" t="s">
        <v>51</v>
      </c>
      <c r="F131" s="9">
        <v>57075</v>
      </c>
      <c r="G131" s="9">
        <v>82102</v>
      </c>
      <c r="H131" s="9">
        <v>4719</v>
      </c>
      <c r="I131" s="9">
        <v>239</v>
      </c>
      <c r="J131" s="9">
        <v>393</v>
      </c>
      <c r="K131" s="9">
        <v>689</v>
      </c>
      <c r="L131" s="9">
        <v>0</v>
      </c>
      <c r="M131" s="9">
        <v>622</v>
      </c>
      <c r="N131" s="12">
        <v>0.41666666666666669</v>
      </c>
      <c r="O131" s="10" t="s">
        <v>19</v>
      </c>
      <c r="P131">
        <f t="shared" ref="P131:P194" si="12">COUNTIF($A$2:$A$500,A131)</f>
        <v>1</v>
      </c>
      <c r="R131">
        <f t="shared" ref="R131:R194" si="13">SUM(H131:K131)</f>
        <v>6040</v>
      </c>
      <c r="S131">
        <f t="shared" ref="S131:S194" si="14">IFERROR(F131/R131,0)</f>
        <v>9.4495033112582778</v>
      </c>
      <c r="T131" t="str">
        <f t="shared" ref="T131:T194" si="15">IF(S131&gt;=10,"High",IF(S131&gt;=5,"Medium",IF(S131&gt;=0,"Low")))</f>
        <v>Medium</v>
      </c>
      <c r="U131">
        <f t="shared" ref="U131:U194" si="16">LEFT(B131,4)*1</f>
        <v>2025</v>
      </c>
      <c r="V131">
        <f t="shared" ref="V131:V194" si="17">MID(B131,5,2)*1</f>
        <v>12</v>
      </c>
    </row>
    <row r="132" spans="1:22" x14ac:dyDescent="0.3">
      <c r="A132" s="5" t="s">
        <v>173</v>
      </c>
      <c r="B132" s="6">
        <v>20260915</v>
      </c>
      <c r="C132" s="6" t="s">
        <v>40</v>
      </c>
      <c r="D132" s="6" t="s">
        <v>17</v>
      </c>
      <c r="E132" s="6" t="s">
        <v>41</v>
      </c>
      <c r="F132" s="6">
        <v>10322</v>
      </c>
      <c r="G132" s="6">
        <v>12796</v>
      </c>
      <c r="H132" s="6">
        <v>440</v>
      </c>
      <c r="I132" s="6">
        <v>58</v>
      </c>
      <c r="J132" s="6">
        <v>75</v>
      </c>
      <c r="K132" s="6">
        <v>25</v>
      </c>
      <c r="L132" s="6">
        <v>8195</v>
      </c>
      <c r="M132" s="6">
        <v>183</v>
      </c>
      <c r="N132" s="11">
        <v>0.73958333333333337</v>
      </c>
      <c r="O132" s="7" t="s">
        <v>53</v>
      </c>
      <c r="P132">
        <f t="shared" si="12"/>
        <v>1</v>
      </c>
      <c r="R132">
        <f t="shared" si="13"/>
        <v>598</v>
      </c>
      <c r="S132">
        <f t="shared" si="14"/>
        <v>17.260869565217391</v>
      </c>
      <c r="T132" t="str">
        <f t="shared" si="15"/>
        <v>High</v>
      </c>
      <c r="U132">
        <f t="shared" si="16"/>
        <v>2026</v>
      </c>
      <c r="V132">
        <f t="shared" si="17"/>
        <v>9</v>
      </c>
    </row>
    <row r="133" spans="1:22" x14ac:dyDescent="0.3">
      <c r="A133" s="8" t="s">
        <v>174</v>
      </c>
      <c r="B133" s="9">
        <v>20251009</v>
      </c>
      <c r="C133" s="9" t="s">
        <v>25</v>
      </c>
      <c r="D133" s="9" t="s">
        <v>61</v>
      </c>
      <c r="E133" s="9" t="s">
        <v>51</v>
      </c>
      <c r="F133" s="9">
        <v>10412</v>
      </c>
      <c r="G133" s="9">
        <v>11010</v>
      </c>
      <c r="H133" s="9">
        <v>381</v>
      </c>
      <c r="I133" s="9">
        <v>42</v>
      </c>
      <c r="J133" s="9">
        <v>51</v>
      </c>
      <c r="K133" s="9">
        <v>17</v>
      </c>
      <c r="L133" s="9">
        <v>0</v>
      </c>
      <c r="M133" s="9">
        <v>122</v>
      </c>
      <c r="N133" s="12">
        <v>0.40625</v>
      </c>
      <c r="O133" s="10" t="s">
        <v>53</v>
      </c>
      <c r="P133">
        <f t="shared" si="12"/>
        <v>1</v>
      </c>
      <c r="R133">
        <f t="shared" si="13"/>
        <v>491</v>
      </c>
      <c r="S133">
        <f t="shared" si="14"/>
        <v>21.205702647657841</v>
      </c>
      <c r="T133" t="str">
        <f t="shared" si="15"/>
        <v>High</v>
      </c>
      <c r="U133">
        <f t="shared" si="16"/>
        <v>2025</v>
      </c>
      <c r="V133">
        <f t="shared" si="17"/>
        <v>10</v>
      </c>
    </row>
    <row r="134" spans="1:22" x14ac:dyDescent="0.3">
      <c r="A134" s="5" t="s">
        <v>175</v>
      </c>
      <c r="B134" s="6">
        <v>20250424</v>
      </c>
      <c r="C134" s="6" t="s">
        <v>44</v>
      </c>
      <c r="D134" s="6" t="s">
        <v>17</v>
      </c>
      <c r="E134" s="6" t="s">
        <v>51</v>
      </c>
      <c r="F134" s="6">
        <v>74435</v>
      </c>
      <c r="G134" s="6">
        <v>94461</v>
      </c>
      <c r="H134" s="6">
        <v>7459</v>
      </c>
      <c r="I134" s="6">
        <v>531</v>
      </c>
      <c r="J134" s="6">
        <v>1349</v>
      </c>
      <c r="K134" s="6">
        <v>1031</v>
      </c>
      <c r="L134" s="6">
        <v>0</v>
      </c>
      <c r="M134" s="6">
        <v>1227</v>
      </c>
      <c r="N134" s="11">
        <v>0.86458333333333337</v>
      </c>
      <c r="O134" s="7" t="s">
        <v>38</v>
      </c>
      <c r="P134">
        <f t="shared" si="12"/>
        <v>1</v>
      </c>
      <c r="R134">
        <f t="shared" si="13"/>
        <v>10370</v>
      </c>
      <c r="S134">
        <f t="shared" si="14"/>
        <v>7.1779170684667308</v>
      </c>
      <c r="T134" t="str">
        <f t="shared" si="15"/>
        <v>Medium</v>
      </c>
      <c r="U134">
        <f t="shared" si="16"/>
        <v>2025</v>
      </c>
      <c r="V134">
        <f t="shared" si="17"/>
        <v>4</v>
      </c>
    </row>
    <row r="135" spans="1:22" x14ac:dyDescent="0.3">
      <c r="A135" s="8" t="s">
        <v>176</v>
      </c>
      <c r="B135" s="9">
        <v>20260123</v>
      </c>
      <c r="C135" s="9" t="s">
        <v>16</v>
      </c>
      <c r="D135" s="9" t="s">
        <v>33</v>
      </c>
      <c r="E135" s="9" t="s">
        <v>46</v>
      </c>
      <c r="F135" s="9">
        <v>74093</v>
      </c>
      <c r="G135" s="9">
        <v>101415</v>
      </c>
      <c r="H135" s="9">
        <v>4077</v>
      </c>
      <c r="I135" s="9">
        <v>123</v>
      </c>
      <c r="J135" s="9">
        <v>138</v>
      </c>
      <c r="K135" s="9">
        <v>219</v>
      </c>
      <c r="L135" s="9">
        <v>40646</v>
      </c>
      <c r="M135" s="9">
        <v>180</v>
      </c>
      <c r="N135" s="12">
        <v>0.51041666666666663</v>
      </c>
      <c r="O135" s="10" t="s">
        <v>27</v>
      </c>
      <c r="P135">
        <f t="shared" si="12"/>
        <v>1</v>
      </c>
      <c r="R135">
        <f t="shared" si="13"/>
        <v>4557</v>
      </c>
      <c r="S135">
        <f t="shared" si="14"/>
        <v>16.259161729207811</v>
      </c>
      <c r="T135" t="str">
        <f t="shared" si="15"/>
        <v>High</v>
      </c>
      <c r="U135">
        <f t="shared" si="16"/>
        <v>2026</v>
      </c>
      <c r="V135">
        <f t="shared" si="17"/>
        <v>1</v>
      </c>
    </row>
    <row r="136" spans="1:22" x14ac:dyDescent="0.3">
      <c r="A136" s="5" t="s">
        <v>177</v>
      </c>
      <c r="B136" s="6">
        <v>20260423</v>
      </c>
      <c r="C136" s="6" t="s">
        <v>16</v>
      </c>
      <c r="D136" s="6" t="s">
        <v>21</v>
      </c>
      <c r="E136" s="6" t="s">
        <v>26</v>
      </c>
      <c r="F136" s="6">
        <v>47191</v>
      </c>
      <c r="G136" s="6">
        <v>60846</v>
      </c>
      <c r="H136" s="6">
        <v>5128</v>
      </c>
      <c r="I136" s="6">
        <v>385</v>
      </c>
      <c r="J136" s="6">
        <v>511</v>
      </c>
      <c r="K136" s="6">
        <v>590</v>
      </c>
      <c r="L136" s="6">
        <v>24505</v>
      </c>
      <c r="M136" s="6">
        <v>237</v>
      </c>
      <c r="N136" s="11">
        <v>0.6875</v>
      </c>
      <c r="O136" s="7" t="s">
        <v>53</v>
      </c>
      <c r="P136">
        <f t="shared" si="12"/>
        <v>1</v>
      </c>
      <c r="R136">
        <f t="shared" si="13"/>
        <v>6614</v>
      </c>
      <c r="S136">
        <f t="shared" si="14"/>
        <v>7.1350166313879653</v>
      </c>
      <c r="T136" t="str">
        <f t="shared" si="15"/>
        <v>Medium</v>
      </c>
      <c r="U136">
        <f t="shared" si="16"/>
        <v>2026</v>
      </c>
      <c r="V136">
        <f t="shared" si="17"/>
        <v>4</v>
      </c>
    </row>
    <row r="137" spans="1:22" x14ac:dyDescent="0.3">
      <c r="A137" s="8" t="s">
        <v>178</v>
      </c>
      <c r="B137" s="9">
        <v>20260419</v>
      </c>
      <c r="C137" s="9" t="s">
        <v>44</v>
      </c>
      <c r="D137" s="9" t="s">
        <v>68</v>
      </c>
      <c r="E137" s="9" t="s">
        <v>26</v>
      </c>
      <c r="F137" s="9">
        <v>36007</v>
      </c>
      <c r="G137" s="9">
        <v>53543</v>
      </c>
      <c r="H137" s="9">
        <v>4111</v>
      </c>
      <c r="I137" s="9">
        <v>283</v>
      </c>
      <c r="J137" s="9">
        <v>720</v>
      </c>
      <c r="K137" s="9">
        <v>525</v>
      </c>
      <c r="L137" s="9">
        <v>13511</v>
      </c>
      <c r="M137" s="9">
        <v>238</v>
      </c>
      <c r="N137" s="12">
        <v>0.79166666666666663</v>
      </c>
      <c r="O137" s="10" t="s">
        <v>42</v>
      </c>
      <c r="P137">
        <f t="shared" si="12"/>
        <v>1</v>
      </c>
      <c r="R137">
        <f t="shared" si="13"/>
        <v>5639</v>
      </c>
      <c r="S137">
        <f t="shared" si="14"/>
        <v>6.3853520127682213</v>
      </c>
      <c r="T137" t="str">
        <f t="shared" si="15"/>
        <v>Medium</v>
      </c>
      <c r="U137">
        <f t="shared" si="16"/>
        <v>2026</v>
      </c>
      <c r="V137">
        <f t="shared" si="17"/>
        <v>4</v>
      </c>
    </row>
    <row r="138" spans="1:22" x14ac:dyDescent="0.3">
      <c r="A138" s="5" t="s">
        <v>179</v>
      </c>
      <c r="B138" s="6">
        <v>20260708</v>
      </c>
      <c r="C138" s="6" t="s">
        <v>40</v>
      </c>
      <c r="D138" s="6" t="s">
        <v>36</v>
      </c>
      <c r="E138" s="6" t="s">
        <v>46</v>
      </c>
      <c r="F138" s="6">
        <v>18086</v>
      </c>
      <c r="G138" s="6">
        <v>24794</v>
      </c>
      <c r="H138" s="6">
        <v>1320</v>
      </c>
      <c r="I138" s="6">
        <v>70</v>
      </c>
      <c r="J138" s="6">
        <v>79</v>
      </c>
      <c r="K138" s="6">
        <v>33</v>
      </c>
      <c r="L138" s="6">
        <v>10724</v>
      </c>
      <c r="M138" s="6">
        <v>191</v>
      </c>
      <c r="N138" s="11">
        <v>0.5625</v>
      </c>
      <c r="O138" s="7" t="s">
        <v>23</v>
      </c>
      <c r="P138">
        <f t="shared" si="12"/>
        <v>1</v>
      </c>
      <c r="R138">
        <f t="shared" si="13"/>
        <v>1502</v>
      </c>
      <c r="S138">
        <f t="shared" si="14"/>
        <v>12.041278295605858</v>
      </c>
      <c r="T138" t="str">
        <f t="shared" si="15"/>
        <v>High</v>
      </c>
      <c r="U138">
        <f t="shared" si="16"/>
        <v>2026</v>
      </c>
      <c r="V138">
        <f t="shared" si="17"/>
        <v>7</v>
      </c>
    </row>
    <row r="139" spans="1:22" x14ac:dyDescent="0.3">
      <c r="A139" s="8" t="s">
        <v>180</v>
      </c>
      <c r="B139" s="9">
        <v>20250409</v>
      </c>
      <c r="C139" s="9" t="s">
        <v>25</v>
      </c>
      <c r="D139" s="9" t="s">
        <v>33</v>
      </c>
      <c r="E139" s="9" t="s">
        <v>26</v>
      </c>
      <c r="F139" s="9">
        <v>7809</v>
      </c>
      <c r="G139" s="9">
        <v>10157</v>
      </c>
      <c r="H139" s="9">
        <v>204</v>
      </c>
      <c r="I139" s="9">
        <v>5</v>
      </c>
      <c r="J139" s="9">
        <v>8</v>
      </c>
      <c r="K139" s="9">
        <v>11</v>
      </c>
      <c r="L139" s="9">
        <v>5466</v>
      </c>
      <c r="M139" s="9">
        <v>45</v>
      </c>
      <c r="N139" s="12">
        <v>0.61458333333333337</v>
      </c>
      <c r="O139" s="10" t="s">
        <v>19</v>
      </c>
      <c r="P139">
        <f t="shared" si="12"/>
        <v>1</v>
      </c>
      <c r="R139">
        <f t="shared" si="13"/>
        <v>228</v>
      </c>
      <c r="S139">
        <f t="shared" si="14"/>
        <v>34.25</v>
      </c>
      <c r="T139" t="str">
        <f t="shared" si="15"/>
        <v>High</v>
      </c>
      <c r="U139">
        <f t="shared" si="16"/>
        <v>2025</v>
      </c>
      <c r="V139">
        <f t="shared" si="17"/>
        <v>4</v>
      </c>
    </row>
    <row r="140" spans="1:22" x14ac:dyDescent="0.3">
      <c r="A140" s="5" t="s">
        <v>181</v>
      </c>
      <c r="B140" s="6">
        <v>20260929</v>
      </c>
      <c r="C140" s="6" t="s">
        <v>32</v>
      </c>
      <c r="D140" s="6"/>
      <c r="E140" s="6" t="s">
        <v>22</v>
      </c>
      <c r="F140" s="6">
        <v>2041</v>
      </c>
      <c r="G140" s="6">
        <v>2925</v>
      </c>
      <c r="H140" s="6">
        <v>169</v>
      </c>
      <c r="I140" s="6">
        <v>15</v>
      </c>
      <c r="J140" s="6">
        <v>6</v>
      </c>
      <c r="K140" s="6">
        <v>24</v>
      </c>
      <c r="L140" s="6">
        <v>0</v>
      </c>
      <c r="M140" s="6">
        <v>14</v>
      </c>
      <c r="N140" s="11">
        <v>0.32291666666666669</v>
      </c>
      <c r="O140" s="7" t="s">
        <v>47</v>
      </c>
      <c r="P140">
        <f t="shared" si="12"/>
        <v>1</v>
      </c>
      <c r="R140">
        <f t="shared" si="13"/>
        <v>214</v>
      </c>
      <c r="S140">
        <f t="shared" si="14"/>
        <v>9.5373831775700939</v>
      </c>
      <c r="T140" t="str">
        <f t="shared" si="15"/>
        <v>Medium</v>
      </c>
      <c r="U140">
        <f t="shared" si="16"/>
        <v>2026</v>
      </c>
      <c r="V140">
        <f t="shared" si="17"/>
        <v>9</v>
      </c>
    </row>
    <row r="141" spans="1:22" x14ac:dyDescent="0.3">
      <c r="A141" s="8" t="s">
        <v>182</v>
      </c>
      <c r="B141" s="9">
        <v>20251206</v>
      </c>
      <c r="C141" s="9" t="s">
        <v>40</v>
      </c>
      <c r="D141" s="9" t="s">
        <v>33</v>
      </c>
      <c r="E141" s="9" t="s">
        <v>41</v>
      </c>
      <c r="F141" s="9">
        <v>37556</v>
      </c>
      <c r="G141" s="9">
        <v>53029</v>
      </c>
      <c r="H141" s="9">
        <v>2431</v>
      </c>
      <c r="I141" s="9">
        <v>236</v>
      </c>
      <c r="J141" s="9">
        <v>171</v>
      </c>
      <c r="K141" s="9">
        <v>333</v>
      </c>
      <c r="L141" s="9">
        <v>17213</v>
      </c>
      <c r="M141" s="9">
        <v>318</v>
      </c>
      <c r="N141" s="12">
        <v>0.45833333333333331</v>
      </c>
      <c r="O141" s="10" t="s">
        <v>34</v>
      </c>
      <c r="P141">
        <f t="shared" si="12"/>
        <v>1</v>
      </c>
      <c r="R141">
        <f t="shared" si="13"/>
        <v>3171</v>
      </c>
      <c r="S141">
        <f t="shared" si="14"/>
        <v>11.843582466099022</v>
      </c>
      <c r="T141" t="str">
        <f t="shared" si="15"/>
        <v>High</v>
      </c>
      <c r="U141">
        <f t="shared" si="16"/>
        <v>2025</v>
      </c>
      <c r="V141">
        <f t="shared" si="17"/>
        <v>12</v>
      </c>
    </row>
    <row r="142" spans="1:22" x14ac:dyDescent="0.3">
      <c r="A142" s="5" t="s">
        <v>183</v>
      </c>
      <c r="B142" s="6">
        <v>20250311</v>
      </c>
      <c r="C142" s="6" t="s">
        <v>32</v>
      </c>
      <c r="D142" s="6" t="s">
        <v>29</v>
      </c>
      <c r="E142" s="6" t="s">
        <v>18</v>
      </c>
      <c r="F142" s="6">
        <v>18656</v>
      </c>
      <c r="G142" s="6">
        <v>30245</v>
      </c>
      <c r="H142" s="6">
        <v>2016</v>
      </c>
      <c r="I142" s="6">
        <v>208</v>
      </c>
      <c r="J142" s="6">
        <v>64</v>
      </c>
      <c r="K142" s="6">
        <v>112</v>
      </c>
      <c r="L142" s="6">
        <v>0</v>
      </c>
      <c r="M142" s="6">
        <v>249</v>
      </c>
      <c r="N142" s="11">
        <v>0.82291666666666663</v>
      </c>
      <c r="O142" s="7" t="s">
        <v>49</v>
      </c>
      <c r="P142">
        <f t="shared" si="12"/>
        <v>1</v>
      </c>
      <c r="R142">
        <f t="shared" si="13"/>
        <v>2400</v>
      </c>
      <c r="S142">
        <f t="shared" si="14"/>
        <v>7.7733333333333334</v>
      </c>
      <c r="T142" t="str">
        <f t="shared" si="15"/>
        <v>Medium</v>
      </c>
      <c r="U142">
        <f t="shared" si="16"/>
        <v>2025</v>
      </c>
      <c r="V142">
        <f t="shared" si="17"/>
        <v>3</v>
      </c>
    </row>
    <row r="143" spans="1:22" x14ac:dyDescent="0.3">
      <c r="A143" s="8" t="s">
        <v>184</v>
      </c>
      <c r="B143" s="9">
        <v>20260824</v>
      </c>
      <c r="C143" s="9" t="s">
        <v>44</v>
      </c>
      <c r="D143" s="9" t="s">
        <v>68</v>
      </c>
      <c r="E143" s="9" t="s">
        <v>18</v>
      </c>
      <c r="F143" s="9">
        <v>49728</v>
      </c>
      <c r="G143" s="9">
        <v>72217</v>
      </c>
      <c r="H143" s="9">
        <v>4564</v>
      </c>
      <c r="I143" s="9">
        <v>352</v>
      </c>
      <c r="J143" s="9">
        <v>660</v>
      </c>
      <c r="K143" s="9">
        <v>354</v>
      </c>
      <c r="L143" s="9">
        <v>0</v>
      </c>
      <c r="M143" s="9">
        <v>749</v>
      </c>
      <c r="N143" s="12">
        <v>0.3125</v>
      </c>
      <c r="O143" s="10" t="s">
        <v>38</v>
      </c>
      <c r="P143">
        <f t="shared" si="12"/>
        <v>1</v>
      </c>
      <c r="R143">
        <f t="shared" si="13"/>
        <v>5930</v>
      </c>
      <c r="S143">
        <f t="shared" si="14"/>
        <v>8.3858347386172003</v>
      </c>
      <c r="T143" t="str">
        <f t="shared" si="15"/>
        <v>Medium</v>
      </c>
      <c r="U143">
        <f t="shared" si="16"/>
        <v>2026</v>
      </c>
      <c r="V143">
        <f t="shared" si="17"/>
        <v>8</v>
      </c>
    </row>
    <row r="144" spans="1:22" x14ac:dyDescent="0.3">
      <c r="A144" s="5" t="s">
        <v>185</v>
      </c>
      <c r="B144" s="6">
        <v>20260505</v>
      </c>
      <c r="C144" s="6" t="s">
        <v>16</v>
      </c>
      <c r="D144" s="6" t="s">
        <v>17</v>
      </c>
      <c r="E144" s="6" t="s">
        <v>18</v>
      </c>
      <c r="F144" s="6">
        <v>19489</v>
      </c>
      <c r="G144" s="6">
        <v>30599</v>
      </c>
      <c r="H144" s="6">
        <v>2247</v>
      </c>
      <c r="I144" s="6">
        <v>139</v>
      </c>
      <c r="J144" s="6">
        <v>124</v>
      </c>
      <c r="K144" s="6">
        <v>170</v>
      </c>
      <c r="L144" s="6">
        <v>0</v>
      </c>
      <c r="M144" s="6">
        <v>46</v>
      </c>
      <c r="N144" s="11">
        <v>0.44791666666666669</v>
      </c>
      <c r="O144" s="7" t="s">
        <v>42</v>
      </c>
      <c r="P144">
        <f t="shared" si="12"/>
        <v>1</v>
      </c>
      <c r="R144">
        <f t="shared" si="13"/>
        <v>2680</v>
      </c>
      <c r="S144">
        <f t="shared" si="14"/>
        <v>7.2720149253731341</v>
      </c>
      <c r="T144" t="str">
        <f t="shared" si="15"/>
        <v>Medium</v>
      </c>
      <c r="U144">
        <f t="shared" si="16"/>
        <v>2026</v>
      </c>
      <c r="V144">
        <f t="shared" si="17"/>
        <v>5</v>
      </c>
    </row>
    <row r="145" spans="1:22" x14ac:dyDescent="0.3">
      <c r="A145" s="8" t="s">
        <v>186</v>
      </c>
      <c r="B145" s="9">
        <v>20250905</v>
      </c>
      <c r="C145" s="9" t="s">
        <v>32</v>
      </c>
      <c r="D145" s="9" t="s">
        <v>21</v>
      </c>
      <c r="E145" s="9" t="s">
        <v>41</v>
      </c>
      <c r="F145" s="9">
        <v>6034</v>
      </c>
      <c r="G145" s="9">
        <v>7016</v>
      </c>
      <c r="H145" s="9">
        <v>205</v>
      </c>
      <c r="I145" s="9">
        <v>7</v>
      </c>
      <c r="J145" s="9">
        <v>12</v>
      </c>
      <c r="K145" s="9">
        <v>11</v>
      </c>
      <c r="L145" s="9">
        <v>3650</v>
      </c>
      <c r="M145" s="9">
        <v>71</v>
      </c>
      <c r="N145" s="12">
        <v>0.66666666666666663</v>
      </c>
      <c r="O145" s="10" t="s">
        <v>27</v>
      </c>
      <c r="P145">
        <f t="shared" si="12"/>
        <v>1</v>
      </c>
      <c r="R145">
        <f t="shared" si="13"/>
        <v>235</v>
      </c>
      <c r="S145">
        <f t="shared" si="14"/>
        <v>25.676595744680853</v>
      </c>
      <c r="T145" t="str">
        <f t="shared" si="15"/>
        <v>High</v>
      </c>
      <c r="U145">
        <f t="shared" si="16"/>
        <v>2025</v>
      </c>
      <c r="V145">
        <f t="shared" si="17"/>
        <v>9</v>
      </c>
    </row>
    <row r="146" spans="1:22" x14ac:dyDescent="0.3">
      <c r="A146" s="5" t="s">
        <v>187</v>
      </c>
      <c r="B146" s="6">
        <v>20250815</v>
      </c>
      <c r="C146" s="6" t="s">
        <v>25</v>
      </c>
      <c r="D146" s="6" t="s">
        <v>61</v>
      </c>
      <c r="E146" s="6" t="s">
        <v>26</v>
      </c>
      <c r="F146" s="6">
        <v>7372</v>
      </c>
      <c r="G146" s="6">
        <v>11032</v>
      </c>
      <c r="H146" s="6">
        <v>208</v>
      </c>
      <c r="I146" s="6">
        <v>21</v>
      </c>
      <c r="J146" s="6">
        <v>27</v>
      </c>
      <c r="K146" s="6">
        <v>7</v>
      </c>
      <c r="L146" s="6">
        <v>6150</v>
      </c>
      <c r="M146" s="6">
        <v>55</v>
      </c>
      <c r="N146" s="11">
        <v>0.39583333333333331</v>
      </c>
      <c r="O146" s="7" t="s">
        <v>38</v>
      </c>
      <c r="P146">
        <f t="shared" si="12"/>
        <v>1</v>
      </c>
      <c r="R146">
        <f t="shared" si="13"/>
        <v>263</v>
      </c>
      <c r="S146">
        <f t="shared" si="14"/>
        <v>28.030418250950571</v>
      </c>
      <c r="T146" t="str">
        <f t="shared" si="15"/>
        <v>High</v>
      </c>
      <c r="U146">
        <f t="shared" si="16"/>
        <v>2025</v>
      </c>
      <c r="V146">
        <f t="shared" si="17"/>
        <v>8</v>
      </c>
    </row>
    <row r="147" spans="1:22" x14ac:dyDescent="0.3">
      <c r="A147" s="8" t="s">
        <v>188</v>
      </c>
      <c r="B147" s="9">
        <v>20260213</v>
      </c>
      <c r="C147" s="9" t="s">
        <v>25</v>
      </c>
      <c r="D147" s="9" t="s">
        <v>29</v>
      </c>
      <c r="E147" s="9" t="s">
        <v>41</v>
      </c>
      <c r="F147" s="9">
        <v>20269</v>
      </c>
      <c r="G147" s="9">
        <v>28922</v>
      </c>
      <c r="H147" s="9">
        <v>2013</v>
      </c>
      <c r="I147" s="9">
        <v>219</v>
      </c>
      <c r="J147" s="9">
        <v>338</v>
      </c>
      <c r="K147" s="9">
        <v>65</v>
      </c>
      <c r="L147" s="9">
        <v>12223</v>
      </c>
      <c r="M147" s="9">
        <v>151</v>
      </c>
      <c r="N147" s="12">
        <v>0.65625</v>
      </c>
      <c r="O147" s="10" t="s">
        <v>47</v>
      </c>
      <c r="P147">
        <f t="shared" si="12"/>
        <v>1</v>
      </c>
      <c r="R147">
        <f t="shared" si="13"/>
        <v>2635</v>
      </c>
      <c r="S147">
        <f t="shared" si="14"/>
        <v>7.6922201138519926</v>
      </c>
      <c r="T147" t="str">
        <f t="shared" si="15"/>
        <v>Medium</v>
      </c>
      <c r="U147">
        <f t="shared" si="16"/>
        <v>2026</v>
      </c>
      <c r="V147">
        <f t="shared" si="17"/>
        <v>2</v>
      </c>
    </row>
    <row r="148" spans="1:22" x14ac:dyDescent="0.3">
      <c r="A148" s="5" t="s">
        <v>189</v>
      </c>
      <c r="B148" s="6">
        <v>20250612</v>
      </c>
      <c r="C148" s="6" t="s">
        <v>32</v>
      </c>
      <c r="D148" s="6" t="s">
        <v>33</v>
      </c>
      <c r="E148" s="6" t="s">
        <v>41</v>
      </c>
      <c r="F148" s="6">
        <v>5078</v>
      </c>
      <c r="G148" s="6">
        <v>6654</v>
      </c>
      <c r="H148" s="6">
        <v>205</v>
      </c>
      <c r="I148" s="6">
        <v>10</v>
      </c>
      <c r="J148" s="6">
        <v>37</v>
      </c>
      <c r="K148" s="6">
        <v>6</v>
      </c>
      <c r="L148" s="6">
        <v>2213</v>
      </c>
      <c r="M148" s="6">
        <v>31</v>
      </c>
      <c r="N148" s="11">
        <v>0.51041666666666663</v>
      </c>
      <c r="O148" s="7" t="s">
        <v>23</v>
      </c>
      <c r="P148">
        <f t="shared" si="12"/>
        <v>1</v>
      </c>
      <c r="R148">
        <f t="shared" si="13"/>
        <v>258</v>
      </c>
      <c r="S148">
        <f t="shared" si="14"/>
        <v>19.68217054263566</v>
      </c>
      <c r="T148" t="str">
        <f t="shared" si="15"/>
        <v>High</v>
      </c>
      <c r="U148">
        <f t="shared" si="16"/>
        <v>2025</v>
      </c>
      <c r="V148">
        <f t="shared" si="17"/>
        <v>6</v>
      </c>
    </row>
    <row r="149" spans="1:22" x14ac:dyDescent="0.3">
      <c r="A149" s="8" t="s">
        <v>190</v>
      </c>
      <c r="B149" s="9">
        <v>20260529</v>
      </c>
      <c r="C149" s="9" t="s">
        <v>16</v>
      </c>
      <c r="D149" s="9" t="s">
        <v>33</v>
      </c>
      <c r="E149" s="9" t="s">
        <v>46</v>
      </c>
      <c r="F149" s="9">
        <v>8895</v>
      </c>
      <c r="G149" s="9">
        <v>10194</v>
      </c>
      <c r="H149" s="9">
        <v>338</v>
      </c>
      <c r="I149" s="9">
        <v>31</v>
      </c>
      <c r="J149" s="9">
        <v>44</v>
      </c>
      <c r="K149" s="9">
        <v>46</v>
      </c>
      <c r="L149" s="9">
        <v>6494</v>
      </c>
      <c r="M149" s="9">
        <v>157</v>
      </c>
      <c r="N149" s="12">
        <v>0.44791666666666669</v>
      </c>
      <c r="O149" s="10" t="s">
        <v>47</v>
      </c>
      <c r="P149">
        <f t="shared" si="12"/>
        <v>1</v>
      </c>
      <c r="R149">
        <f t="shared" si="13"/>
        <v>459</v>
      </c>
      <c r="S149">
        <f t="shared" si="14"/>
        <v>19.37908496732026</v>
      </c>
      <c r="T149" t="str">
        <f t="shared" si="15"/>
        <v>High</v>
      </c>
      <c r="U149">
        <f t="shared" si="16"/>
        <v>2026</v>
      </c>
      <c r="V149">
        <f t="shared" si="17"/>
        <v>5</v>
      </c>
    </row>
    <row r="150" spans="1:22" x14ac:dyDescent="0.3">
      <c r="A150" s="5" t="s">
        <v>191</v>
      </c>
      <c r="B150" s="6">
        <v>20250331</v>
      </c>
      <c r="C150" s="6" t="s">
        <v>25</v>
      </c>
      <c r="D150" s="6" t="s">
        <v>29</v>
      </c>
      <c r="E150" s="6" t="s">
        <v>41</v>
      </c>
      <c r="F150" s="6">
        <v>21024</v>
      </c>
      <c r="G150" s="6">
        <v>34288</v>
      </c>
      <c r="H150" s="6">
        <v>1327</v>
      </c>
      <c r="I150" s="6">
        <v>156</v>
      </c>
      <c r="J150" s="6">
        <v>197</v>
      </c>
      <c r="K150" s="6">
        <v>108</v>
      </c>
      <c r="L150" s="6">
        <v>11067</v>
      </c>
      <c r="M150" s="6">
        <v>289</v>
      </c>
      <c r="N150" s="11">
        <v>0.84375</v>
      </c>
      <c r="O150" s="7" t="s">
        <v>49</v>
      </c>
      <c r="P150">
        <f t="shared" si="12"/>
        <v>1</v>
      </c>
      <c r="R150">
        <f t="shared" si="13"/>
        <v>1788</v>
      </c>
      <c r="S150">
        <f t="shared" si="14"/>
        <v>11.758389261744966</v>
      </c>
      <c r="T150" t="str">
        <f t="shared" si="15"/>
        <v>High</v>
      </c>
      <c r="U150">
        <f t="shared" si="16"/>
        <v>2025</v>
      </c>
      <c r="V150">
        <f t="shared" si="17"/>
        <v>3</v>
      </c>
    </row>
    <row r="151" spans="1:22" x14ac:dyDescent="0.3">
      <c r="A151" s="8" t="s">
        <v>192</v>
      </c>
      <c r="B151" s="9">
        <v>20250918</v>
      </c>
      <c r="C151" s="9" t="s">
        <v>44</v>
      </c>
      <c r="D151" s="9" t="s">
        <v>61</v>
      </c>
      <c r="E151" s="9" t="s">
        <v>51</v>
      </c>
      <c r="F151" s="9">
        <v>20526</v>
      </c>
      <c r="G151" s="9">
        <v>23111</v>
      </c>
      <c r="H151" s="9">
        <v>1563</v>
      </c>
      <c r="I151" s="9">
        <v>64</v>
      </c>
      <c r="J151" s="9">
        <v>208</v>
      </c>
      <c r="K151" s="9">
        <v>145</v>
      </c>
      <c r="L151" s="9">
        <v>0</v>
      </c>
      <c r="M151" s="9">
        <v>26</v>
      </c>
      <c r="N151" s="12">
        <v>0.58333333333333337</v>
      </c>
      <c r="O151" s="10" t="s">
        <v>49</v>
      </c>
      <c r="P151">
        <f t="shared" si="12"/>
        <v>1</v>
      </c>
      <c r="R151">
        <f t="shared" si="13"/>
        <v>1980</v>
      </c>
      <c r="S151">
        <f t="shared" si="14"/>
        <v>10.366666666666667</v>
      </c>
      <c r="T151" t="str">
        <f t="shared" si="15"/>
        <v>High</v>
      </c>
      <c r="U151">
        <f t="shared" si="16"/>
        <v>2025</v>
      </c>
      <c r="V151">
        <f t="shared" si="17"/>
        <v>9</v>
      </c>
    </row>
    <row r="152" spans="1:22" x14ac:dyDescent="0.3">
      <c r="A152" s="5" t="s">
        <v>193</v>
      </c>
      <c r="B152" s="6">
        <v>20260416</v>
      </c>
      <c r="C152" s="6" t="s">
        <v>25</v>
      </c>
      <c r="D152" s="6" t="s">
        <v>21</v>
      </c>
      <c r="E152" s="6" t="s">
        <v>46</v>
      </c>
      <c r="F152" s="6">
        <v>22833</v>
      </c>
      <c r="G152" s="6">
        <v>33843</v>
      </c>
      <c r="H152" s="6">
        <v>1928</v>
      </c>
      <c r="I152" s="6">
        <v>243</v>
      </c>
      <c r="J152" s="6">
        <v>300</v>
      </c>
      <c r="K152" s="6">
        <v>102</v>
      </c>
      <c r="L152" s="6">
        <v>13951</v>
      </c>
      <c r="M152" s="6">
        <v>188</v>
      </c>
      <c r="N152" s="11">
        <v>0.59375</v>
      </c>
      <c r="O152" s="7" t="s">
        <v>53</v>
      </c>
      <c r="P152">
        <f t="shared" si="12"/>
        <v>1</v>
      </c>
      <c r="R152">
        <f t="shared" si="13"/>
        <v>2573</v>
      </c>
      <c r="S152">
        <f t="shared" si="14"/>
        <v>8.8740769529731836</v>
      </c>
      <c r="T152" t="str">
        <f t="shared" si="15"/>
        <v>Medium</v>
      </c>
      <c r="U152">
        <f t="shared" si="16"/>
        <v>2026</v>
      </c>
      <c r="V152">
        <f t="shared" si="17"/>
        <v>4</v>
      </c>
    </row>
    <row r="153" spans="1:22" x14ac:dyDescent="0.3">
      <c r="A153" s="8" t="s">
        <v>194</v>
      </c>
      <c r="B153" s="9">
        <v>20260122</v>
      </c>
      <c r="C153" s="9" t="s">
        <v>44</v>
      </c>
      <c r="D153" s="9" t="s">
        <v>29</v>
      </c>
      <c r="E153" s="9" t="s">
        <v>18</v>
      </c>
      <c r="F153" s="9">
        <v>40086</v>
      </c>
      <c r="G153" s="9">
        <v>51179</v>
      </c>
      <c r="H153" s="9">
        <v>4622</v>
      </c>
      <c r="I153" s="9">
        <v>539</v>
      </c>
      <c r="J153" s="9">
        <v>623</v>
      </c>
      <c r="K153" s="9">
        <v>306</v>
      </c>
      <c r="L153" s="9">
        <v>0</v>
      </c>
      <c r="M153" s="9">
        <v>551</v>
      </c>
      <c r="N153" s="12">
        <v>0.61458333333333337</v>
      </c>
      <c r="O153" s="10" t="s">
        <v>34</v>
      </c>
      <c r="P153">
        <f t="shared" si="12"/>
        <v>1</v>
      </c>
      <c r="R153">
        <f t="shared" si="13"/>
        <v>6090</v>
      </c>
      <c r="S153">
        <f t="shared" si="14"/>
        <v>6.5822660098522165</v>
      </c>
      <c r="T153" t="str">
        <f t="shared" si="15"/>
        <v>Medium</v>
      </c>
      <c r="U153">
        <f t="shared" si="16"/>
        <v>2026</v>
      </c>
      <c r="V153">
        <f t="shared" si="17"/>
        <v>1</v>
      </c>
    </row>
    <row r="154" spans="1:22" x14ac:dyDescent="0.3">
      <c r="A154" s="5" t="s">
        <v>195</v>
      </c>
      <c r="B154" s="6">
        <v>20250114</v>
      </c>
      <c r="C154" s="6" t="s">
        <v>40</v>
      </c>
      <c r="D154" s="6" t="s">
        <v>21</v>
      </c>
      <c r="E154" s="6" t="s">
        <v>51</v>
      </c>
      <c r="F154" s="6">
        <v>23042</v>
      </c>
      <c r="G154" s="6">
        <v>31714</v>
      </c>
      <c r="H154" s="6">
        <v>2258</v>
      </c>
      <c r="I154" s="6">
        <v>221</v>
      </c>
      <c r="J154" s="6">
        <v>159</v>
      </c>
      <c r="K154" s="6">
        <v>262</v>
      </c>
      <c r="L154" s="6">
        <v>0</v>
      </c>
      <c r="M154" s="6">
        <v>129</v>
      </c>
      <c r="N154" s="11">
        <v>0.33333333333333331</v>
      </c>
      <c r="O154" s="7" t="s">
        <v>27</v>
      </c>
      <c r="P154">
        <f t="shared" si="12"/>
        <v>1</v>
      </c>
      <c r="R154">
        <f t="shared" si="13"/>
        <v>2900</v>
      </c>
      <c r="S154">
        <f t="shared" si="14"/>
        <v>7.94551724137931</v>
      </c>
      <c r="T154" t="str">
        <f t="shared" si="15"/>
        <v>Medium</v>
      </c>
      <c r="U154">
        <f t="shared" si="16"/>
        <v>2025</v>
      </c>
      <c r="V154">
        <f t="shared" si="17"/>
        <v>1</v>
      </c>
    </row>
    <row r="155" spans="1:22" x14ac:dyDescent="0.3">
      <c r="A155" s="8" t="s">
        <v>196</v>
      </c>
      <c r="B155" s="9">
        <v>20260513</v>
      </c>
      <c r="C155" s="9" t="s">
        <v>44</v>
      </c>
      <c r="D155" s="9" t="s">
        <v>29</v>
      </c>
      <c r="E155" s="9" t="s">
        <v>22</v>
      </c>
      <c r="F155" s="9">
        <v>24362</v>
      </c>
      <c r="G155" s="9">
        <v>29179</v>
      </c>
      <c r="H155" s="9">
        <v>2434</v>
      </c>
      <c r="I155" s="9">
        <v>270</v>
      </c>
      <c r="J155" s="9">
        <v>182</v>
      </c>
      <c r="K155" s="9">
        <v>351</v>
      </c>
      <c r="L155" s="9">
        <v>0</v>
      </c>
      <c r="M155" s="9">
        <v>288</v>
      </c>
      <c r="N155" s="12">
        <v>0.83333333333333337</v>
      </c>
      <c r="O155" s="10" t="s">
        <v>53</v>
      </c>
      <c r="P155">
        <f t="shared" si="12"/>
        <v>1</v>
      </c>
      <c r="R155">
        <f t="shared" si="13"/>
        <v>3237</v>
      </c>
      <c r="S155">
        <f t="shared" si="14"/>
        <v>7.5261044176706831</v>
      </c>
      <c r="T155" t="str">
        <f t="shared" si="15"/>
        <v>Medium</v>
      </c>
      <c r="U155">
        <f t="shared" si="16"/>
        <v>2026</v>
      </c>
      <c r="V155">
        <f t="shared" si="17"/>
        <v>5</v>
      </c>
    </row>
    <row r="156" spans="1:22" x14ac:dyDescent="0.3">
      <c r="A156" s="5" t="s">
        <v>197</v>
      </c>
      <c r="B156" s="6">
        <v>20251128</v>
      </c>
      <c r="C156" s="6" t="s">
        <v>16</v>
      </c>
      <c r="D156" s="6" t="s">
        <v>33</v>
      </c>
      <c r="E156" s="6" t="s">
        <v>46</v>
      </c>
      <c r="F156" s="6">
        <v>14125</v>
      </c>
      <c r="G156" s="6">
        <v>16394</v>
      </c>
      <c r="H156" s="6">
        <v>1488</v>
      </c>
      <c r="I156" s="6">
        <v>161</v>
      </c>
      <c r="J156" s="6">
        <v>162</v>
      </c>
      <c r="K156" s="6">
        <v>167</v>
      </c>
      <c r="L156" s="6">
        <v>5718</v>
      </c>
      <c r="M156" s="6">
        <v>121</v>
      </c>
      <c r="N156" s="11">
        <v>0.90625</v>
      </c>
      <c r="O156" s="7" t="s">
        <v>23</v>
      </c>
      <c r="P156">
        <f t="shared" si="12"/>
        <v>1</v>
      </c>
      <c r="R156">
        <f t="shared" si="13"/>
        <v>1978</v>
      </c>
      <c r="S156">
        <f t="shared" si="14"/>
        <v>7.1410515672396357</v>
      </c>
      <c r="T156" t="str">
        <f t="shared" si="15"/>
        <v>Medium</v>
      </c>
      <c r="U156">
        <f t="shared" si="16"/>
        <v>2025</v>
      </c>
      <c r="V156">
        <f t="shared" si="17"/>
        <v>11</v>
      </c>
    </row>
    <row r="157" spans="1:22" x14ac:dyDescent="0.3">
      <c r="A157" s="8" t="s">
        <v>198</v>
      </c>
      <c r="B157" s="9">
        <v>20260202</v>
      </c>
      <c r="C157" s="9" t="s">
        <v>44</v>
      </c>
      <c r="D157" s="9" t="s">
        <v>68</v>
      </c>
      <c r="E157" s="9" t="s">
        <v>41</v>
      </c>
      <c r="F157" s="9">
        <v>274700</v>
      </c>
      <c r="G157" s="9">
        <v>415865</v>
      </c>
      <c r="H157" s="9">
        <v>26525</v>
      </c>
      <c r="I157" s="9">
        <v>2425</v>
      </c>
      <c r="J157" s="9">
        <v>3754</v>
      </c>
      <c r="K157" s="9">
        <v>2031</v>
      </c>
      <c r="L157" s="9">
        <v>228011</v>
      </c>
      <c r="M157" s="9">
        <v>3129</v>
      </c>
      <c r="N157" s="12">
        <v>0.41666666666666669</v>
      </c>
      <c r="O157" s="10" t="s">
        <v>34</v>
      </c>
      <c r="P157">
        <f t="shared" si="12"/>
        <v>1</v>
      </c>
      <c r="R157">
        <f t="shared" si="13"/>
        <v>34735</v>
      </c>
      <c r="S157">
        <f t="shared" si="14"/>
        <v>7.9084496905138906</v>
      </c>
      <c r="T157" t="str">
        <f t="shared" si="15"/>
        <v>Medium</v>
      </c>
      <c r="U157">
        <f t="shared" si="16"/>
        <v>2026</v>
      </c>
      <c r="V157">
        <f t="shared" si="17"/>
        <v>2</v>
      </c>
    </row>
    <row r="158" spans="1:22" x14ac:dyDescent="0.3">
      <c r="A158" s="5" t="s">
        <v>199</v>
      </c>
      <c r="B158" s="6">
        <v>20251122</v>
      </c>
      <c r="C158" s="6" t="s">
        <v>40</v>
      </c>
      <c r="D158" s="6" t="s">
        <v>36</v>
      </c>
      <c r="E158" s="6" t="s">
        <v>41</v>
      </c>
      <c r="F158" s="6">
        <v>94986</v>
      </c>
      <c r="G158" s="6">
        <v>128969</v>
      </c>
      <c r="H158" s="6">
        <v>6127</v>
      </c>
      <c r="I158" s="6">
        <v>371</v>
      </c>
      <c r="J158" s="6">
        <v>484</v>
      </c>
      <c r="K158" s="6">
        <v>175</v>
      </c>
      <c r="L158" s="6">
        <v>36045</v>
      </c>
      <c r="M158" s="6">
        <v>380</v>
      </c>
      <c r="N158" s="11">
        <v>0.44791666666666669</v>
      </c>
      <c r="O158" s="7" t="s">
        <v>27</v>
      </c>
      <c r="P158">
        <f t="shared" si="12"/>
        <v>1</v>
      </c>
      <c r="R158">
        <f t="shared" si="13"/>
        <v>7157</v>
      </c>
      <c r="S158">
        <f t="shared" si="14"/>
        <v>13.271761911415398</v>
      </c>
      <c r="T158" t="str">
        <f t="shared" si="15"/>
        <v>High</v>
      </c>
      <c r="U158">
        <f t="shared" si="16"/>
        <v>2025</v>
      </c>
      <c r="V158">
        <f t="shared" si="17"/>
        <v>11</v>
      </c>
    </row>
    <row r="159" spans="1:22" x14ac:dyDescent="0.3">
      <c r="A159" s="8" t="s">
        <v>200</v>
      </c>
      <c r="B159" s="9">
        <v>20251004</v>
      </c>
      <c r="C159" s="9" t="s">
        <v>40</v>
      </c>
      <c r="D159" s="9" t="s">
        <v>21</v>
      </c>
      <c r="E159" s="9" t="s">
        <v>41</v>
      </c>
      <c r="F159" s="9">
        <v>28832</v>
      </c>
      <c r="G159" s="9">
        <v>36470</v>
      </c>
      <c r="H159" s="9">
        <v>2240</v>
      </c>
      <c r="I159" s="9">
        <v>228</v>
      </c>
      <c r="J159" s="9">
        <v>268</v>
      </c>
      <c r="K159" s="9">
        <v>95</v>
      </c>
      <c r="L159" s="9">
        <v>13554</v>
      </c>
      <c r="M159" s="9">
        <v>315</v>
      </c>
      <c r="N159" s="12">
        <v>0.46875</v>
      </c>
      <c r="O159" s="10" t="s">
        <v>19</v>
      </c>
      <c r="P159">
        <f t="shared" si="12"/>
        <v>1</v>
      </c>
      <c r="R159">
        <f t="shared" si="13"/>
        <v>2831</v>
      </c>
      <c r="S159">
        <f t="shared" si="14"/>
        <v>10.184387142352525</v>
      </c>
      <c r="T159" t="str">
        <f t="shared" si="15"/>
        <v>High</v>
      </c>
      <c r="U159">
        <f t="shared" si="16"/>
        <v>2025</v>
      </c>
      <c r="V159">
        <f t="shared" si="17"/>
        <v>10</v>
      </c>
    </row>
    <row r="160" spans="1:22" x14ac:dyDescent="0.3">
      <c r="A160" s="5" t="s">
        <v>201</v>
      </c>
      <c r="B160" s="6">
        <v>20260204</v>
      </c>
      <c r="C160" s="6" t="s">
        <v>16</v>
      </c>
      <c r="D160" s="6" t="s">
        <v>61</v>
      </c>
      <c r="E160" s="6" t="s">
        <v>26</v>
      </c>
      <c r="F160" s="6">
        <v>15595</v>
      </c>
      <c r="G160" s="6">
        <v>25307</v>
      </c>
      <c r="H160" s="6">
        <v>1756</v>
      </c>
      <c r="I160" s="6">
        <v>132</v>
      </c>
      <c r="J160" s="6">
        <v>152</v>
      </c>
      <c r="K160" s="6">
        <v>74</v>
      </c>
      <c r="L160" s="6">
        <v>9578</v>
      </c>
      <c r="M160" s="6">
        <v>60</v>
      </c>
      <c r="N160" s="11">
        <v>0.35416666666666669</v>
      </c>
      <c r="O160" s="7" t="s">
        <v>47</v>
      </c>
      <c r="P160">
        <f t="shared" si="12"/>
        <v>1</v>
      </c>
      <c r="R160">
        <f t="shared" si="13"/>
        <v>2114</v>
      </c>
      <c r="S160">
        <f t="shared" si="14"/>
        <v>7.3770104068117313</v>
      </c>
      <c r="T160" t="str">
        <f t="shared" si="15"/>
        <v>Medium</v>
      </c>
      <c r="U160">
        <f t="shared" si="16"/>
        <v>2026</v>
      </c>
      <c r="V160">
        <f t="shared" si="17"/>
        <v>2</v>
      </c>
    </row>
    <row r="161" spans="1:22" x14ac:dyDescent="0.3">
      <c r="A161" s="8" t="s">
        <v>202</v>
      </c>
      <c r="B161" s="9">
        <v>20250427</v>
      </c>
      <c r="C161" s="9" t="s">
        <v>16</v>
      </c>
      <c r="D161" s="9" t="s">
        <v>61</v>
      </c>
      <c r="E161" s="9" t="s">
        <v>18</v>
      </c>
      <c r="F161" s="9">
        <v>11844</v>
      </c>
      <c r="G161" s="9">
        <v>19383</v>
      </c>
      <c r="H161" s="9">
        <v>571</v>
      </c>
      <c r="I161" s="9">
        <v>31</v>
      </c>
      <c r="J161" s="9">
        <v>35</v>
      </c>
      <c r="K161" s="9">
        <v>61</v>
      </c>
      <c r="L161" s="9">
        <v>0</v>
      </c>
      <c r="M161" s="9">
        <v>154</v>
      </c>
      <c r="N161" s="12">
        <v>0.51041666666666663</v>
      </c>
      <c r="O161" s="10" t="s">
        <v>34</v>
      </c>
      <c r="P161">
        <f t="shared" si="12"/>
        <v>1</v>
      </c>
      <c r="R161">
        <f t="shared" si="13"/>
        <v>698</v>
      </c>
      <c r="S161">
        <f t="shared" si="14"/>
        <v>16.968481375358166</v>
      </c>
      <c r="T161" t="str">
        <f t="shared" si="15"/>
        <v>High</v>
      </c>
      <c r="U161">
        <f t="shared" si="16"/>
        <v>2025</v>
      </c>
      <c r="V161">
        <f t="shared" si="17"/>
        <v>4</v>
      </c>
    </row>
    <row r="162" spans="1:22" x14ac:dyDescent="0.3">
      <c r="A162" s="5" t="s">
        <v>203</v>
      </c>
      <c r="B162" s="6">
        <v>20251222</v>
      </c>
      <c r="C162" s="6" t="s">
        <v>25</v>
      </c>
      <c r="D162" s="6" t="s">
        <v>33</v>
      </c>
      <c r="E162" s="6" t="s">
        <v>18</v>
      </c>
      <c r="F162" s="6">
        <v>13758</v>
      </c>
      <c r="G162" s="6">
        <v>16454</v>
      </c>
      <c r="H162" s="6">
        <v>1243</v>
      </c>
      <c r="I162" s="6">
        <v>130</v>
      </c>
      <c r="J162" s="6">
        <v>96</v>
      </c>
      <c r="K162" s="6">
        <v>85</v>
      </c>
      <c r="L162" s="6">
        <v>0</v>
      </c>
      <c r="M162" s="6">
        <v>242</v>
      </c>
      <c r="N162" s="11">
        <v>0.73958333333333337</v>
      </c>
      <c r="O162" s="7" t="s">
        <v>19</v>
      </c>
      <c r="P162">
        <f t="shared" si="12"/>
        <v>1</v>
      </c>
      <c r="R162">
        <f t="shared" si="13"/>
        <v>1554</v>
      </c>
      <c r="S162">
        <f t="shared" si="14"/>
        <v>8.8532818532818531</v>
      </c>
      <c r="T162" t="str">
        <f t="shared" si="15"/>
        <v>Medium</v>
      </c>
      <c r="U162">
        <f t="shared" si="16"/>
        <v>2025</v>
      </c>
      <c r="V162">
        <f t="shared" si="17"/>
        <v>12</v>
      </c>
    </row>
    <row r="163" spans="1:22" x14ac:dyDescent="0.3">
      <c r="A163" s="8" t="s">
        <v>204</v>
      </c>
      <c r="B163" s="9">
        <v>20251222</v>
      </c>
      <c r="C163" s="9" t="s">
        <v>16</v>
      </c>
      <c r="D163" s="9" t="s">
        <v>33</v>
      </c>
      <c r="E163" s="9" t="s">
        <v>46</v>
      </c>
      <c r="F163" s="9">
        <v>33651</v>
      </c>
      <c r="G163" s="9">
        <v>43494</v>
      </c>
      <c r="H163" s="9">
        <v>1579</v>
      </c>
      <c r="I163" s="9">
        <v>74</v>
      </c>
      <c r="J163" s="9">
        <v>283</v>
      </c>
      <c r="K163" s="9">
        <v>242</v>
      </c>
      <c r="L163" s="9">
        <v>23240</v>
      </c>
      <c r="M163" s="9">
        <v>77</v>
      </c>
      <c r="N163" s="12">
        <v>0.84375</v>
      </c>
      <c r="O163" s="10" t="s">
        <v>34</v>
      </c>
      <c r="P163">
        <f t="shared" si="12"/>
        <v>1</v>
      </c>
      <c r="R163">
        <f t="shared" si="13"/>
        <v>2178</v>
      </c>
      <c r="S163">
        <f t="shared" si="14"/>
        <v>15.450413223140496</v>
      </c>
      <c r="T163" t="str">
        <f t="shared" si="15"/>
        <v>High</v>
      </c>
      <c r="U163">
        <f t="shared" si="16"/>
        <v>2025</v>
      </c>
      <c r="V163">
        <f t="shared" si="17"/>
        <v>12</v>
      </c>
    </row>
    <row r="164" spans="1:22" x14ac:dyDescent="0.3">
      <c r="A164" s="5" t="s">
        <v>205</v>
      </c>
      <c r="B164" s="6">
        <v>20250507</v>
      </c>
      <c r="C164" s="6" t="s">
        <v>40</v>
      </c>
      <c r="D164" s="6" t="s">
        <v>33</v>
      </c>
      <c r="E164" s="6" t="s">
        <v>18</v>
      </c>
      <c r="F164" s="6">
        <v>14129</v>
      </c>
      <c r="G164" s="6">
        <v>22983</v>
      </c>
      <c r="H164" s="6">
        <v>1108</v>
      </c>
      <c r="I164" s="6">
        <v>75</v>
      </c>
      <c r="J164" s="6">
        <v>96</v>
      </c>
      <c r="K164" s="6">
        <v>159</v>
      </c>
      <c r="L164" s="6">
        <v>0</v>
      </c>
      <c r="M164" s="6">
        <v>105</v>
      </c>
      <c r="N164" s="11">
        <v>0.36458333333333331</v>
      </c>
      <c r="O164" s="7" t="s">
        <v>38</v>
      </c>
      <c r="P164">
        <f t="shared" si="12"/>
        <v>1</v>
      </c>
      <c r="R164">
        <f t="shared" si="13"/>
        <v>1438</v>
      </c>
      <c r="S164">
        <f t="shared" si="14"/>
        <v>9.8254520166898462</v>
      </c>
      <c r="T164" t="str">
        <f t="shared" si="15"/>
        <v>Medium</v>
      </c>
      <c r="U164">
        <f t="shared" si="16"/>
        <v>2025</v>
      </c>
      <c r="V164">
        <f t="shared" si="17"/>
        <v>5</v>
      </c>
    </row>
    <row r="165" spans="1:22" x14ac:dyDescent="0.3">
      <c r="A165" s="8" t="s">
        <v>206</v>
      </c>
      <c r="B165" s="9">
        <v>20250122</v>
      </c>
      <c r="C165" s="9" t="s">
        <v>40</v>
      </c>
      <c r="D165" s="9" t="s">
        <v>36</v>
      </c>
      <c r="E165" s="9" t="s">
        <v>51</v>
      </c>
      <c r="F165" s="9">
        <v>22058</v>
      </c>
      <c r="G165" s="9">
        <v>31708</v>
      </c>
      <c r="H165" s="9">
        <v>1360</v>
      </c>
      <c r="I165" s="9">
        <v>92</v>
      </c>
      <c r="J165" s="9">
        <v>153</v>
      </c>
      <c r="K165" s="9">
        <v>65</v>
      </c>
      <c r="L165" s="9">
        <v>0</v>
      </c>
      <c r="M165" s="9">
        <v>374</v>
      </c>
      <c r="N165" s="12">
        <v>0.67708333333333337</v>
      </c>
      <c r="O165" s="10" t="s">
        <v>34</v>
      </c>
      <c r="P165">
        <f t="shared" si="12"/>
        <v>1</v>
      </c>
      <c r="R165">
        <f t="shared" si="13"/>
        <v>1670</v>
      </c>
      <c r="S165">
        <f t="shared" si="14"/>
        <v>13.208383233532935</v>
      </c>
      <c r="T165" t="str">
        <f t="shared" si="15"/>
        <v>High</v>
      </c>
      <c r="U165">
        <f t="shared" si="16"/>
        <v>2025</v>
      </c>
      <c r="V165">
        <f t="shared" si="17"/>
        <v>1</v>
      </c>
    </row>
    <row r="166" spans="1:22" x14ac:dyDescent="0.3">
      <c r="A166" s="5" t="s">
        <v>207</v>
      </c>
      <c r="B166" s="6">
        <v>20260630</v>
      </c>
      <c r="C166" s="6" t="s">
        <v>25</v>
      </c>
      <c r="D166" s="6" t="s">
        <v>61</v>
      </c>
      <c r="E166" s="6" t="s">
        <v>41</v>
      </c>
      <c r="F166" s="6">
        <v>21240</v>
      </c>
      <c r="G166" s="6">
        <v>27935</v>
      </c>
      <c r="H166" s="6">
        <v>1262</v>
      </c>
      <c r="I166" s="6">
        <v>85</v>
      </c>
      <c r="J166" s="6">
        <v>99</v>
      </c>
      <c r="K166" s="6">
        <v>194</v>
      </c>
      <c r="L166" s="6">
        <v>8203</v>
      </c>
      <c r="M166" s="6">
        <v>226</v>
      </c>
      <c r="N166" s="11">
        <v>0.91666666666666663</v>
      </c>
      <c r="O166" s="7" t="s">
        <v>23</v>
      </c>
      <c r="P166">
        <f t="shared" si="12"/>
        <v>1</v>
      </c>
      <c r="R166">
        <f t="shared" si="13"/>
        <v>1640</v>
      </c>
      <c r="S166">
        <f t="shared" si="14"/>
        <v>12.951219512195122</v>
      </c>
      <c r="T166" t="str">
        <f t="shared" si="15"/>
        <v>High</v>
      </c>
      <c r="U166">
        <f t="shared" si="16"/>
        <v>2026</v>
      </c>
      <c r="V166">
        <f t="shared" si="17"/>
        <v>6</v>
      </c>
    </row>
    <row r="167" spans="1:22" x14ac:dyDescent="0.3">
      <c r="A167" s="8" t="s">
        <v>208</v>
      </c>
      <c r="B167" s="9">
        <v>20260827</v>
      </c>
      <c r="C167" s="9" t="s">
        <v>16</v>
      </c>
      <c r="D167" s="9" t="s">
        <v>36</v>
      </c>
      <c r="E167" s="9" t="s">
        <v>41</v>
      </c>
      <c r="F167" s="9">
        <v>17601</v>
      </c>
      <c r="G167" s="9">
        <v>28433</v>
      </c>
      <c r="H167" s="9">
        <v>542</v>
      </c>
      <c r="I167" s="9">
        <v>34</v>
      </c>
      <c r="J167" s="9">
        <v>80</v>
      </c>
      <c r="K167" s="9">
        <v>68</v>
      </c>
      <c r="L167" s="9">
        <v>11238</v>
      </c>
      <c r="M167" s="9">
        <v>23</v>
      </c>
      <c r="N167" s="12">
        <v>0.70833333333333337</v>
      </c>
      <c r="O167" s="10" t="s">
        <v>38</v>
      </c>
      <c r="P167">
        <f t="shared" si="12"/>
        <v>1</v>
      </c>
      <c r="R167">
        <f t="shared" si="13"/>
        <v>724</v>
      </c>
      <c r="S167">
        <f t="shared" si="14"/>
        <v>24.310773480662984</v>
      </c>
      <c r="T167" t="str">
        <f t="shared" si="15"/>
        <v>High</v>
      </c>
      <c r="U167">
        <f t="shared" si="16"/>
        <v>2026</v>
      </c>
      <c r="V167">
        <f t="shared" si="17"/>
        <v>8</v>
      </c>
    </row>
    <row r="168" spans="1:22" x14ac:dyDescent="0.3">
      <c r="A168" s="5" t="s">
        <v>209</v>
      </c>
      <c r="B168" s="6">
        <v>20250417</v>
      </c>
      <c r="C168" s="6" t="s">
        <v>16</v>
      </c>
      <c r="D168" s="6" t="s">
        <v>33</v>
      </c>
      <c r="E168" s="6" t="s">
        <v>18</v>
      </c>
      <c r="F168" s="6">
        <v>23919</v>
      </c>
      <c r="G168" s="6">
        <v>35010</v>
      </c>
      <c r="H168" s="6">
        <v>2655</v>
      </c>
      <c r="I168" s="6">
        <v>131</v>
      </c>
      <c r="J168" s="6">
        <v>115</v>
      </c>
      <c r="K168" s="6">
        <v>147</v>
      </c>
      <c r="L168" s="6">
        <v>0</v>
      </c>
      <c r="M168" s="6">
        <v>158</v>
      </c>
      <c r="N168" s="11">
        <v>0.75</v>
      </c>
      <c r="O168" s="7" t="s">
        <v>47</v>
      </c>
      <c r="P168">
        <f t="shared" si="12"/>
        <v>1</v>
      </c>
      <c r="R168">
        <f t="shared" si="13"/>
        <v>3048</v>
      </c>
      <c r="S168">
        <f t="shared" si="14"/>
        <v>7.8474409448818898</v>
      </c>
      <c r="T168" t="str">
        <f t="shared" si="15"/>
        <v>Medium</v>
      </c>
      <c r="U168">
        <f t="shared" si="16"/>
        <v>2025</v>
      </c>
      <c r="V168">
        <f t="shared" si="17"/>
        <v>4</v>
      </c>
    </row>
    <row r="169" spans="1:22" x14ac:dyDescent="0.3">
      <c r="A169" s="8" t="s">
        <v>210</v>
      </c>
      <c r="B169" s="9">
        <v>20250403</v>
      </c>
      <c r="C169" s="9" t="s">
        <v>40</v>
      </c>
      <c r="D169" s="9" t="s">
        <v>17</v>
      </c>
      <c r="E169" s="9" t="s">
        <v>41</v>
      </c>
      <c r="F169" s="9">
        <v>7806</v>
      </c>
      <c r="G169" s="9">
        <v>8777</v>
      </c>
      <c r="H169" s="9">
        <v>586</v>
      </c>
      <c r="I169" s="9">
        <v>42</v>
      </c>
      <c r="J169" s="9">
        <v>80</v>
      </c>
      <c r="K169" s="9">
        <v>20</v>
      </c>
      <c r="L169" s="9">
        <v>4452</v>
      </c>
      <c r="M169" s="9">
        <v>130</v>
      </c>
      <c r="N169" s="12">
        <v>0.88541666666666663</v>
      </c>
      <c r="O169" s="10" t="s">
        <v>42</v>
      </c>
      <c r="P169">
        <f t="shared" si="12"/>
        <v>1</v>
      </c>
      <c r="R169">
        <f t="shared" si="13"/>
        <v>728</v>
      </c>
      <c r="S169">
        <f t="shared" si="14"/>
        <v>10.722527472527473</v>
      </c>
      <c r="T169" t="str">
        <f t="shared" si="15"/>
        <v>High</v>
      </c>
      <c r="U169">
        <f t="shared" si="16"/>
        <v>2025</v>
      </c>
      <c r="V169">
        <f t="shared" si="17"/>
        <v>4</v>
      </c>
    </row>
    <row r="170" spans="1:22" x14ac:dyDescent="0.3">
      <c r="A170" s="5" t="s">
        <v>211</v>
      </c>
      <c r="B170" s="6">
        <v>20260812</v>
      </c>
      <c r="C170" s="6" t="s">
        <v>16</v>
      </c>
      <c r="D170" s="6" t="s">
        <v>36</v>
      </c>
      <c r="E170" s="6" t="s">
        <v>51</v>
      </c>
      <c r="F170" s="6">
        <v>22918</v>
      </c>
      <c r="G170" s="6">
        <v>28221</v>
      </c>
      <c r="H170" s="6">
        <v>2237</v>
      </c>
      <c r="I170" s="6">
        <v>272</v>
      </c>
      <c r="J170" s="6">
        <v>139</v>
      </c>
      <c r="K170" s="6">
        <v>122</v>
      </c>
      <c r="L170" s="6">
        <v>0</v>
      </c>
      <c r="M170" s="6">
        <v>248</v>
      </c>
      <c r="N170" s="11">
        <v>0.3125</v>
      </c>
      <c r="O170" s="7" t="s">
        <v>53</v>
      </c>
      <c r="P170">
        <f t="shared" si="12"/>
        <v>1</v>
      </c>
      <c r="R170">
        <f t="shared" si="13"/>
        <v>2770</v>
      </c>
      <c r="S170">
        <f t="shared" si="14"/>
        <v>8.2736462093862819</v>
      </c>
      <c r="T170" t="str">
        <f t="shared" si="15"/>
        <v>Medium</v>
      </c>
      <c r="U170">
        <f t="shared" si="16"/>
        <v>2026</v>
      </c>
      <c r="V170">
        <f t="shared" si="17"/>
        <v>8</v>
      </c>
    </row>
    <row r="171" spans="1:22" x14ac:dyDescent="0.3">
      <c r="A171" s="8" t="s">
        <v>212</v>
      </c>
      <c r="B171" s="9">
        <v>20250721</v>
      </c>
      <c r="C171" s="9" t="s">
        <v>32</v>
      </c>
      <c r="D171" s="9" t="s">
        <v>61</v>
      </c>
      <c r="E171" s="9" t="s">
        <v>22</v>
      </c>
      <c r="F171" s="9">
        <v>5811</v>
      </c>
      <c r="G171" s="9">
        <v>6796</v>
      </c>
      <c r="H171" s="9">
        <v>484</v>
      </c>
      <c r="I171" s="9">
        <v>21</v>
      </c>
      <c r="J171" s="9">
        <v>75</v>
      </c>
      <c r="K171" s="9">
        <v>10</v>
      </c>
      <c r="L171" s="9">
        <v>0</v>
      </c>
      <c r="M171" s="9">
        <v>55</v>
      </c>
      <c r="N171" s="12">
        <v>0.79166666666666663</v>
      </c>
      <c r="O171" s="10" t="s">
        <v>53</v>
      </c>
      <c r="P171">
        <f t="shared" si="12"/>
        <v>1</v>
      </c>
      <c r="R171">
        <f t="shared" si="13"/>
        <v>590</v>
      </c>
      <c r="S171">
        <f t="shared" si="14"/>
        <v>9.849152542372881</v>
      </c>
      <c r="T171" t="str">
        <f t="shared" si="15"/>
        <v>Medium</v>
      </c>
      <c r="U171">
        <f t="shared" si="16"/>
        <v>2025</v>
      </c>
      <c r="V171">
        <f t="shared" si="17"/>
        <v>7</v>
      </c>
    </row>
    <row r="172" spans="1:22" x14ac:dyDescent="0.3">
      <c r="A172" s="5" t="s">
        <v>213</v>
      </c>
      <c r="B172" s="6">
        <v>20260907</v>
      </c>
      <c r="C172" s="6" t="s">
        <v>40</v>
      </c>
      <c r="D172" s="6" t="s">
        <v>17</v>
      </c>
      <c r="E172" s="6" t="s">
        <v>46</v>
      </c>
      <c r="F172" s="6">
        <v>22004</v>
      </c>
      <c r="G172" s="6">
        <v>25739</v>
      </c>
      <c r="H172" s="6">
        <v>657</v>
      </c>
      <c r="I172" s="6">
        <v>79</v>
      </c>
      <c r="J172" s="6">
        <v>109</v>
      </c>
      <c r="K172" s="6">
        <v>30</v>
      </c>
      <c r="L172" s="6">
        <v>11003</v>
      </c>
      <c r="M172" s="6">
        <v>322</v>
      </c>
      <c r="N172" s="11">
        <v>0.70833333333333337</v>
      </c>
      <c r="O172" s="7" t="s">
        <v>23</v>
      </c>
      <c r="P172">
        <f t="shared" si="12"/>
        <v>1</v>
      </c>
      <c r="R172">
        <f t="shared" si="13"/>
        <v>875</v>
      </c>
      <c r="S172">
        <f t="shared" si="14"/>
        <v>25.14742857142857</v>
      </c>
      <c r="T172" t="str">
        <f t="shared" si="15"/>
        <v>High</v>
      </c>
      <c r="U172">
        <f t="shared" si="16"/>
        <v>2026</v>
      </c>
      <c r="V172">
        <f t="shared" si="17"/>
        <v>9</v>
      </c>
    </row>
    <row r="173" spans="1:22" x14ac:dyDescent="0.3">
      <c r="A173" s="8" t="s">
        <v>214</v>
      </c>
      <c r="B173" s="9">
        <v>20260921</v>
      </c>
      <c r="C173" s="9" t="s">
        <v>32</v>
      </c>
      <c r="D173" s="9" t="s">
        <v>21</v>
      </c>
      <c r="E173" s="9" t="s">
        <v>26</v>
      </c>
      <c r="F173" s="9">
        <v>13169</v>
      </c>
      <c r="G173" s="9">
        <v>15326</v>
      </c>
      <c r="H173" s="9">
        <v>1481</v>
      </c>
      <c r="I173" s="9">
        <v>59</v>
      </c>
      <c r="J173" s="9">
        <v>238</v>
      </c>
      <c r="K173" s="9">
        <v>221</v>
      </c>
      <c r="L173" s="9">
        <v>4665</v>
      </c>
      <c r="M173" s="9">
        <v>43</v>
      </c>
      <c r="N173" s="12">
        <v>0.66666666666666663</v>
      </c>
      <c r="O173" s="10" t="s">
        <v>42</v>
      </c>
      <c r="P173">
        <f t="shared" si="12"/>
        <v>1</v>
      </c>
      <c r="R173">
        <f t="shared" si="13"/>
        <v>1999</v>
      </c>
      <c r="S173">
        <f t="shared" si="14"/>
        <v>6.5877938969484742</v>
      </c>
      <c r="T173" t="str">
        <f t="shared" si="15"/>
        <v>Medium</v>
      </c>
      <c r="U173">
        <f t="shared" si="16"/>
        <v>2026</v>
      </c>
      <c r="V173">
        <f t="shared" si="17"/>
        <v>9</v>
      </c>
    </row>
    <row r="174" spans="1:22" x14ac:dyDescent="0.3">
      <c r="A174" s="5" t="s">
        <v>215</v>
      </c>
      <c r="B174" s="6">
        <v>20250808</v>
      </c>
      <c r="C174" s="6" t="s">
        <v>32</v>
      </c>
      <c r="D174" s="6" t="s">
        <v>61</v>
      </c>
      <c r="E174" s="6" t="s">
        <v>18</v>
      </c>
      <c r="F174" s="6">
        <v>14402</v>
      </c>
      <c r="G174" s="6">
        <v>16258</v>
      </c>
      <c r="H174" s="6">
        <v>1699</v>
      </c>
      <c r="I174" s="6">
        <v>134</v>
      </c>
      <c r="J174" s="6">
        <v>117</v>
      </c>
      <c r="K174" s="6">
        <v>168</v>
      </c>
      <c r="L174" s="6">
        <v>0</v>
      </c>
      <c r="M174" s="6">
        <v>107</v>
      </c>
      <c r="N174" s="11">
        <v>0.44791666666666669</v>
      </c>
      <c r="O174" s="7" t="s">
        <v>38</v>
      </c>
      <c r="P174">
        <f t="shared" si="12"/>
        <v>1</v>
      </c>
      <c r="R174">
        <f t="shared" si="13"/>
        <v>2118</v>
      </c>
      <c r="S174">
        <f t="shared" si="14"/>
        <v>6.7998111425873464</v>
      </c>
      <c r="T174" t="str">
        <f t="shared" si="15"/>
        <v>Medium</v>
      </c>
      <c r="U174">
        <f t="shared" si="16"/>
        <v>2025</v>
      </c>
      <c r="V174">
        <f t="shared" si="17"/>
        <v>8</v>
      </c>
    </row>
    <row r="175" spans="1:22" x14ac:dyDescent="0.3">
      <c r="A175" s="8" t="s">
        <v>216</v>
      </c>
      <c r="B175" s="9">
        <v>20250711</v>
      </c>
      <c r="C175" s="9" t="s">
        <v>25</v>
      </c>
      <c r="D175" s="9" t="s">
        <v>29</v>
      </c>
      <c r="E175" s="9" t="s">
        <v>51</v>
      </c>
      <c r="F175" s="9">
        <v>12592</v>
      </c>
      <c r="G175" s="9">
        <v>19737</v>
      </c>
      <c r="H175" s="9">
        <v>1098</v>
      </c>
      <c r="I175" s="9">
        <v>64</v>
      </c>
      <c r="J175" s="9">
        <v>70</v>
      </c>
      <c r="K175" s="9">
        <v>26</v>
      </c>
      <c r="L175" s="9">
        <v>0</v>
      </c>
      <c r="M175" s="9">
        <v>224</v>
      </c>
      <c r="N175" s="12">
        <v>0.29166666666666669</v>
      </c>
      <c r="O175" s="10" t="s">
        <v>49</v>
      </c>
      <c r="P175">
        <f t="shared" si="12"/>
        <v>1</v>
      </c>
      <c r="R175">
        <f t="shared" si="13"/>
        <v>1258</v>
      </c>
      <c r="S175">
        <f t="shared" si="14"/>
        <v>10.009538950715422</v>
      </c>
      <c r="T175" t="str">
        <f t="shared" si="15"/>
        <v>High</v>
      </c>
      <c r="U175">
        <f t="shared" si="16"/>
        <v>2025</v>
      </c>
      <c r="V175">
        <f t="shared" si="17"/>
        <v>7</v>
      </c>
    </row>
    <row r="176" spans="1:22" x14ac:dyDescent="0.3">
      <c r="A176" s="5" t="s">
        <v>217</v>
      </c>
      <c r="B176" s="6">
        <v>20250608</v>
      </c>
      <c r="C176" s="6" t="s">
        <v>25</v>
      </c>
      <c r="D176" s="6" t="s">
        <v>17</v>
      </c>
      <c r="E176" s="6" t="s">
        <v>41</v>
      </c>
      <c r="F176" s="6">
        <v>14554</v>
      </c>
      <c r="G176" s="6">
        <v>22928</v>
      </c>
      <c r="H176" s="6">
        <v>1223</v>
      </c>
      <c r="I176" s="6">
        <v>155</v>
      </c>
      <c r="J176" s="6">
        <v>206</v>
      </c>
      <c r="K176" s="6">
        <v>150</v>
      </c>
      <c r="L176" s="6">
        <v>12588</v>
      </c>
      <c r="M176" s="6">
        <v>110</v>
      </c>
      <c r="N176" s="11">
        <v>0.35416666666666669</v>
      </c>
      <c r="O176" s="7" t="s">
        <v>53</v>
      </c>
      <c r="P176">
        <f t="shared" si="12"/>
        <v>1</v>
      </c>
      <c r="R176">
        <f t="shared" si="13"/>
        <v>1734</v>
      </c>
      <c r="S176">
        <f t="shared" si="14"/>
        <v>8.3933102652825831</v>
      </c>
      <c r="T176" t="str">
        <f t="shared" si="15"/>
        <v>Medium</v>
      </c>
      <c r="U176">
        <f t="shared" si="16"/>
        <v>2025</v>
      </c>
      <c r="V176">
        <f t="shared" si="17"/>
        <v>6</v>
      </c>
    </row>
    <row r="177" spans="1:22" x14ac:dyDescent="0.3">
      <c r="A177" s="8" t="s">
        <v>218</v>
      </c>
      <c r="B177" s="9">
        <v>20250428</v>
      </c>
      <c r="C177" s="9" t="s">
        <v>32</v>
      </c>
      <c r="D177" s="9" t="s">
        <v>61</v>
      </c>
      <c r="E177" s="9" t="s">
        <v>51</v>
      </c>
      <c r="F177" s="9">
        <v>22309</v>
      </c>
      <c r="G177" s="9">
        <v>27518</v>
      </c>
      <c r="H177" s="9">
        <v>1654</v>
      </c>
      <c r="I177" s="9">
        <v>229</v>
      </c>
      <c r="J177" s="9">
        <v>213</v>
      </c>
      <c r="K177" s="9">
        <v>133</v>
      </c>
      <c r="L177" s="9">
        <v>0</v>
      </c>
      <c r="M177" s="9">
        <v>173</v>
      </c>
      <c r="N177" s="12">
        <v>0.57291666666666663</v>
      </c>
      <c r="O177" s="10" t="s">
        <v>47</v>
      </c>
      <c r="P177">
        <f t="shared" si="12"/>
        <v>1</v>
      </c>
      <c r="R177">
        <f t="shared" si="13"/>
        <v>2229</v>
      </c>
      <c r="S177">
        <f t="shared" si="14"/>
        <v>10.008524001794527</v>
      </c>
      <c r="T177" t="str">
        <f t="shared" si="15"/>
        <v>High</v>
      </c>
      <c r="U177">
        <f t="shared" si="16"/>
        <v>2025</v>
      </c>
      <c r="V177">
        <f t="shared" si="17"/>
        <v>4</v>
      </c>
    </row>
    <row r="178" spans="1:22" x14ac:dyDescent="0.3">
      <c r="A178" s="5" t="s">
        <v>219</v>
      </c>
      <c r="B178" s="6">
        <v>20250118</v>
      </c>
      <c r="C178" s="6" t="s">
        <v>25</v>
      </c>
      <c r="D178" s="6" t="s">
        <v>33</v>
      </c>
      <c r="E178" s="6" t="s">
        <v>46</v>
      </c>
      <c r="F178" s="6">
        <v>19564</v>
      </c>
      <c r="G178" s="6">
        <v>31487</v>
      </c>
      <c r="H178" s="6">
        <v>816</v>
      </c>
      <c r="I178" s="6">
        <v>31</v>
      </c>
      <c r="J178" s="6">
        <v>35</v>
      </c>
      <c r="K178" s="6">
        <v>20</v>
      </c>
      <c r="L178" s="6">
        <v>12720</v>
      </c>
      <c r="M178" s="6">
        <v>311</v>
      </c>
      <c r="N178" s="11">
        <v>0.58333333333333337</v>
      </c>
      <c r="O178" s="7" t="s">
        <v>27</v>
      </c>
      <c r="P178">
        <f t="shared" si="12"/>
        <v>1</v>
      </c>
      <c r="R178">
        <f t="shared" si="13"/>
        <v>902</v>
      </c>
      <c r="S178">
        <f t="shared" si="14"/>
        <v>21.68957871396896</v>
      </c>
      <c r="T178" t="str">
        <f t="shared" si="15"/>
        <v>High</v>
      </c>
      <c r="U178">
        <f t="shared" si="16"/>
        <v>2025</v>
      </c>
      <c r="V178">
        <f t="shared" si="17"/>
        <v>1</v>
      </c>
    </row>
    <row r="179" spans="1:22" x14ac:dyDescent="0.3">
      <c r="A179" s="8" t="s">
        <v>220</v>
      </c>
      <c r="B179" s="9">
        <v>20260712</v>
      </c>
      <c r="C179" s="9" t="s">
        <v>32</v>
      </c>
      <c r="D179" s="9" t="s">
        <v>68</v>
      </c>
      <c r="E179" s="9" t="s">
        <v>26</v>
      </c>
      <c r="F179" s="9">
        <v>16026</v>
      </c>
      <c r="G179" s="9">
        <v>21697</v>
      </c>
      <c r="H179" s="9">
        <v>1798</v>
      </c>
      <c r="I179" s="9">
        <v>51</v>
      </c>
      <c r="J179" s="9">
        <v>109</v>
      </c>
      <c r="K179" s="9">
        <v>173</v>
      </c>
      <c r="L179" s="9">
        <v>11334</v>
      </c>
      <c r="M179" s="9">
        <v>29</v>
      </c>
      <c r="N179" s="12">
        <v>0.38541666666666669</v>
      </c>
      <c r="O179" s="10" t="s">
        <v>30</v>
      </c>
      <c r="P179">
        <f t="shared" si="12"/>
        <v>1</v>
      </c>
      <c r="R179">
        <f t="shared" si="13"/>
        <v>2131</v>
      </c>
      <c r="S179">
        <f t="shared" si="14"/>
        <v>7.5204129516658842</v>
      </c>
      <c r="T179" t="str">
        <f t="shared" si="15"/>
        <v>Medium</v>
      </c>
      <c r="U179">
        <f t="shared" si="16"/>
        <v>2026</v>
      </c>
      <c r="V179">
        <f t="shared" si="17"/>
        <v>7</v>
      </c>
    </row>
    <row r="180" spans="1:22" x14ac:dyDescent="0.3">
      <c r="A180" s="5" t="s">
        <v>221</v>
      </c>
      <c r="B180" s="6">
        <v>20250328</v>
      </c>
      <c r="C180" s="6" t="s">
        <v>32</v>
      </c>
      <c r="D180" s="6" t="s">
        <v>17</v>
      </c>
      <c r="E180" s="6" t="s">
        <v>51</v>
      </c>
      <c r="F180" s="6">
        <v>6521</v>
      </c>
      <c r="G180" s="6">
        <v>8539</v>
      </c>
      <c r="H180" s="6">
        <v>490</v>
      </c>
      <c r="I180" s="6">
        <v>48</v>
      </c>
      <c r="J180" s="6">
        <v>61</v>
      </c>
      <c r="K180" s="6">
        <v>25</v>
      </c>
      <c r="L180" s="6">
        <v>0</v>
      </c>
      <c r="M180" s="6">
        <v>43</v>
      </c>
      <c r="N180" s="11">
        <v>0.42708333333333331</v>
      </c>
      <c r="O180" s="7" t="s">
        <v>53</v>
      </c>
      <c r="P180">
        <f t="shared" si="12"/>
        <v>1</v>
      </c>
      <c r="R180">
        <f t="shared" si="13"/>
        <v>624</v>
      </c>
      <c r="S180">
        <f t="shared" si="14"/>
        <v>10.450320512820513</v>
      </c>
      <c r="T180" t="str">
        <f t="shared" si="15"/>
        <v>High</v>
      </c>
      <c r="U180">
        <f t="shared" si="16"/>
        <v>2025</v>
      </c>
      <c r="V180">
        <f t="shared" si="17"/>
        <v>3</v>
      </c>
    </row>
    <row r="181" spans="1:22" x14ac:dyDescent="0.3">
      <c r="A181" s="8" t="s">
        <v>222</v>
      </c>
      <c r="B181" s="9">
        <v>20250410</v>
      </c>
      <c r="C181" s="9" t="s">
        <v>32</v>
      </c>
      <c r="D181" s="9" t="s">
        <v>17</v>
      </c>
      <c r="E181" s="9" t="s">
        <v>46</v>
      </c>
      <c r="F181" s="9">
        <v>8930</v>
      </c>
      <c r="G181" s="9">
        <v>9605</v>
      </c>
      <c r="H181" s="9">
        <v>327</v>
      </c>
      <c r="I181" s="9">
        <v>20</v>
      </c>
      <c r="J181" s="9">
        <v>58</v>
      </c>
      <c r="K181" s="9">
        <v>12</v>
      </c>
      <c r="L181" s="9">
        <v>7363</v>
      </c>
      <c r="M181" s="9">
        <v>85</v>
      </c>
      <c r="N181" s="12">
        <v>0.875</v>
      </c>
      <c r="O181" s="10" t="s">
        <v>30</v>
      </c>
      <c r="P181">
        <f t="shared" si="12"/>
        <v>1</v>
      </c>
      <c r="R181">
        <f t="shared" si="13"/>
        <v>417</v>
      </c>
      <c r="S181">
        <f t="shared" si="14"/>
        <v>21.414868105515588</v>
      </c>
      <c r="T181" t="str">
        <f t="shared" si="15"/>
        <v>High</v>
      </c>
      <c r="U181">
        <f t="shared" si="16"/>
        <v>2025</v>
      </c>
      <c r="V181">
        <f t="shared" si="17"/>
        <v>4</v>
      </c>
    </row>
    <row r="182" spans="1:22" x14ac:dyDescent="0.3">
      <c r="A182" s="5" t="s">
        <v>223</v>
      </c>
      <c r="B182" s="6">
        <v>20260902</v>
      </c>
      <c r="C182" s="6" t="s">
        <v>25</v>
      </c>
      <c r="D182" s="6" t="s">
        <v>21</v>
      </c>
      <c r="E182" s="6" t="s">
        <v>41</v>
      </c>
      <c r="F182" s="6">
        <v>11869</v>
      </c>
      <c r="G182" s="6">
        <v>19094</v>
      </c>
      <c r="H182" s="6">
        <v>1404</v>
      </c>
      <c r="I182" s="6">
        <v>83</v>
      </c>
      <c r="J182" s="6">
        <v>226</v>
      </c>
      <c r="K182" s="6">
        <v>136</v>
      </c>
      <c r="L182" s="6">
        <v>10000</v>
      </c>
      <c r="M182" s="6">
        <v>146</v>
      </c>
      <c r="N182" s="11">
        <v>0.94791666666666663</v>
      </c>
      <c r="O182" s="7" t="s">
        <v>30</v>
      </c>
      <c r="P182">
        <f t="shared" si="12"/>
        <v>1</v>
      </c>
      <c r="R182">
        <f t="shared" si="13"/>
        <v>1849</v>
      </c>
      <c r="S182">
        <f t="shared" si="14"/>
        <v>6.4191454840454298</v>
      </c>
      <c r="T182" t="str">
        <f t="shared" si="15"/>
        <v>Medium</v>
      </c>
      <c r="U182">
        <f t="shared" si="16"/>
        <v>2026</v>
      </c>
      <c r="V182">
        <f t="shared" si="17"/>
        <v>9</v>
      </c>
    </row>
    <row r="183" spans="1:22" x14ac:dyDescent="0.3">
      <c r="A183" s="8" t="s">
        <v>224</v>
      </c>
      <c r="B183" s="9">
        <v>20260331</v>
      </c>
      <c r="C183" s="9" t="s">
        <v>44</v>
      </c>
      <c r="D183" s="9" t="s">
        <v>36</v>
      </c>
      <c r="E183" s="9" t="s">
        <v>18</v>
      </c>
      <c r="F183" s="9">
        <v>25698</v>
      </c>
      <c r="G183" s="9">
        <v>41738</v>
      </c>
      <c r="H183" s="9">
        <v>1639</v>
      </c>
      <c r="I183" s="9">
        <v>107</v>
      </c>
      <c r="J183" s="9">
        <v>192</v>
      </c>
      <c r="K183" s="9">
        <v>82</v>
      </c>
      <c r="L183" s="9">
        <v>0</v>
      </c>
      <c r="M183" s="9">
        <v>295</v>
      </c>
      <c r="N183" s="12">
        <v>0.63541666666666663</v>
      </c>
      <c r="O183" s="10" t="s">
        <v>47</v>
      </c>
      <c r="P183">
        <f t="shared" si="12"/>
        <v>1</v>
      </c>
      <c r="R183">
        <f t="shared" si="13"/>
        <v>2020</v>
      </c>
      <c r="S183">
        <f t="shared" si="14"/>
        <v>12.721782178217822</v>
      </c>
      <c r="T183" t="str">
        <f t="shared" si="15"/>
        <v>High</v>
      </c>
      <c r="U183">
        <f t="shared" si="16"/>
        <v>2026</v>
      </c>
      <c r="V183">
        <f t="shared" si="17"/>
        <v>3</v>
      </c>
    </row>
    <row r="184" spans="1:22" x14ac:dyDescent="0.3">
      <c r="A184" s="5" t="s">
        <v>225</v>
      </c>
      <c r="B184" s="6">
        <v>20250601</v>
      </c>
      <c r="C184" s="6" t="s">
        <v>25</v>
      </c>
      <c r="D184" s="6" t="s">
        <v>36</v>
      </c>
      <c r="E184" s="6" t="s">
        <v>18</v>
      </c>
      <c r="F184" s="6">
        <v>22379</v>
      </c>
      <c r="G184" s="6">
        <v>29308</v>
      </c>
      <c r="H184" s="6">
        <v>2101</v>
      </c>
      <c r="I184" s="6">
        <v>73</v>
      </c>
      <c r="J184" s="6">
        <v>199</v>
      </c>
      <c r="K184" s="6">
        <v>101</v>
      </c>
      <c r="L184" s="6">
        <v>0</v>
      </c>
      <c r="M184" s="6">
        <v>46</v>
      </c>
      <c r="N184" s="11">
        <v>0.3125</v>
      </c>
      <c r="O184" s="7" t="s">
        <v>30</v>
      </c>
      <c r="P184">
        <f t="shared" si="12"/>
        <v>1</v>
      </c>
      <c r="R184">
        <f t="shared" si="13"/>
        <v>2474</v>
      </c>
      <c r="S184">
        <f t="shared" si="14"/>
        <v>9.0456750202101865</v>
      </c>
      <c r="T184" t="str">
        <f t="shared" si="15"/>
        <v>Medium</v>
      </c>
      <c r="U184">
        <f t="shared" si="16"/>
        <v>2025</v>
      </c>
      <c r="V184">
        <f t="shared" si="17"/>
        <v>6</v>
      </c>
    </row>
    <row r="185" spans="1:22" x14ac:dyDescent="0.3">
      <c r="A185" s="8" t="s">
        <v>226</v>
      </c>
      <c r="B185" s="9">
        <v>20260929</v>
      </c>
      <c r="C185" s="9" t="s">
        <v>32</v>
      </c>
      <c r="D185" s="9" t="s">
        <v>21</v>
      </c>
      <c r="E185" s="9" t="s">
        <v>41</v>
      </c>
      <c r="F185" s="9">
        <v>8159</v>
      </c>
      <c r="G185" s="9">
        <v>9089</v>
      </c>
      <c r="H185" s="9">
        <v>744</v>
      </c>
      <c r="I185" s="9">
        <v>96</v>
      </c>
      <c r="J185" s="9">
        <v>92</v>
      </c>
      <c r="K185" s="9">
        <v>70</v>
      </c>
      <c r="L185" s="9">
        <v>4629</v>
      </c>
      <c r="M185" s="9">
        <v>13</v>
      </c>
      <c r="N185" s="12">
        <v>0.66666666666666663</v>
      </c>
      <c r="O185" s="10" t="s">
        <v>23</v>
      </c>
      <c r="P185">
        <f t="shared" si="12"/>
        <v>1</v>
      </c>
      <c r="R185">
        <f t="shared" si="13"/>
        <v>1002</v>
      </c>
      <c r="S185">
        <f t="shared" si="14"/>
        <v>8.1427145708582831</v>
      </c>
      <c r="T185" t="str">
        <f t="shared" si="15"/>
        <v>Medium</v>
      </c>
      <c r="U185">
        <f t="shared" si="16"/>
        <v>2026</v>
      </c>
      <c r="V185">
        <f t="shared" si="17"/>
        <v>9</v>
      </c>
    </row>
    <row r="186" spans="1:22" x14ac:dyDescent="0.3">
      <c r="A186" s="5" t="s">
        <v>227</v>
      </c>
      <c r="B186" s="6">
        <v>20260209</v>
      </c>
      <c r="C186" s="6" t="s">
        <v>44</v>
      </c>
      <c r="D186" s="6" t="s">
        <v>68</v>
      </c>
      <c r="E186" s="6" t="s">
        <v>41</v>
      </c>
      <c r="F186" s="6">
        <v>27926</v>
      </c>
      <c r="G186" s="6">
        <v>42208</v>
      </c>
      <c r="H186" s="6">
        <v>3082</v>
      </c>
      <c r="I186" s="6">
        <v>416</v>
      </c>
      <c r="J186" s="6">
        <v>207</v>
      </c>
      <c r="K186" s="6">
        <v>456</v>
      </c>
      <c r="L186" s="6">
        <v>21104</v>
      </c>
      <c r="M186" s="6">
        <v>453</v>
      </c>
      <c r="N186" s="11">
        <v>0.34375</v>
      </c>
      <c r="O186" s="7" t="s">
        <v>47</v>
      </c>
      <c r="P186">
        <f t="shared" si="12"/>
        <v>1</v>
      </c>
      <c r="R186">
        <f t="shared" si="13"/>
        <v>4161</v>
      </c>
      <c r="S186">
        <f t="shared" si="14"/>
        <v>6.7113674597452535</v>
      </c>
      <c r="T186" t="str">
        <f t="shared" si="15"/>
        <v>Medium</v>
      </c>
      <c r="U186">
        <f t="shared" si="16"/>
        <v>2026</v>
      </c>
      <c r="V186">
        <f t="shared" si="17"/>
        <v>2</v>
      </c>
    </row>
    <row r="187" spans="1:22" x14ac:dyDescent="0.3">
      <c r="A187" s="8" t="s">
        <v>228</v>
      </c>
      <c r="B187" s="9">
        <v>20250322</v>
      </c>
      <c r="C187" s="9" t="s">
        <v>40</v>
      </c>
      <c r="D187" s="9" t="s">
        <v>61</v>
      </c>
      <c r="E187" s="9" t="s">
        <v>18</v>
      </c>
      <c r="F187" s="9">
        <v>10648</v>
      </c>
      <c r="G187" s="9">
        <v>14631</v>
      </c>
      <c r="H187" s="9">
        <v>273</v>
      </c>
      <c r="I187" s="9">
        <v>37</v>
      </c>
      <c r="J187" s="9">
        <v>23</v>
      </c>
      <c r="K187" s="9">
        <v>32</v>
      </c>
      <c r="L187" s="9">
        <v>0</v>
      </c>
      <c r="M187" s="9">
        <v>66</v>
      </c>
      <c r="N187" s="12">
        <v>0.33333333333333331</v>
      </c>
      <c r="O187" s="10" t="s">
        <v>49</v>
      </c>
      <c r="P187">
        <f t="shared" si="12"/>
        <v>1</v>
      </c>
      <c r="R187">
        <f t="shared" si="13"/>
        <v>365</v>
      </c>
      <c r="S187">
        <f t="shared" si="14"/>
        <v>29.172602739726027</v>
      </c>
      <c r="T187" t="str">
        <f t="shared" si="15"/>
        <v>High</v>
      </c>
      <c r="U187">
        <f t="shared" si="16"/>
        <v>2025</v>
      </c>
      <c r="V187">
        <f t="shared" si="17"/>
        <v>3</v>
      </c>
    </row>
    <row r="188" spans="1:22" x14ac:dyDescent="0.3">
      <c r="A188" s="5" t="s">
        <v>229</v>
      </c>
      <c r="B188" s="6">
        <v>20250325</v>
      </c>
      <c r="C188" s="6" t="s">
        <v>40</v>
      </c>
      <c r="D188" s="6" t="s">
        <v>29</v>
      </c>
      <c r="E188" s="6" t="s">
        <v>18</v>
      </c>
      <c r="F188" s="6">
        <v>25369</v>
      </c>
      <c r="G188" s="6">
        <v>37834</v>
      </c>
      <c r="H188" s="6">
        <v>2173</v>
      </c>
      <c r="I188" s="6">
        <v>179</v>
      </c>
      <c r="J188" s="6">
        <v>180</v>
      </c>
      <c r="K188" s="6">
        <v>268</v>
      </c>
      <c r="L188" s="6">
        <v>0</v>
      </c>
      <c r="M188" s="6">
        <v>58</v>
      </c>
      <c r="N188" s="11">
        <v>0.84375</v>
      </c>
      <c r="O188" s="7" t="s">
        <v>38</v>
      </c>
      <c r="P188">
        <f t="shared" si="12"/>
        <v>1</v>
      </c>
      <c r="R188">
        <f t="shared" si="13"/>
        <v>2800</v>
      </c>
      <c r="S188">
        <f t="shared" si="14"/>
        <v>9.0603571428571428</v>
      </c>
      <c r="T188" t="str">
        <f t="shared" si="15"/>
        <v>Medium</v>
      </c>
      <c r="U188">
        <f t="shared" si="16"/>
        <v>2025</v>
      </c>
      <c r="V188">
        <f t="shared" si="17"/>
        <v>3</v>
      </c>
    </row>
    <row r="189" spans="1:22" x14ac:dyDescent="0.3">
      <c r="A189" s="8" t="s">
        <v>230</v>
      </c>
      <c r="B189" s="9">
        <v>20250512</v>
      </c>
      <c r="C189" s="9" t="s">
        <v>40</v>
      </c>
      <c r="D189" s="9" t="s">
        <v>33</v>
      </c>
      <c r="E189" s="9" t="s">
        <v>46</v>
      </c>
      <c r="F189" s="9">
        <v>31580</v>
      </c>
      <c r="G189" s="9">
        <v>34207</v>
      </c>
      <c r="H189" s="9">
        <v>883</v>
      </c>
      <c r="I189" s="9">
        <v>92</v>
      </c>
      <c r="J189" s="9">
        <v>78</v>
      </c>
      <c r="K189" s="9">
        <v>58</v>
      </c>
      <c r="L189" s="9">
        <v>20927</v>
      </c>
      <c r="M189" s="9">
        <v>320</v>
      </c>
      <c r="N189" s="12">
        <v>0.80208333333333337</v>
      </c>
      <c r="O189" s="10" t="s">
        <v>42</v>
      </c>
      <c r="P189">
        <f t="shared" si="12"/>
        <v>1</v>
      </c>
      <c r="R189">
        <f t="shared" si="13"/>
        <v>1111</v>
      </c>
      <c r="S189">
        <f t="shared" si="14"/>
        <v>28.424842484248426</v>
      </c>
      <c r="T189" t="str">
        <f t="shared" si="15"/>
        <v>High</v>
      </c>
      <c r="U189">
        <f t="shared" si="16"/>
        <v>2025</v>
      </c>
      <c r="V189">
        <f t="shared" si="17"/>
        <v>5</v>
      </c>
    </row>
    <row r="190" spans="1:22" x14ac:dyDescent="0.3">
      <c r="A190" s="5" t="s">
        <v>231</v>
      </c>
      <c r="B190" s="6">
        <v>20251113</v>
      </c>
      <c r="C190" s="6" t="s">
        <v>40</v>
      </c>
      <c r="D190" s="6" t="s">
        <v>17</v>
      </c>
      <c r="E190" s="6" t="s">
        <v>18</v>
      </c>
      <c r="F190" s="6">
        <v>20771</v>
      </c>
      <c r="G190" s="6">
        <v>27474</v>
      </c>
      <c r="H190" s="6">
        <v>2325</v>
      </c>
      <c r="I190" s="6">
        <v>254</v>
      </c>
      <c r="J190" s="6">
        <v>94</v>
      </c>
      <c r="K190" s="6">
        <v>311</v>
      </c>
      <c r="L190" s="6">
        <v>0</v>
      </c>
      <c r="M190" s="6">
        <v>199</v>
      </c>
      <c r="N190" s="11">
        <v>0.73958333333333337</v>
      </c>
      <c r="O190" s="7" t="s">
        <v>49</v>
      </c>
      <c r="P190">
        <f t="shared" si="12"/>
        <v>1</v>
      </c>
      <c r="R190">
        <f t="shared" si="13"/>
        <v>2984</v>
      </c>
      <c r="S190">
        <f t="shared" si="14"/>
        <v>6.9607908847184987</v>
      </c>
      <c r="T190" t="str">
        <f t="shared" si="15"/>
        <v>Medium</v>
      </c>
      <c r="U190">
        <f t="shared" si="16"/>
        <v>2025</v>
      </c>
      <c r="V190">
        <f t="shared" si="17"/>
        <v>11</v>
      </c>
    </row>
    <row r="191" spans="1:22" x14ac:dyDescent="0.3">
      <c r="A191" s="8" t="s">
        <v>232</v>
      </c>
      <c r="B191" s="9">
        <v>20251114</v>
      </c>
      <c r="C191" s="9" t="s">
        <v>40</v>
      </c>
      <c r="D191" s="9" t="s">
        <v>61</v>
      </c>
      <c r="E191" s="9" t="s">
        <v>41</v>
      </c>
      <c r="F191" s="9">
        <v>23035</v>
      </c>
      <c r="G191" s="9">
        <v>28165</v>
      </c>
      <c r="H191" s="9">
        <v>1350</v>
      </c>
      <c r="I191" s="9">
        <v>76</v>
      </c>
      <c r="J191" s="9">
        <v>234</v>
      </c>
      <c r="K191" s="9">
        <v>141</v>
      </c>
      <c r="L191" s="9">
        <v>9932</v>
      </c>
      <c r="M191" s="9">
        <v>99</v>
      </c>
      <c r="N191" s="12">
        <v>0.375</v>
      </c>
      <c r="O191" s="10" t="s">
        <v>27</v>
      </c>
      <c r="P191">
        <f t="shared" si="12"/>
        <v>1</v>
      </c>
      <c r="R191">
        <f t="shared" si="13"/>
        <v>1801</v>
      </c>
      <c r="S191">
        <f t="shared" si="14"/>
        <v>12.79011660188784</v>
      </c>
      <c r="T191" t="str">
        <f t="shared" si="15"/>
        <v>High</v>
      </c>
      <c r="U191">
        <f t="shared" si="16"/>
        <v>2025</v>
      </c>
      <c r="V191">
        <f t="shared" si="17"/>
        <v>11</v>
      </c>
    </row>
    <row r="192" spans="1:22" x14ac:dyDescent="0.3">
      <c r="A192" s="5" t="s">
        <v>233</v>
      </c>
      <c r="B192" s="6">
        <v>20251029</v>
      </c>
      <c r="C192" s="6" t="s">
        <v>44</v>
      </c>
      <c r="D192" s="6" t="s">
        <v>61</v>
      </c>
      <c r="E192" s="6" t="s">
        <v>26</v>
      </c>
      <c r="F192" s="6">
        <v>32396</v>
      </c>
      <c r="G192" s="6">
        <v>40069</v>
      </c>
      <c r="H192" s="6">
        <v>1515</v>
      </c>
      <c r="I192" s="6">
        <v>95</v>
      </c>
      <c r="J192" s="6">
        <v>232</v>
      </c>
      <c r="K192" s="6">
        <v>152</v>
      </c>
      <c r="L192" s="6">
        <v>28743</v>
      </c>
      <c r="M192" s="6">
        <v>100</v>
      </c>
      <c r="N192" s="11">
        <v>0.57291666666666663</v>
      </c>
      <c r="O192" s="7" t="s">
        <v>42</v>
      </c>
      <c r="P192">
        <f t="shared" si="12"/>
        <v>1</v>
      </c>
      <c r="R192">
        <f t="shared" si="13"/>
        <v>1994</v>
      </c>
      <c r="S192">
        <f t="shared" si="14"/>
        <v>16.246740220661987</v>
      </c>
      <c r="T192" t="str">
        <f t="shared" si="15"/>
        <v>High</v>
      </c>
      <c r="U192">
        <f t="shared" si="16"/>
        <v>2025</v>
      </c>
      <c r="V192">
        <f t="shared" si="17"/>
        <v>10</v>
      </c>
    </row>
    <row r="193" spans="1:22" x14ac:dyDescent="0.3">
      <c r="A193" s="8" t="s">
        <v>234</v>
      </c>
      <c r="B193" s="9">
        <v>20251030</v>
      </c>
      <c r="C193" s="9" t="s">
        <v>32</v>
      </c>
      <c r="D193" s="9" t="s">
        <v>68</v>
      </c>
      <c r="E193" s="9" t="s">
        <v>26</v>
      </c>
      <c r="F193" s="9">
        <v>7131</v>
      </c>
      <c r="G193" s="9">
        <v>11764</v>
      </c>
      <c r="H193" s="9">
        <v>229</v>
      </c>
      <c r="I193" s="9">
        <v>13</v>
      </c>
      <c r="J193" s="9">
        <v>21</v>
      </c>
      <c r="K193" s="9">
        <v>33</v>
      </c>
      <c r="L193" s="9">
        <v>4311</v>
      </c>
      <c r="M193" s="9">
        <v>51</v>
      </c>
      <c r="N193" s="12">
        <v>0.4375</v>
      </c>
      <c r="O193" s="10" t="s">
        <v>38</v>
      </c>
      <c r="P193">
        <f t="shared" si="12"/>
        <v>1</v>
      </c>
      <c r="R193">
        <f t="shared" si="13"/>
        <v>296</v>
      </c>
      <c r="S193">
        <f t="shared" si="14"/>
        <v>24.091216216216218</v>
      </c>
      <c r="T193" t="str">
        <f t="shared" si="15"/>
        <v>High</v>
      </c>
      <c r="U193">
        <f t="shared" si="16"/>
        <v>2025</v>
      </c>
      <c r="V193">
        <f t="shared" si="17"/>
        <v>10</v>
      </c>
    </row>
    <row r="194" spans="1:22" x14ac:dyDescent="0.3">
      <c r="A194" s="5" t="s">
        <v>235</v>
      </c>
      <c r="B194" s="6">
        <v>20250914</v>
      </c>
      <c r="C194" s="6" t="s">
        <v>40</v>
      </c>
      <c r="D194" s="6" t="s">
        <v>68</v>
      </c>
      <c r="E194" s="6" t="s">
        <v>46</v>
      </c>
      <c r="F194" s="6">
        <v>10853</v>
      </c>
      <c r="G194" s="6">
        <v>17568</v>
      </c>
      <c r="H194" s="6">
        <v>965</v>
      </c>
      <c r="I194" s="6">
        <v>68</v>
      </c>
      <c r="J194" s="6">
        <v>137</v>
      </c>
      <c r="K194" s="6">
        <v>114</v>
      </c>
      <c r="L194" s="6">
        <v>8625</v>
      </c>
      <c r="M194" s="6">
        <v>101</v>
      </c>
      <c r="N194" s="11">
        <v>0.52083333333333337</v>
      </c>
      <c r="O194" s="7" t="s">
        <v>27</v>
      </c>
      <c r="P194">
        <f t="shared" si="12"/>
        <v>1</v>
      </c>
      <c r="R194">
        <f t="shared" si="13"/>
        <v>1284</v>
      </c>
      <c r="S194">
        <f t="shared" si="14"/>
        <v>8.4524922118380061</v>
      </c>
      <c r="T194" t="str">
        <f t="shared" si="15"/>
        <v>Medium</v>
      </c>
      <c r="U194">
        <f t="shared" si="16"/>
        <v>2025</v>
      </c>
      <c r="V194">
        <f t="shared" si="17"/>
        <v>9</v>
      </c>
    </row>
    <row r="195" spans="1:22" x14ac:dyDescent="0.3">
      <c r="A195" s="8" t="s">
        <v>236</v>
      </c>
      <c r="B195" s="9">
        <v>20260912</v>
      </c>
      <c r="C195" s="9" t="s">
        <v>16</v>
      </c>
      <c r="D195" s="9" t="s">
        <v>21</v>
      </c>
      <c r="E195" s="9" t="s">
        <v>46</v>
      </c>
      <c r="F195" s="9">
        <v>24952</v>
      </c>
      <c r="G195" s="9">
        <v>34808</v>
      </c>
      <c r="H195" s="9">
        <v>2114</v>
      </c>
      <c r="I195" s="9">
        <v>198</v>
      </c>
      <c r="J195" s="9"/>
      <c r="K195" s="9">
        <v>336</v>
      </c>
      <c r="L195" s="9"/>
      <c r="M195" s="9">
        <v>113</v>
      </c>
      <c r="N195" s="12">
        <v>0.86458333333333337</v>
      </c>
      <c r="O195" s="10" t="s">
        <v>34</v>
      </c>
      <c r="P195">
        <f t="shared" ref="P195:P258" si="18">COUNTIF($A$2:$A$500,A195)</f>
        <v>1</v>
      </c>
      <c r="R195">
        <f t="shared" ref="R195:R258" si="19">SUM(H195:K195)</f>
        <v>2648</v>
      </c>
      <c r="S195">
        <f t="shared" ref="S195:S258" si="20">IFERROR(F195/R195,0)</f>
        <v>9.4229607250755283</v>
      </c>
      <c r="T195" t="str">
        <f t="shared" ref="T195:T258" si="21">IF(S195&gt;=10,"High",IF(S195&gt;=5,"Medium",IF(S195&gt;=0,"Low")))</f>
        <v>Medium</v>
      </c>
      <c r="U195">
        <f t="shared" ref="U195:U258" si="22">LEFT(B195,4)*1</f>
        <v>2026</v>
      </c>
      <c r="V195">
        <f t="shared" ref="V195:V258" si="23">MID(B195,5,2)*1</f>
        <v>9</v>
      </c>
    </row>
    <row r="196" spans="1:22" x14ac:dyDescent="0.3">
      <c r="A196" s="5" t="s">
        <v>237</v>
      </c>
      <c r="B196" s="6">
        <v>20260608</v>
      </c>
      <c r="C196" s="6" t="s">
        <v>40</v>
      </c>
      <c r="D196" s="6" t="s">
        <v>29</v>
      </c>
      <c r="E196" s="6" t="s">
        <v>26</v>
      </c>
      <c r="F196" s="6">
        <v>10772</v>
      </c>
      <c r="G196" s="6">
        <v>14530</v>
      </c>
      <c r="H196" s="6">
        <v>1172</v>
      </c>
      <c r="I196" s="6">
        <v>40</v>
      </c>
      <c r="J196" s="6">
        <v>158</v>
      </c>
      <c r="K196" s="6">
        <v>125</v>
      </c>
      <c r="L196" s="6">
        <v>9589</v>
      </c>
      <c r="M196" s="6">
        <v>179</v>
      </c>
      <c r="N196" s="11">
        <v>0.63541666666666663</v>
      </c>
      <c r="O196" s="7" t="s">
        <v>19</v>
      </c>
      <c r="P196">
        <f t="shared" si="18"/>
        <v>1</v>
      </c>
      <c r="R196">
        <f t="shared" si="19"/>
        <v>1495</v>
      </c>
      <c r="S196">
        <f t="shared" si="20"/>
        <v>7.2053511705685622</v>
      </c>
      <c r="T196" t="str">
        <f t="shared" si="21"/>
        <v>Medium</v>
      </c>
      <c r="U196">
        <f t="shared" si="22"/>
        <v>2026</v>
      </c>
      <c r="V196">
        <f t="shared" si="23"/>
        <v>6</v>
      </c>
    </row>
    <row r="197" spans="1:22" x14ac:dyDescent="0.3">
      <c r="A197" s="8" t="s">
        <v>238</v>
      </c>
      <c r="B197" s="9">
        <v>20260528</v>
      </c>
      <c r="C197" s="9" t="s">
        <v>16</v>
      </c>
      <c r="D197" s="9" t="s">
        <v>21</v>
      </c>
      <c r="E197" s="9" t="s">
        <v>41</v>
      </c>
      <c r="F197" s="9">
        <v>27708</v>
      </c>
      <c r="G197" s="9">
        <v>43811</v>
      </c>
      <c r="H197" s="9">
        <v>2968</v>
      </c>
      <c r="I197" s="9">
        <v>239</v>
      </c>
      <c r="J197" s="9">
        <v>201</v>
      </c>
      <c r="K197" s="9">
        <v>281</v>
      </c>
      <c r="L197" s="9">
        <v>19293</v>
      </c>
      <c r="M197" s="9">
        <v>225</v>
      </c>
      <c r="N197" s="12">
        <v>0.55208333333333337</v>
      </c>
      <c r="O197" s="10" t="s">
        <v>38</v>
      </c>
      <c r="P197">
        <f t="shared" si="18"/>
        <v>1</v>
      </c>
      <c r="R197">
        <f t="shared" si="19"/>
        <v>3689</v>
      </c>
      <c r="S197">
        <f t="shared" si="20"/>
        <v>7.5109785849823805</v>
      </c>
      <c r="T197" t="str">
        <f t="shared" si="21"/>
        <v>Medium</v>
      </c>
      <c r="U197">
        <f t="shared" si="22"/>
        <v>2026</v>
      </c>
      <c r="V197">
        <f t="shared" si="23"/>
        <v>5</v>
      </c>
    </row>
    <row r="198" spans="1:22" x14ac:dyDescent="0.3">
      <c r="A198" s="5" t="s">
        <v>239</v>
      </c>
      <c r="B198" s="6">
        <v>20260109</v>
      </c>
      <c r="C198" s="6" t="s">
        <v>40</v>
      </c>
      <c r="D198" s="6" t="s">
        <v>61</v>
      </c>
      <c r="E198" s="6" t="s">
        <v>41</v>
      </c>
      <c r="F198" s="6">
        <v>19186</v>
      </c>
      <c r="G198" s="6">
        <v>28372</v>
      </c>
      <c r="H198" s="6">
        <v>647</v>
      </c>
      <c r="I198" s="6">
        <v>70</v>
      </c>
      <c r="J198" s="6">
        <v>104</v>
      </c>
      <c r="K198" s="6">
        <v>32</v>
      </c>
      <c r="L198" s="6">
        <v>8685</v>
      </c>
      <c r="M198" s="6">
        <v>241</v>
      </c>
      <c r="N198" s="11">
        <v>0.92708333333333337</v>
      </c>
      <c r="O198" s="7" t="s">
        <v>53</v>
      </c>
      <c r="P198">
        <f t="shared" si="18"/>
        <v>1</v>
      </c>
      <c r="R198">
        <f t="shared" si="19"/>
        <v>853</v>
      </c>
      <c r="S198">
        <f t="shared" si="20"/>
        <v>22.49237983587339</v>
      </c>
      <c r="T198" t="str">
        <f t="shared" si="21"/>
        <v>High</v>
      </c>
      <c r="U198">
        <f t="shared" si="22"/>
        <v>2026</v>
      </c>
      <c r="V198">
        <f t="shared" si="23"/>
        <v>1</v>
      </c>
    </row>
    <row r="199" spans="1:22" x14ac:dyDescent="0.3">
      <c r="A199" s="8" t="s">
        <v>240</v>
      </c>
      <c r="B199" s="9">
        <v>20250427</v>
      </c>
      <c r="C199" s="9" t="s">
        <v>32</v>
      </c>
      <c r="D199" s="9" t="s">
        <v>29</v>
      </c>
      <c r="E199" s="9" t="s">
        <v>18</v>
      </c>
      <c r="F199" s="9">
        <v>9762</v>
      </c>
      <c r="G199" s="9">
        <v>13491</v>
      </c>
      <c r="H199" s="9">
        <v>956</v>
      </c>
      <c r="I199" s="9">
        <v>100</v>
      </c>
      <c r="J199" s="9">
        <v>100</v>
      </c>
      <c r="K199" s="9">
        <v>86</v>
      </c>
      <c r="L199" s="9">
        <v>0</v>
      </c>
      <c r="M199" s="9">
        <v>60</v>
      </c>
      <c r="N199" s="12">
        <v>0.48958333333333331</v>
      </c>
      <c r="O199" s="10" t="s">
        <v>38</v>
      </c>
      <c r="P199">
        <f t="shared" si="18"/>
        <v>1</v>
      </c>
      <c r="R199">
        <f t="shared" si="19"/>
        <v>1242</v>
      </c>
      <c r="S199">
        <f t="shared" si="20"/>
        <v>7.8599033816425123</v>
      </c>
      <c r="T199" t="str">
        <f t="shared" si="21"/>
        <v>Medium</v>
      </c>
      <c r="U199">
        <f t="shared" si="22"/>
        <v>2025</v>
      </c>
      <c r="V199">
        <f t="shared" si="23"/>
        <v>4</v>
      </c>
    </row>
    <row r="200" spans="1:22" x14ac:dyDescent="0.3">
      <c r="A200" s="5" t="s">
        <v>241</v>
      </c>
      <c r="B200" s="6">
        <v>20250222</v>
      </c>
      <c r="C200" s="6" t="s">
        <v>32</v>
      </c>
      <c r="D200" s="6" t="s">
        <v>61</v>
      </c>
      <c r="E200" s="6" t="s">
        <v>46</v>
      </c>
      <c r="F200" s="6">
        <v>15609</v>
      </c>
      <c r="G200" s="6">
        <v>17062</v>
      </c>
      <c r="H200" s="6">
        <v>1122</v>
      </c>
      <c r="I200" s="6">
        <v>63</v>
      </c>
      <c r="J200" s="6">
        <v>180</v>
      </c>
      <c r="K200" s="6">
        <v>80</v>
      </c>
      <c r="L200" s="6">
        <v>13548</v>
      </c>
      <c r="M200" s="6">
        <v>242</v>
      </c>
      <c r="N200" s="11">
        <v>0.8125</v>
      </c>
      <c r="O200" s="7" t="s">
        <v>30</v>
      </c>
      <c r="P200">
        <f t="shared" si="18"/>
        <v>1</v>
      </c>
      <c r="R200">
        <f t="shared" si="19"/>
        <v>1445</v>
      </c>
      <c r="S200">
        <f t="shared" si="20"/>
        <v>10.802076124567474</v>
      </c>
      <c r="T200" t="str">
        <f t="shared" si="21"/>
        <v>High</v>
      </c>
      <c r="U200">
        <f t="shared" si="22"/>
        <v>2025</v>
      </c>
      <c r="V200">
        <f t="shared" si="23"/>
        <v>2</v>
      </c>
    </row>
    <row r="201" spans="1:22" x14ac:dyDescent="0.3">
      <c r="A201" s="8" t="s">
        <v>242</v>
      </c>
      <c r="B201" s="9">
        <v>20250113</v>
      </c>
      <c r="C201" s="9" t="s">
        <v>25</v>
      </c>
      <c r="D201" s="9" t="s">
        <v>29</v>
      </c>
      <c r="E201" s="9" t="s">
        <v>51</v>
      </c>
      <c r="F201" s="9">
        <v>14244</v>
      </c>
      <c r="G201" s="9">
        <v>17683</v>
      </c>
      <c r="H201" s="9">
        <v>844</v>
      </c>
      <c r="I201" s="9">
        <v>25</v>
      </c>
      <c r="J201" s="9">
        <v>78</v>
      </c>
      <c r="K201" s="9">
        <v>109</v>
      </c>
      <c r="L201" s="9">
        <v>0</v>
      </c>
      <c r="M201" s="9">
        <v>89</v>
      </c>
      <c r="N201" s="12">
        <v>0.35416666666666669</v>
      </c>
      <c r="O201" s="10" t="s">
        <v>53</v>
      </c>
      <c r="P201">
        <f t="shared" si="18"/>
        <v>1</v>
      </c>
      <c r="R201">
        <f t="shared" si="19"/>
        <v>1056</v>
      </c>
      <c r="S201">
        <f t="shared" si="20"/>
        <v>13.488636363636363</v>
      </c>
      <c r="T201" t="str">
        <f t="shared" si="21"/>
        <v>High</v>
      </c>
      <c r="U201">
        <f t="shared" si="22"/>
        <v>2025</v>
      </c>
      <c r="V201">
        <f t="shared" si="23"/>
        <v>1</v>
      </c>
    </row>
    <row r="202" spans="1:22" x14ac:dyDescent="0.3">
      <c r="A202" s="5" t="s">
        <v>243</v>
      </c>
      <c r="B202" s="6">
        <v>20250817</v>
      </c>
      <c r="C202" s="6" t="s">
        <v>16</v>
      </c>
      <c r="D202" s="6" t="s">
        <v>61</v>
      </c>
      <c r="E202" s="6" t="s">
        <v>51</v>
      </c>
      <c r="F202" s="6">
        <v>34780</v>
      </c>
      <c r="G202" s="6">
        <v>47325</v>
      </c>
      <c r="H202" s="6">
        <v>2384</v>
      </c>
      <c r="I202" s="6">
        <v>190</v>
      </c>
      <c r="J202" s="6">
        <v>415</v>
      </c>
      <c r="K202" s="6">
        <v>300</v>
      </c>
      <c r="L202" s="6">
        <v>0</v>
      </c>
      <c r="M202" s="6">
        <v>38</v>
      </c>
      <c r="N202" s="11">
        <v>0.83333333333333337</v>
      </c>
      <c r="O202" s="7" t="s">
        <v>30</v>
      </c>
      <c r="P202">
        <f t="shared" si="18"/>
        <v>1</v>
      </c>
      <c r="R202">
        <f t="shared" si="19"/>
        <v>3289</v>
      </c>
      <c r="S202">
        <f t="shared" si="20"/>
        <v>10.574642748555792</v>
      </c>
      <c r="T202" t="str">
        <f t="shared" si="21"/>
        <v>High</v>
      </c>
      <c r="U202">
        <f t="shared" si="22"/>
        <v>2025</v>
      </c>
      <c r="V202">
        <f t="shared" si="23"/>
        <v>8</v>
      </c>
    </row>
    <row r="203" spans="1:22" x14ac:dyDescent="0.3">
      <c r="A203" s="8" t="s">
        <v>244</v>
      </c>
      <c r="B203" s="9">
        <v>20250421</v>
      </c>
      <c r="C203" s="9" t="s">
        <v>32</v>
      </c>
      <c r="D203" s="9" t="s">
        <v>17</v>
      </c>
      <c r="E203" s="9" t="s">
        <v>46</v>
      </c>
      <c r="F203" s="9">
        <v>12469</v>
      </c>
      <c r="G203" s="9">
        <v>20368</v>
      </c>
      <c r="H203" s="9">
        <v>762</v>
      </c>
      <c r="I203" s="9">
        <v>94</v>
      </c>
      <c r="J203" s="9">
        <v>139</v>
      </c>
      <c r="K203" s="9">
        <v>25</v>
      </c>
      <c r="L203" s="9">
        <v>5376</v>
      </c>
      <c r="M203" s="9">
        <v>164</v>
      </c>
      <c r="N203" s="12">
        <v>0.61458333333333337</v>
      </c>
      <c r="O203" s="10" t="s">
        <v>38</v>
      </c>
      <c r="P203">
        <f t="shared" si="18"/>
        <v>1</v>
      </c>
      <c r="R203">
        <f t="shared" si="19"/>
        <v>1020</v>
      </c>
      <c r="S203">
        <f t="shared" si="20"/>
        <v>12.224509803921569</v>
      </c>
      <c r="T203" t="str">
        <f t="shared" si="21"/>
        <v>High</v>
      </c>
      <c r="U203">
        <f t="shared" si="22"/>
        <v>2025</v>
      </c>
      <c r="V203">
        <f t="shared" si="23"/>
        <v>4</v>
      </c>
    </row>
    <row r="204" spans="1:22" x14ac:dyDescent="0.3">
      <c r="A204" s="5" t="s">
        <v>245</v>
      </c>
      <c r="B204" s="6">
        <v>20260129</v>
      </c>
      <c r="C204" s="6" t="s">
        <v>32</v>
      </c>
      <c r="D204" s="6" t="s">
        <v>36</v>
      </c>
      <c r="E204" s="6" t="s">
        <v>26</v>
      </c>
      <c r="F204" s="6">
        <v>2069</v>
      </c>
      <c r="G204" s="6">
        <v>2529</v>
      </c>
      <c r="H204" s="6">
        <v>235</v>
      </c>
      <c r="I204" s="6">
        <v>23</v>
      </c>
      <c r="J204" s="6">
        <v>34</v>
      </c>
      <c r="K204" s="6">
        <v>25</v>
      </c>
      <c r="L204" s="6">
        <v>1249</v>
      </c>
      <c r="M204" s="6">
        <v>7</v>
      </c>
      <c r="N204" s="11">
        <v>0.625</v>
      </c>
      <c r="O204" s="7" t="s">
        <v>38</v>
      </c>
      <c r="P204">
        <f t="shared" si="18"/>
        <v>1</v>
      </c>
      <c r="R204">
        <f t="shared" si="19"/>
        <v>317</v>
      </c>
      <c r="S204">
        <f t="shared" si="20"/>
        <v>6.5268138801261832</v>
      </c>
      <c r="T204" t="str">
        <f t="shared" si="21"/>
        <v>Medium</v>
      </c>
      <c r="U204">
        <f t="shared" si="22"/>
        <v>2026</v>
      </c>
      <c r="V204">
        <f t="shared" si="23"/>
        <v>1</v>
      </c>
    </row>
    <row r="205" spans="1:22" x14ac:dyDescent="0.3">
      <c r="A205" s="8" t="s">
        <v>246</v>
      </c>
      <c r="B205" s="9">
        <v>20250227</v>
      </c>
      <c r="C205" s="9" t="s">
        <v>25</v>
      </c>
      <c r="D205" s="9" t="s">
        <v>61</v>
      </c>
      <c r="E205" s="9" t="s">
        <v>41</v>
      </c>
      <c r="F205" s="9">
        <v>20095</v>
      </c>
      <c r="G205" s="9">
        <v>30574</v>
      </c>
      <c r="H205" s="9">
        <v>2011</v>
      </c>
      <c r="I205" s="9">
        <v>240</v>
      </c>
      <c r="J205" s="9">
        <v>109</v>
      </c>
      <c r="K205" s="9">
        <v>157</v>
      </c>
      <c r="L205" s="9">
        <v>8376</v>
      </c>
      <c r="M205" s="9">
        <v>132</v>
      </c>
      <c r="N205" s="12">
        <v>0.6875</v>
      </c>
      <c r="O205" s="10" t="s">
        <v>23</v>
      </c>
      <c r="P205">
        <f t="shared" si="18"/>
        <v>1</v>
      </c>
      <c r="R205">
        <f t="shared" si="19"/>
        <v>2517</v>
      </c>
      <c r="S205">
        <f t="shared" si="20"/>
        <v>7.9837107667858564</v>
      </c>
      <c r="T205" t="str">
        <f t="shared" si="21"/>
        <v>Medium</v>
      </c>
      <c r="U205">
        <f t="shared" si="22"/>
        <v>2025</v>
      </c>
      <c r="V205">
        <f t="shared" si="23"/>
        <v>2</v>
      </c>
    </row>
    <row r="206" spans="1:22" x14ac:dyDescent="0.3">
      <c r="A206" s="5" t="s">
        <v>247</v>
      </c>
      <c r="B206" s="6">
        <v>20251204</v>
      </c>
      <c r="C206" s="6" t="s">
        <v>40</v>
      </c>
      <c r="D206" s="6" t="s">
        <v>68</v>
      </c>
      <c r="E206" s="6" t="s">
        <v>22</v>
      </c>
      <c r="F206" s="6">
        <v>6302</v>
      </c>
      <c r="G206" s="6">
        <v>10332</v>
      </c>
      <c r="H206" s="6">
        <v>529</v>
      </c>
      <c r="I206" s="6">
        <v>62</v>
      </c>
      <c r="J206" s="6">
        <v>98</v>
      </c>
      <c r="K206" s="6">
        <v>31</v>
      </c>
      <c r="L206" s="6">
        <v>0</v>
      </c>
      <c r="M206" s="6">
        <v>92</v>
      </c>
      <c r="N206" s="11">
        <v>0.90625</v>
      </c>
      <c r="O206" s="7" t="s">
        <v>53</v>
      </c>
      <c r="P206">
        <f t="shared" si="18"/>
        <v>1</v>
      </c>
      <c r="R206">
        <f t="shared" si="19"/>
        <v>720</v>
      </c>
      <c r="S206">
        <f t="shared" si="20"/>
        <v>8.7527777777777782</v>
      </c>
      <c r="T206" t="str">
        <f t="shared" si="21"/>
        <v>Medium</v>
      </c>
      <c r="U206">
        <f t="shared" si="22"/>
        <v>2025</v>
      </c>
      <c r="V206">
        <f t="shared" si="23"/>
        <v>12</v>
      </c>
    </row>
    <row r="207" spans="1:22" x14ac:dyDescent="0.3">
      <c r="A207" s="8" t="s">
        <v>248</v>
      </c>
      <c r="B207" s="9">
        <v>20250507</v>
      </c>
      <c r="C207" s="9" t="s">
        <v>16</v>
      </c>
      <c r="D207" s="9" t="s">
        <v>17</v>
      </c>
      <c r="E207" s="9" t="s">
        <v>41</v>
      </c>
      <c r="F207" s="9">
        <v>52179</v>
      </c>
      <c r="G207" s="9">
        <v>73369</v>
      </c>
      <c r="H207" s="9">
        <v>2980</v>
      </c>
      <c r="I207" s="9">
        <v>96</v>
      </c>
      <c r="J207" s="9">
        <v>572</v>
      </c>
      <c r="K207" s="9">
        <v>441</v>
      </c>
      <c r="L207" s="9">
        <v>28538</v>
      </c>
      <c r="M207" s="9">
        <v>86</v>
      </c>
      <c r="N207" s="12">
        <v>0.5</v>
      </c>
      <c r="O207" s="10" t="s">
        <v>38</v>
      </c>
      <c r="P207">
        <f t="shared" si="18"/>
        <v>1</v>
      </c>
      <c r="R207">
        <f t="shared" si="19"/>
        <v>4089</v>
      </c>
      <c r="S207">
        <f t="shared" si="20"/>
        <v>12.760821716801173</v>
      </c>
      <c r="T207" t="str">
        <f t="shared" si="21"/>
        <v>High</v>
      </c>
      <c r="U207">
        <f t="shared" si="22"/>
        <v>2025</v>
      </c>
      <c r="V207">
        <f t="shared" si="23"/>
        <v>5</v>
      </c>
    </row>
    <row r="208" spans="1:22" x14ac:dyDescent="0.3">
      <c r="A208" s="5" t="s">
        <v>249</v>
      </c>
      <c r="B208" s="6">
        <v>20260929</v>
      </c>
      <c r="C208" s="6" t="s">
        <v>16</v>
      </c>
      <c r="D208" s="6" t="s">
        <v>17</v>
      </c>
      <c r="E208" s="6" t="s">
        <v>46</v>
      </c>
      <c r="F208" s="6">
        <v>42448</v>
      </c>
      <c r="G208" s="6">
        <v>65120</v>
      </c>
      <c r="H208" s="6">
        <v>2436</v>
      </c>
      <c r="I208" s="6">
        <v>299</v>
      </c>
      <c r="J208" s="6">
        <v>332</v>
      </c>
      <c r="K208" s="6">
        <v>239</v>
      </c>
      <c r="L208" s="6">
        <v>36595</v>
      </c>
      <c r="M208" s="6">
        <v>103</v>
      </c>
      <c r="N208" s="11">
        <v>0.84375</v>
      </c>
      <c r="O208" s="7" t="s">
        <v>53</v>
      </c>
      <c r="P208">
        <f t="shared" si="18"/>
        <v>1</v>
      </c>
      <c r="R208">
        <f t="shared" si="19"/>
        <v>3306</v>
      </c>
      <c r="S208">
        <f t="shared" si="20"/>
        <v>12.839685420447671</v>
      </c>
      <c r="T208" t="str">
        <f t="shared" si="21"/>
        <v>High</v>
      </c>
      <c r="U208">
        <f t="shared" si="22"/>
        <v>2026</v>
      </c>
      <c r="V208">
        <f t="shared" si="23"/>
        <v>9</v>
      </c>
    </row>
    <row r="209" spans="1:22" x14ac:dyDescent="0.3">
      <c r="A209" s="8" t="s">
        <v>250</v>
      </c>
      <c r="B209" s="9">
        <v>20250610</v>
      </c>
      <c r="C209" s="9" t="s">
        <v>25</v>
      </c>
      <c r="D209" s="9" t="s">
        <v>36</v>
      </c>
      <c r="E209" s="9" t="s">
        <v>46</v>
      </c>
      <c r="F209" s="9">
        <v>21470</v>
      </c>
      <c r="G209" s="9">
        <v>34739</v>
      </c>
      <c r="H209" s="9">
        <v>1456</v>
      </c>
      <c r="I209" s="9">
        <v>83</v>
      </c>
      <c r="J209" s="9">
        <v>121</v>
      </c>
      <c r="K209" s="9">
        <v>36</v>
      </c>
      <c r="L209" s="9">
        <v>15000</v>
      </c>
      <c r="M209" s="9">
        <v>321</v>
      </c>
      <c r="N209" s="12">
        <v>0.88541666666666663</v>
      </c>
      <c r="O209" s="10" t="s">
        <v>34</v>
      </c>
      <c r="P209">
        <f t="shared" si="18"/>
        <v>1</v>
      </c>
      <c r="R209">
        <f t="shared" si="19"/>
        <v>1696</v>
      </c>
      <c r="S209">
        <f t="shared" si="20"/>
        <v>12.659198113207546</v>
      </c>
      <c r="T209" t="str">
        <f t="shared" si="21"/>
        <v>High</v>
      </c>
      <c r="U209">
        <f t="shared" si="22"/>
        <v>2025</v>
      </c>
      <c r="V209">
        <f t="shared" si="23"/>
        <v>6</v>
      </c>
    </row>
    <row r="210" spans="1:22" x14ac:dyDescent="0.3">
      <c r="A210" s="5" t="s">
        <v>251</v>
      </c>
      <c r="B210" s="6">
        <v>20260328</v>
      </c>
      <c r="C210" s="6" t="s">
        <v>44</v>
      </c>
      <c r="D210" s="6" t="s">
        <v>17</v>
      </c>
      <c r="E210" s="6" t="s">
        <v>41</v>
      </c>
      <c r="F210" s="6">
        <v>69982</v>
      </c>
      <c r="G210" s="6">
        <v>78386</v>
      </c>
      <c r="H210" s="6">
        <v>2887</v>
      </c>
      <c r="I210" s="6">
        <v>356</v>
      </c>
      <c r="J210" s="6"/>
      <c r="K210" s="6">
        <v>200</v>
      </c>
      <c r="L210" s="6">
        <v>62323</v>
      </c>
      <c r="M210" s="6">
        <v>568</v>
      </c>
      <c r="N210" s="11">
        <v>0.40625</v>
      </c>
      <c r="O210" s="7" t="s">
        <v>27</v>
      </c>
      <c r="P210">
        <f t="shared" si="18"/>
        <v>1</v>
      </c>
      <c r="R210">
        <f t="shared" si="19"/>
        <v>3443</v>
      </c>
      <c r="S210">
        <f t="shared" si="20"/>
        <v>20.3258785942492</v>
      </c>
      <c r="T210" t="str">
        <f t="shared" si="21"/>
        <v>High</v>
      </c>
      <c r="U210">
        <f t="shared" si="22"/>
        <v>2026</v>
      </c>
      <c r="V210">
        <f t="shared" si="23"/>
        <v>3</v>
      </c>
    </row>
    <row r="211" spans="1:22" x14ac:dyDescent="0.3">
      <c r="A211" s="8" t="s">
        <v>252</v>
      </c>
      <c r="B211" s="9">
        <v>20250916</v>
      </c>
      <c r="C211" s="9" t="s">
        <v>40</v>
      </c>
      <c r="D211" s="9" t="s">
        <v>33</v>
      </c>
      <c r="E211" s="9" t="s">
        <v>18</v>
      </c>
      <c r="F211" s="9">
        <v>23974</v>
      </c>
      <c r="G211" s="9">
        <v>33137</v>
      </c>
      <c r="H211" s="9">
        <v>928</v>
      </c>
      <c r="I211" s="9">
        <v>76</v>
      </c>
      <c r="J211" s="9">
        <v>155</v>
      </c>
      <c r="K211" s="9">
        <v>142</v>
      </c>
      <c r="L211" s="9">
        <v>0</v>
      </c>
      <c r="M211" s="9">
        <v>262</v>
      </c>
      <c r="N211" s="12">
        <v>0.8125</v>
      </c>
      <c r="O211" s="10" t="s">
        <v>23</v>
      </c>
      <c r="P211">
        <f t="shared" si="18"/>
        <v>1</v>
      </c>
      <c r="R211">
        <f t="shared" si="19"/>
        <v>1301</v>
      </c>
      <c r="S211">
        <f t="shared" si="20"/>
        <v>18.427363566487319</v>
      </c>
      <c r="T211" t="str">
        <f t="shared" si="21"/>
        <v>High</v>
      </c>
      <c r="U211">
        <f t="shared" si="22"/>
        <v>2025</v>
      </c>
      <c r="V211">
        <f t="shared" si="23"/>
        <v>9</v>
      </c>
    </row>
    <row r="212" spans="1:22" x14ac:dyDescent="0.3">
      <c r="A212" s="5" t="s">
        <v>253</v>
      </c>
      <c r="B212" s="6">
        <v>20250316</v>
      </c>
      <c r="C212" s="6" t="s">
        <v>44</v>
      </c>
      <c r="D212" s="6" t="s">
        <v>21</v>
      </c>
      <c r="E212" s="6" t="s">
        <v>18</v>
      </c>
      <c r="F212" s="6">
        <v>94212</v>
      </c>
      <c r="G212" s="6">
        <v>109679</v>
      </c>
      <c r="H212" s="6">
        <v>10251</v>
      </c>
      <c r="I212" s="6">
        <v>494</v>
      </c>
      <c r="J212" s="6">
        <v>1703</v>
      </c>
      <c r="K212" s="6">
        <v>1613</v>
      </c>
      <c r="L212" s="6">
        <v>0</v>
      </c>
      <c r="M212" s="6">
        <v>1518</v>
      </c>
      <c r="N212" s="11">
        <v>0.80208333333333337</v>
      </c>
      <c r="O212" s="7" t="s">
        <v>30</v>
      </c>
      <c r="P212">
        <f t="shared" si="18"/>
        <v>1</v>
      </c>
      <c r="R212">
        <f t="shared" si="19"/>
        <v>14061</v>
      </c>
      <c r="S212">
        <f t="shared" si="20"/>
        <v>6.7002346917004481</v>
      </c>
      <c r="T212" t="str">
        <f t="shared" si="21"/>
        <v>Medium</v>
      </c>
      <c r="U212">
        <f t="shared" si="22"/>
        <v>2025</v>
      </c>
      <c r="V212">
        <f t="shared" si="23"/>
        <v>3</v>
      </c>
    </row>
    <row r="213" spans="1:22" x14ac:dyDescent="0.3">
      <c r="A213" s="8" t="s">
        <v>254</v>
      </c>
      <c r="B213" s="9">
        <v>20250409</v>
      </c>
      <c r="C213" s="9" t="s">
        <v>16</v>
      </c>
      <c r="D213" s="9" t="s">
        <v>21</v>
      </c>
      <c r="E213" s="9" t="s">
        <v>26</v>
      </c>
      <c r="F213" s="9">
        <v>34923</v>
      </c>
      <c r="G213" s="9">
        <v>41851</v>
      </c>
      <c r="H213" s="9">
        <v>2703</v>
      </c>
      <c r="I213" s="9">
        <v>297</v>
      </c>
      <c r="J213" s="9">
        <v>360</v>
      </c>
      <c r="K213" s="9">
        <v>431</v>
      </c>
      <c r="L213" s="9">
        <v>28258</v>
      </c>
      <c r="M213" s="9">
        <v>129</v>
      </c>
      <c r="N213" s="12">
        <v>0.65625</v>
      </c>
      <c r="O213" s="10" t="s">
        <v>53</v>
      </c>
      <c r="P213">
        <f t="shared" si="18"/>
        <v>1</v>
      </c>
      <c r="R213">
        <f t="shared" si="19"/>
        <v>3791</v>
      </c>
      <c r="S213">
        <f t="shared" si="20"/>
        <v>9.2120812450540761</v>
      </c>
      <c r="T213" t="str">
        <f t="shared" si="21"/>
        <v>Medium</v>
      </c>
      <c r="U213">
        <f t="shared" si="22"/>
        <v>2025</v>
      </c>
      <c r="V213">
        <f t="shared" si="23"/>
        <v>4</v>
      </c>
    </row>
    <row r="214" spans="1:22" x14ac:dyDescent="0.3">
      <c r="A214" s="5" t="s">
        <v>255</v>
      </c>
      <c r="B214" s="6">
        <v>20250506</v>
      </c>
      <c r="C214" s="6" t="s">
        <v>16</v>
      </c>
      <c r="D214" s="6" t="s">
        <v>21</v>
      </c>
      <c r="E214" s="6" t="s">
        <v>46</v>
      </c>
      <c r="F214" s="6">
        <v>96118</v>
      </c>
      <c r="G214" s="6">
        <v>158316</v>
      </c>
      <c r="H214" s="6">
        <v>2855</v>
      </c>
      <c r="I214" s="6">
        <v>310</v>
      </c>
      <c r="J214" s="6">
        <v>136</v>
      </c>
      <c r="K214" s="6">
        <v>368</v>
      </c>
      <c r="L214" s="6">
        <v>80435</v>
      </c>
      <c r="M214" s="6">
        <v>1631</v>
      </c>
      <c r="N214" s="11">
        <v>0.72916666666666663</v>
      </c>
      <c r="O214" s="7" t="s">
        <v>38</v>
      </c>
      <c r="P214">
        <f t="shared" si="18"/>
        <v>1</v>
      </c>
      <c r="R214">
        <f t="shared" si="19"/>
        <v>3669</v>
      </c>
      <c r="S214">
        <f t="shared" si="20"/>
        <v>26.197328972472064</v>
      </c>
      <c r="T214" t="str">
        <f t="shared" si="21"/>
        <v>High</v>
      </c>
      <c r="U214">
        <f t="shared" si="22"/>
        <v>2025</v>
      </c>
      <c r="V214">
        <f t="shared" si="23"/>
        <v>5</v>
      </c>
    </row>
    <row r="215" spans="1:22" x14ac:dyDescent="0.3">
      <c r="A215" s="8" t="s">
        <v>256</v>
      </c>
      <c r="B215" s="9">
        <v>20251215</v>
      </c>
      <c r="C215" s="9" t="s">
        <v>16</v>
      </c>
      <c r="D215" s="9" t="s">
        <v>21</v>
      </c>
      <c r="E215" s="9" t="s">
        <v>51</v>
      </c>
      <c r="F215" s="9">
        <v>15823</v>
      </c>
      <c r="G215" s="9">
        <v>21686</v>
      </c>
      <c r="H215" s="9">
        <v>639</v>
      </c>
      <c r="I215" s="9">
        <v>41</v>
      </c>
      <c r="J215" s="9">
        <v>93</v>
      </c>
      <c r="K215" s="9">
        <v>55</v>
      </c>
      <c r="L215" s="9">
        <v>0</v>
      </c>
      <c r="M215" s="9">
        <v>212</v>
      </c>
      <c r="N215" s="12">
        <v>0.375</v>
      </c>
      <c r="O215" s="10" t="s">
        <v>38</v>
      </c>
      <c r="P215">
        <f t="shared" si="18"/>
        <v>1</v>
      </c>
      <c r="R215">
        <f t="shared" si="19"/>
        <v>828</v>
      </c>
      <c r="S215">
        <f t="shared" si="20"/>
        <v>19.109903381642511</v>
      </c>
      <c r="T215" t="str">
        <f t="shared" si="21"/>
        <v>High</v>
      </c>
      <c r="U215">
        <f t="shared" si="22"/>
        <v>2025</v>
      </c>
      <c r="V215">
        <f t="shared" si="23"/>
        <v>12</v>
      </c>
    </row>
    <row r="216" spans="1:22" x14ac:dyDescent="0.3">
      <c r="A216" s="5" t="s">
        <v>257</v>
      </c>
      <c r="B216" s="6">
        <v>20260817</v>
      </c>
      <c r="C216" s="6" t="s">
        <v>16</v>
      </c>
      <c r="D216" s="6" t="s">
        <v>68</v>
      </c>
      <c r="E216" s="6" t="s">
        <v>46</v>
      </c>
      <c r="F216" s="6">
        <v>18545</v>
      </c>
      <c r="G216" s="6">
        <v>20611</v>
      </c>
      <c r="H216" s="6">
        <v>565</v>
      </c>
      <c r="I216" s="6">
        <v>23</v>
      </c>
      <c r="J216" s="6">
        <v>100</v>
      </c>
      <c r="K216" s="6">
        <v>28</v>
      </c>
      <c r="L216" s="6">
        <v>7160</v>
      </c>
      <c r="M216" s="6">
        <v>73</v>
      </c>
      <c r="N216" s="11">
        <v>0.35416666666666669</v>
      </c>
      <c r="O216" s="7" t="s">
        <v>53</v>
      </c>
      <c r="P216">
        <f t="shared" si="18"/>
        <v>1</v>
      </c>
      <c r="R216">
        <f t="shared" si="19"/>
        <v>716</v>
      </c>
      <c r="S216">
        <f t="shared" si="20"/>
        <v>25.900837988826815</v>
      </c>
      <c r="T216" t="str">
        <f t="shared" si="21"/>
        <v>High</v>
      </c>
      <c r="U216">
        <f t="shared" si="22"/>
        <v>2026</v>
      </c>
      <c r="V216">
        <f t="shared" si="23"/>
        <v>8</v>
      </c>
    </row>
    <row r="217" spans="1:22" x14ac:dyDescent="0.3">
      <c r="A217" s="8" t="s">
        <v>258</v>
      </c>
      <c r="B217" s="9">
        <v>20250720</v>
      </c>
      <c r="C217" s="9" t="s">
        <v>40</v>
      </c>
      <c r="D217" s="9" t="s">
        <v>36</v>
      </c>
      <c r="E217" s="9" t="s">
        <v>18</v>
      </c>
      <c r="F217" s="9">
        <v>11347</v>
      </c>
      <c r="G217" s="9">
        <v>18392</v>
      </c>
      <c r="H217" s="9">
        <v>667</v>
      </c>
      <c r="I217" s="9">
        <v>63</v>
      </c>
      <c r="J217" s="9">
        <v>49</v>
      </c>
      <c r="K217" s="9">
        <v>42</v>
      </c>
      <c r="L217" s="9">
        <v>0</v>
      </c>
      <c r="M217" s="9">
        <v>43</v>
      </c>
      <c r="N217" s="12">
        <v>0.71875</v>
      </c>
      <c r="O217" s="10" t="s">
        <v>38</v>
      </c>
      <c r="P217">
        <f t="shared" si="18"/>
        <v>1</v>
      </c>
      <c r="R217">
        <f t="shared" si="19"/>
        <v>821</v>
      </c>
      <c r="S217">
        <f t="shared" si="20"/>
        <v>13.820950060901341</v>
      </c>
      <c r="T217" t="str">
        <f t="shared" si="21"/>
        <v>High</v>
      </c>
      <c r="U217">
        <f t="shared" si="22"/>
        <v>2025</v>
      </c>
      <c r="V217">
        <f t="shared" si="23"/>
        <v>7</v>
      </c>
    </row>
    <row r="218" spans="1:22" x14ac:dyDescent="0.3">
      <c r="A218" s="5" t="s">
        <v>259</v>
      </c>
      <c r="B218" s="6">
        <v>20260801</v>
      </c>
      <c r="C218" s="6" t="s">
        <v>40</v>
      </c>
      <c r="D218" s="6" t="s">
        <v>17</v>
      </c>
      <c r="E218" s="6" t="s">
        <v>41</v>
      </c>
      <c r="F218" s="6">
        <v>14124</v>
      </c>
      <c r="G218" s="6">
        <v>16580</v>
      </c>
      <c r="H218" s="6">
        <v>1325</v>
      </c>
      <c r="I218" s="6">
        <v>53</v>
      </c>
      <c r="J218" s="6">
        <v>153</v>
      </c>
      <c r="K218" s="6">
        <v>122</v>
      </c>
      <c r="L218" s="6">
        <v>8030</v>
      </c>
      <c r="M218" s="6">
        <v>55</v>
      </c>
      <c r="N218" s="11">
        <v>0.66666666666666663</v>
      </c>
      <c r="O218" s="7" t="s">
        <v>19</v>
      </c>
      <c r="P218">
        <f t="shared" si="18"/>
        <v>1</v>
      </c>
      <c r="R218">
        <f t="shared" si="19"/>
        <v>1653</v>
      </c>
      <c r="S218">
        <f t="shared" si="20"/>
        <v>8.5444646098003627</v>
      </c>
      <c r="T218" t="str">
        <f t="shared" si="21"/>
        <v>Medium</v>
      </c>
      <c r="U218">
        <f t="shared" si="22"/>
        <v>2026</v>
      </c>
      <c r="V218">
        <f t="shared" si="23"/>
        <v>8</v>
      </c>
    </row>
    <row r="219" spans="1:22" x14ac:dyDescent="0.3">
      <c r="A219" s="8" t="s">
        <v>260</v>
      </c>
      <c r="B219" s="9">
        <v>20260317</v>
      </c>
      <c r="C219" s="9" t="s">
        <v>40</v>
      </c>
      <c r="D219" s="9" t="s">
        <v>61</v>
      </c>
      <c r="E219" s="9" t="s">
        <v>41</v>
      </c>
      <c r="F219" s="9">
        <v>36217</v>
      </c>
      <c r="G219" s="9">
        <v>51277</v>
      </c>
      <c r="H219" s="9">
        <v>4074</v>
      </c>
      <c r="I219" s="9">
        <v>372</v>
      </c>
      <c r="J219" s="9">
        <v>125</v>
      </c>
      <c r="K219" s="9">
        <v>250</v>
      </c>
      <c r="L219" s="9">
        <v>24844</v>
      </c>
      <c r="M219" s="9">
        <v>151</v>
      </c>
      <c r="N219" s="12">
        <v>0.60416666666666663</v>
      </c>
      <c r="O219" s="10" t="s">
        <v>38</v>
      </c>
      <c r="P219">
        <f t="shared" si="18"/>
        <v>1</v>
      </c>
      <c r="R219">
        <f t="shared" si="19"/>
        <v>4821</v>
      </c>
      <c r="S219">
        <f t="shared" si="20"/>
        <v>7.5123418377929889</v>
      </c>
      <c r="T219" t="str">
        <f t="shared" si="21"/>
        <v>Medium</v>
      </c>
      <c r="U219">
        <f t="shared" si="22"/>
        <v>2026</v>
      </c>
      <c r="V219">
        <f t="shared" si="23"/>
        <v>3</v>
      </c>
    </row>
    <row r="220" spans="1:22" x14ac:dyDescent="0.3">
      <c r="A220" s="5" t="s">
        <v>261</v>
      </c>
      <c r="B220" s="6">
        <v>20260223</v>
      </c>
      <c r="C220" s="6" t="s">
        <v>32</v>
      </c>
      <c r="D220" s="6" t="s">
        <v>36</v>
      </c>
      <c r="E220" s="6" t="s">
        <v>26</v>
      </c>
      <c r="F220" s="6">
        <v>7065</v>
      </c>
      <c r="G220" s="6">
        <v>8496</v>
      </c>
      <c r="H220" s="6">
        <v>273</v>
      </c>
      <c r="I220" s="6">
        <v>34</v>
      </c>
      <c r="J220" s="6">
        <v>19</v>
      </c>
      <c r="K220" s="6">
        <v>40</v>
      </c>
      <c r="L220" s="6">
        <v>6008</v>
      </c>
      <c r="M220" s="6">
        <v>38</v>
      </c>
      <c r="N220" s="11">
        <v>0.89583333333333337</v>
      </c>
      <c r="O220" s="7" t="s">
        <v>47</v>
      </c>
      <c r="P220">
        <f t="shared" si="18"/>
        <v>1</v>
      </c>
      <c r="R220">
        <f t="shared" si="19"/>
        <v>366</v>
      </c>
      <c r="S220">
        <f t="shared" si="20"/>
        <v>19.303278688524589</v>
      </c>
      <c r="T220" t="str">
        <f t="shared" si="21"/>
        <v>High</v>
      </c>
      <c r="U220">
        <f t="shared" si="22"/>
        <v>2026</v>
      </c>
      <c r="V220">
        <f t="shared" si="23"/>
        <v>2</v>
      </c>
    </row>
    <row r="221" spans="1:22" x14ac:dyDescent="0.3">
      <c r="A221" s="8" t="s">
        <v>262</v>
      </c>
      <c r="B221" s="9">
        <v>20250526</v>
      </c>
      <c r="C221" s="9" t="s">
        <v>16</v>
      </c>
      <c r="D221" s="9" t="s">
        <v>17</v>
      </c>
      <c r="E221" s="9" t="s">
        <v>46</v>
      </c>
      <c r="F221" s="9">
        <v>30331</v>
      </c>
      <c r="G221" s="9">
        <v>37051</v>
      </c>
      <c r="H221" s="9">
        <v>2389</v>
      </c>
      <c r="I221" s="9">
        <v>254</v>
      </c>
      <c r="J221" s="9">
        <v>114</v>
      </c>
      <c r="K221" s="9">
        <v>213</v>
      </c>
      <c r="L221" s="9">
        <v>14872</v>
      </c>
      <c r="M221" s="9">
        <v>459</v>
      </c>
      <c r="N221" s="12">
        <v>0.51041666666666663</v>
      </c>
      <c r="O221" s="10" t="s">
        <v>38</v>
      </c>
      <c r="P221">
        <f t="shared" si="18"/>
        <v>1</v>
      </c>
      <c r="R221">
        <f t="shared" si="19"/>
        <v>2970</v>
      </c>
      <c r="S221">
        <f t="shared" si="20"/>
        <v>10.212457912457912</v>
      </c>
      <c r="T221" t="str">
        <f t="shared" si="21"/>
        <v>High</v>
      </c>
      <c r="U221">
        <f t="shared" si="22"/>
        <v>2025</v>
      </c>
      <c r="V221">
        <f t="shared" si="23"/>
        <v>5</v>
      </c>
    </row>
    <row r="222" spans="1:22" x14ac:dyDescent="0.3">
      <c r="A222" s="5" t="s">
        <v>263</v>
      </c>
      <c r="B222" s="6">
        <v>20260323</v>
      </c>
      <c r="C222" s="6" t="s">
        <v>25</v>
      </c>
      <c r="D222" s="6" t="s">
        <v>29</v>
      </c>
      <c r="E222" s="6" t="s">
        <v>46</v>
      </c>
      <c r="F222" s="6">
        <v>35665</v>
      </c>
      <c r="G222" s="6">
        <v>49851</v>
      </c>
      <c r="H222" s="6">
        <v>1537</v>
      </c>
      <c r="I222" s="6">
        <v>96</v>
      </c>
      <c r="J222" s="6">
        <v>82</v>
      </c>
      <c r="K222" s="6">
        <v>173</v>
      </c>
      <c r="L222" s="6">
        <v>28966</v>
      </c>
      <c r="M222" s="6">
        <v>104</v>
      </c>
      <c r="N222" s="11">
        <v>0.5</v>
      </c>
      <c r="O222" s="7" t="s">
        <v>42</v>
      </c>
      <c r="P222">
        <f t="shared" si="18"/>
        <v>1</v>
      </c>
      <c r="R222">
        <f t="shared" si="19"/>
        <v>1888</v>
      </c>
      <c r="S222">
        <f t="shared" si="20"/>
        <v>18.890360169491526</v>
      </c>
      <c r="T222" t="str">
        <f t="shared" si="21"/>
        <v>High</v>
      </c>
      <c r="U222">
        <f t="shared" si="22"/>
        <v>2026</v>
      </c>
      <c r="V222">
        <f t="shared" si="23"/>
        <v>3</v>
      </c>
    </row>
    <row r="223" spans="1:22" x14ac:dyDescent="0.3">
      <c r="A223" s="8" t="s">
        <v>264</v>
      </c>
      <c r="B223" s="9">
        <v>20251119</v>
      </c>
      <c r="C223" s="9" t="s">
        <v>40</v>
      </c>
      <c r="D223" s="9" t="s">
        <v>21</v>
      </c>
      <c r="E223" s="9" t="s">
        <v>22</v>
      </c>
      <c r="F223" s="9">
        <v>5843</v>
      </c>
      <c r="G223" s="9">
        <v>9330</v>
      </c>
      <c r="H223" s="9">
        <v>390</v>
      </c>
      <c r="I223" s="9">
        <v>54</v>
      </c>
      <c r="J223" s="9">
        <v>56</v>
      </c>
      <c r="K223" s="9">
        <v>24</v>
      </c>
      <c r="L223" s="9">
        <v>0</v>
      </c>
      <c r="M223" s="9">
        <v>23</v>
      </c>
      <c r="N223" s="12">
        <v>0.33333333333333331</v>
      </c>
      <c r="O223" s="10" t="s">
        <v>23</v>
      </c>
      <c r="P223">
        <f t="shared" si="18"/>
        <v>1</v>
      </c>
      <c r="R223">
        <f t="shared" si="19"/>
        <v>524</v>
      </c>
      <c r="S223">
        <f t="shared" si="20"/>
        <v>11.150763358778626</v>
      </c>
      <c r="T223" t="str">
        <f t="shared" si="21"/>
        <v>High</v>
      </c>
      <c r="U223">
        <f t="shared" si="22"/>
        <v>2025</v>
      </c>
      <c r="V223">
        <f t="shared" si="23"/>
        <v>11</v>
      </c>
    </row>
    <row r="224" spans="1:22" x14ac:dyDescent="0.3">
      <c r="A224" s="5" t="s">
        <v>265</v>
      </c>
      <c r="B224" s="6">
        <v>20260513</v>
      </c>
      <c r="C224" s="6" t="s">
        <v>25</v>
      </c>
      <c r="D224" s="6" t="s">
        <v>33</v>
      </c>
      <c r="E224" s="6" t="s">
        <v>26</v>
      </c>
      <c r="F224" s="6">
        <v>16883</v>
      </c>
      <c r="G224" s="6">
        <v>19770</v>
      </c>
      <c r="H224" s="6">
        <v>1272</v>
      </c>
      <c r="I224" s="6">
        <v>168</v>
      </c>
      <c r="J224" s="6">
        <v>60</v>
      </c>
      <c r="K224" s="6">
        <v>174</v>
      </c>
      <c r="L224" s="6">
        <v>11205</v>
      </c>
      <c r="M224" s="6">
        <v>236</v>
      </c>
      <c r="N224" s="11">
        <v>0.63541666666666663</v>
      </c>
      <c r="O224" s="7" t="s">
        <v>47</v>
      </c>
      <c r="P224">
        <f t="shared" si="18"/>
        <v>1</v>
      </c>
      <c r="R224">
        <f t="shared" si="19"/>
        <v>1674</v>
      </c>
      <c r="S224">
        <f t="shared" si="20"/>
        <v>10.08542413381123</v>
      </c>
      <c r="T224" t="str">
        <f t="shared" si="21"/>
        <v>High</v>
      </c>
      <c r="U224">
        <f t="shared" si="22"/>
        <v>2026</v>
      </c>
      <c r="V224">
        <f t="shared" si="23"/>
        <v>5</v>
      </c>
    </row>
    <row r="225" spans="1:22" x14ac:dyDescent="0.3">
      <c r="A225" s="8" t="s">
        <v>266</v>
      </c>
      <c r="B225" s="9">
        <v>20260115</v>
      </c>
      <c r="C225" s="9" t="s">
        <v>32</v>
      </c>
      <c r="D225" s="9" t="s">
        <v>61</v>
      </c>
      <c r="E225" s="9" t="s">
        <v>41</v>
      </c>
      <c r="F225" s="9">
        <v>9717</v>
      </c>
      <c r="G225" s="9">
        <v>10461</v>
      </c>
      <c r="H225" s="9">
        <v>676</v>
      </c>
      <c r="I225" s="9">
        <v>52</v>
      </c>
      <c r="J225" s="9">
        <v>33</v>
      </c>
      <c r="K225" s="9">
        <v>100</v>
      </c>
      <c r="L225" s="9">
        <v>4779</v>
      </c>
      <c r="M225" s="9">
        <v>15</v>
      </c>
      <c r="N225" s="12">
        <v>0.51041666666666663</v>
      </c>
      <c r="O225" s="10" t="s">
        <v>38</v>
      </c>
      <c r="P225">
        <f t="shared" si="18"/>
        <v>1</v>
      </c>
      <c r="R225">
        <f t="shared" si="19"/>
        <v>861</v>
      </c>
      <c r="S225">
        <f t="shared" si="20"/>
        <v>11.285714285714286</v>
      </c>
      <c r="T225" t="str">
        <f t="shared" si="21"/>
        <v>High</v>
      </c>
      <c r="U225">
        <f t="shared" si="22"/>
        <v>2026</v>
      </c>
      <c r="V225">
        <f t="shared" si="23"/>
        <v>1</v>
      </c>
    </row>
    <row r="226" spans="1:22" x14ac:dyDescent="0.3">
      <c r="A226" s="5" t="s">
        <v>267</v>
      </c>
      <c r="B226" s="6">
        <v>20250930</v>
      </c>
      <c r="C226" s="6" t="s">
        <v>44</v>
      </c>
      <c r="D226" s="6" t="s">
        <v>68</v>
      </c>
      <c r="E226" s="6" t="s">
        <v>18</v>
      </c>
      <c r="F226" s="6">
        <v>27540</v>
      </c>
      <c r="G226" s="6">
        <v>39716</v>
      </c>
      <c r="H226" s="6">
        <v>2414</v>
      </c>
      <c r="I226" s="6">
        <v>94</v>
      </c>
      <c r="J226" s="6">
        <v>352</v>
      </c>
      <c r="K226" s="6">
        <v>366</v>
      </c>
      <c r="L226" s="6">
        <v>0</v>
      </c>
      <c r="M226" s="6">
        <v>69</v>
      </c>
      <c r="N226" s="11">
        <v>0.54166666666666663</v>
      </c>
      <c r="O226" s="7" t="s">
        <v>19</v>
      </c>
      <c r="P226">
        <f t="shared" si="18"/>
        <v>1</v>
      </c>
      <c r="R226">
        <f t="shared" si="19"/>
        <v>3226</v>
      </c>
      <c r="S226">
        <f t="shared" si="20"/>
        <v>8.5368877867327964</v>
      </c>
      <c r="T226" t="str">
        <f t="shared" si="21"/>
        <v>Medium</v>
      </c>
      <c r="U226">
        <f t="shared" si="22"/>
        <v>2025</v>
      </c>
      <c r="V226">
        <f t="shared" si="23"/>
        <v>9</v>
      </c>
    </row>
    <row r="227" spans="1:22" x14ac:dyDescent="0.3">
      <c r="A227" s="8" t="s">
        <v>268</v>
      </c>
      <c r="B227" s="9">
        <v>20260212</v>
      </c>
      <c r="C227" s="9" t="s">
        <v>32</v>
      </c>
      <c r="D227" s="9" t="s">
        <v>68</v>
      </c>
      <c r="E227" s="9" t="s">
        <v>46</v>
      </c>
      <c r="F227" s="9">
        <v>8683</v>
      </c>
      <c r="G227" s="9">
        <v>12648</v>
      </c>
      <c r="H227" s="9">
        <v>763</v>
      </c>
      <c r="I227" s="9">
        <v>80</v>
      </c>
      <c r="J227" s="9">
        <v>90</v>
      </c>
      <c r="K227" s="9">
        <v>105</v>
      </c>
      <c r="L227" s="9">
        <v>4268</v>
      </c>
      <c r="M227" s="9">
        <v>44</v>
      </c>
      <c r="N227" s="12">
        <v>0.42708333333333331</v>
      </c>
      <c r="O227" s="10" t="s">
        <v>27</v>
      </c>
      <c r="P227">
        <f t="shared" si="18"/>
        <v>1</v>
      </c>
      <c r="R227">
        <f t="shared" si="19"/>
        <v>1038</v>
      </c>
      <c r="S227">
        <f t="shared" si="20"/>
        <v>8.3651252408477834</v>
      </c>
      <c r="T227" t="str">
        <f t="shared" si="21"/>
        <v>Medium</v>
      </c>
      <c r="U227">
        <f t="shared" si="22"/>
        <v>2026</v>
      </c>
      <c r="V227">
        <f t="shared" si="23"/>
        <v>2</v>
      </c>
    </row>
    <row r="228" spans="1:22" x14ac:dyDescent="0.3">
      <c r="A228" s="5" t="s">
        <v>269</v>
      </c>
      <c r="B228" s="6">
        <v>20250612</v>
      </c>
      <c r="C228" s="6" t="s">
        <v>40</v>
      </c>
      <c r="D228" s="6" t="s">
        <v>29</v>
      </c>
      <c r="E228" s="6" t="s">
        <v>26</v>
      </c>
      <c r="F228" s="6">
        <v>24916</v>
      </c>
      <c r="G228" s="6">
        <v>34541</v>
      </c>
      <c r="H228" s="6">
        <v>1460</v>
      </c>
      <c r="I228" s="6">
        <v>154</v>
      </c>
      <c r="J228" s="6">
        <v>239</v>
      </c>
      <c r="K228" s="6">
        <v>125</v>
      </c>
      <c r="L228" s="6">
        <v>19546</v>
      </c>
      <c r="M228" s="6">
        <v>97</v>
      </c>
      <c r="N228" s="11">
        <v>0.48958333333333331</v>
      </c>
      <c r="O228" s="7" t="s">
        <v>19</v>
      </c>
      <c r="P228">
        <f t="shared" si="18"/>
        <v>1</v>
      </c>
      <c r="R228">
        <f t="shared" si="19"/>
        <v>1978</v>
      </c>
      <c r="S228">
        <f t="shared" si="20"/>
        <v>12.596562184024267</v>
      </c>
      <c r="T228" t="str">
        <f t="shared" si="21"/>
        <v>High</v>
      </c>
      <c r="U228">
        <f t="shared" si="22"/>
        <v>2025</v>
      </c>
      <c r="V228">
        <f t="shared" si="23"/>
        <v>6</v>
      </c>
    </row>
    <row r="229" spans="1:22" x14ac:dyDescent="0.3">
      <c r="A229" s="8" t="s">
        <v>270</v>
      </c>
      <c r="B229" s="9">
        <v>20250617</v>
      </c>
      <c r="C229" s="9" t="s">
        <v>32</v>
      </c>
      <c r="D229" s="9" t="s">
        <v>17</v>
      </c>
      <c r="E229" s="9" t="s">
        <v>41</v>
      </c>
      <c r="F229" s="9">
        <v>7803</v>
      </c>
      <c r="G229" s="9">
        <v>10732</v>
      </c>
      <c r="H229" s="9">
        <v>453</v>
      </c>
      <c r="I229" s="9">
        <v>61</v>
      </c>
      <c r="J229" s="9">
        <v>89</v>
      </c>
      <c r="K229" s="9">
        <v>37</v>
      </c>
      <c r="L229" s="9">
        <v>4892</v>
      </c>
      <c r="M229" s="9">
        <v>94</v>
      </c>
      <c r="N229" s="12">
        <v>0.94791666666666663</v>
      </c>
      <c r="O229" s="10" t="s">
        <v>27</v>
      </c>
      <c r="P229">
        <f t="shared" si="18"/>
        <v>1</v>
      </c>
      <c r="R229">
        <f t="shared" si="19"/>
        <v>640</v>
      </c>
      <c r="S229">
        <f t="shared" si="20"/>
        <v>12.192187499999999</v>
      </c>
      <c r="T229" t="str">
        <f t="shared" si="21"/>
        <v>High</v>
      </c>
      <c r="U229">
        <f t="shared" si="22"/>
        <v>2025</v>
      </c>
      <c r="V229">
        <f t="shared" si="23"/>
        <v>6</v>
      </c>
    </row>
    <row r="230" spans="1:22" x14ac:dyDescent="0.3">
      <c r="A230" s="5" t="s">
        <v>271</v>
      </c>
      <c r="B230" s="6">
        <v>20250531</v>
      </c>
      <c r="C230" s="6" t="s">
        <v>32</v>
      </c>
      <c r="D230" s="6" t="s">
        <v>33</v>
      </c>
      <c r="E230" s="6" t="s">
        <v>51</v>
      </c>
      <c r="F230" s="6">
        <v>22750</v>
      </c>
      <c r="G230" s="6">
        <v>33215</v>
      </c>
      <c r="H230" s="6">
        <v>1849</v>
      </c>
      <c r="I230" s="6">
        <v>100</v>
      </c>
      <c r="J230" s="6">
        <v>69</v>
      </c>
      <c r="K230" s="6">
        <v>170</v>
      </c>
      <c r="L230" s="6">
        <v>0</v>
      </c>
      <c r="M230" s="6">
        <v>187</v>
      </c>
      <c r="N230" s="11">
        <v>0.375</v>
      </c>
      <c r="O230" s="7" t="s">
        <v>27</v>
      </c>
      <c r="P230">
        <f t="shared" si="18"/>
        <v>1</v>
      </c>
      <c r="R230">
        <f t="shared" si="19"/>
        <v>2188</v>
      </c>
      <c r="S230">
        <f t="shared" si="20"/>
        <v>10.397623400365632</v>
      </c>
      <c r="T230" t="str">
        <f t="shared" si="21"/>
        <v>High</v>
      </c>
      <c r="U230">
        <f t="shared" si="22"/>
        <v>2025</v>
      </c>
      <c r="V230">
        <f t="shared" si="23"/>
        <v>5</v>
      </c>
    </row>
    <row r="231" spans="1:22" x14ac:dyDescent="0.3">
      <c r="A231" s="8" t="s">
        <v>272</v>
      </c>
      <c r="B231" s="9">
        <v>20250213</v>
      </c>
      <c r="C231" s="9" t="s">
        <v>16</v>
      </c>
      <c r="D231" s="9" t="s">
        <v>21</v>
      </c>
      <c r="E231" s="9" t="s">
        <v>46</v>
      </c>
      <c r="F231" s="9">
        <v>35751</v>
      </c>
      <c r="G231" s="9">
        <v>44764</v>
      </c>
      <c r="H231" s="9">
        <v>2446</v>
      </c>
      <c r="I231" s="9">
        <v>67</v>
      </c>
      <c r="J231" s="9">
        <v>157</v>
      </c>
      <c r="K231" s="9">
        <v>273</v>
      </c>
      <c r="L231" s="9">
        <v>26036</v>
      </c>
      <c r="M231" s="9">
        <v>299</v>
      </c>
      <c r="N231" s="12">
        <v>0.72916666666666663</v>
      </c>
      <c r="O231" s="10" t="s">
        <v>47</v>
      </c>
      <c r="P231">
        <f t="shared" si="18"/>
        <v>1</v>
      </c>
      <c r="R231">
        <f t="shared" si="19"/>
        <v>2943</v>
      </c>
      <c r="S231">
        <f t="shared" si="20"/>
        <v>12.147808358817533</v>
      </c>
      <c r="T231" t="str">
        <f t="shared" si="21"/>
        <v>High</v>
      </c>
      <c r="U231">
        <f t="shared" si="22"/>
        <v>2025</v>
      </c>
      <c r="V231">
        <f t="shared" si="23"/>
        <v>2</v>
      </c>
    </row>
    <row r="232" spans="1:22" x14ac:dyDescent="0.3">
      <c r="A232" s="5" t="s">
        <v>273</v>
      </c>
      <c r="B232" s="6">
        <v>20250110</v>
      </c>
      <c r="C232" s="6" t="s">
        <v>16</v>
      </c>
      <c r="D232" s="6" t="s">
        <v>17</v>
      </c>
      <c r="E232" s="6" t="s">
        <v>18</v>
      </c>
      <c r="F232" s="6">
        <v>21042</v>
      </c>
      <c r="G232" s="6">
        <v>26581</v>
      </c>
      <c r="H232" s="6">
        <v>1760</v>
      </c>
      <c r="I232" s="6">
        <v>245</v>
      </c>
      <c r="J232" s="6">
        <v>308</v>
      </c>
      <c r="K232" s="6">
        <v>221</v>
      </c>
      <c r="L232" s="6">
        <v>0</v>
      </c>
      <c r="M232" s="6">
        <v>323</v>
      </c>
      <c r="N232" s="11">
        <v>0.61458333333333337</v>
      </c>
      <c r="O232" s="7" t="s">
        <v>42</v>
      </c>
      <c r="P232">
        <f t="shared" si="18"/>
        <v>1</v>
      </c>
      <c r="R232">
        <f t="shared" si="19"/>
        <v>2534</v>
      </c>
      <c r="S232">
        <f t="shared" si="20"/>
        <v>8.3038674033149178</v>
      </c>
      <c r="T232" t="str">
        <f t="shared" si="21"/>
        <v>Medium</v>
      </c>
      <c r="U232">
        <f t="shared" si="22"/>
        <v>2025</v>
      </c>
      <c r="V232">
        <f t="shared" si="23"/>
        <v>1</v>
      </c>
    </row>
    <row r="233" spans="1:22" x14ac:dyDescent="0.3">
      <c r="A233" s="8" t="s">
        <v>274</v>
      </c>
      <c r="B233" s="9">
        <v>20260301</v>
      </c>
      <c r="C233" s="9" t="s">
        <v>40</v>
      </c>
      <c r="D233" s="9" t="s">
        <v>21</v>
      </c>
      <c r="E233" s="9" t="s">
        <v>22</v>
      </c>
      <c r="F233" s="9">
        <v>15999</v>
      </c>
      <c r="G233" s="9">
        <v>17350</v>
      </c>
      <c r="H233" s="9">
        <v>1398</v>
      </c>
      <c r="I233" s="9">
        <v>165</v>
      </c>
      <c r="J233" s="9">
        <v>90</v>
      </c>
      <c r="K233" s="9">
        <v>110</v>
      </c>
      <c r="L233" s="9">
        <v>0</v>
      </c>
      <c r="M233" s="9">
        <v>30</v>
      </c>
      <c r="N233" s="12">
        <v>0.39583333333333331</v>
      </c>
      <c r="O233" s="10" t="s">
        <v>38</v>
      </c>
      <c r="P233">
        <f t="shared" si="18"/>
        <v>1</v>
      </c>
      <c r="R233">
        <f t="shared" si="19"/>
        <v>1763</v>
      </c>
      <c r="S233">
        <f t="shared" si="20"/>
        <v>9.0748723766307435</v>
      </c>
      <c r="T233" t="str">
        <f t="shared" si="21"/>
        <v>Medium</v>
      </c>
      <c r="U233">
        <f t="shared" si="22"/>
        <v>2026</v>
      </c>
      <c r="V233">
        <f t="shared" si="23"/>
        <v>3</v>
      </c>
    </row>
    <row r="234" spans="1:22" x14ac:dyDescent="0.3">
      <c r="A234" s="5" t="s">
        <v>275</v>
      </c>
      <c r="B234" s="6">
        <v>20250304</v>
      </c>
      <c r="C234" s="6" t="s">
        <v>32</v>
      </c>
      <c r="D234" s="6" t="s">
        <v>21</v>
      </c>
      <c r="E234" s="6" t="s">
        <v>41</v>
      </c>
      <c r="F234" s="6">
        <v>8423</v>
      </c>
      <c r="G234" s="6">
        <v>13649</v>
      </c>
      <c r="H234" s="6">
        <v>432</v>
      </c>
      <c r="I234" s="6">
        <v>51</v>
      </c>
      <c r="J234" s="6">
        <v>39</v>
      </c>
      <c r="K234" s="6">
        <v>9</v>
      </c>
      <c r="L234" s="6">
        <v>3122</v>
      </c>
      <c r="M234" s="6">
        <v>140</v>
      </c>
      <c r="N234" s="11">
        <v>0.71875</v>
      </c>
      <c r="O234" s="7" t="s">
        <v>53</v>
      </c>
      <c r="P234">
        <f t="shared" si="18"/>
        <v>1</v>
      </c>
      <c r="R234">
        <f t="shared" si="19"/>
        <v>531</v>
      </c>
      <c r="S234">
        <f t="shared" si="20"/>
        <v>15.862523540489642</v>
      </c>
      <c r="T234" t="str">
        <f t="shared" si="21"/>
        <v>High</v>
      </c>
      <c r="U234">
        <f t="shared" si="22"/>
        <v>2025</v>
      </c>
      <c r="V234">
        <f t="shared" si="23"/>
        <v>3</v>
      </c>
    </row>
    <row r="235" spans="1:22" x14ac:dyDescent="0.3">
      <c r="A235" s="8" t="s">
        <v>276</v>
      </c>
      <c r="B235" s="9">
        <v>20260925</v>
      </c>
      <c r="C235" s="9" t="s">
        <v>16</v>
      </c>
      <c r="D235" s="9" t="s">
        <v>68</v>
      </c>
      <c r="E235" s="9" t="s">
        <v>26</v>
      </c>
      <c r="F235" s="9">
        <v>4901</v>
      </c>
      <c r="G235" s="9">
        <v>8017</v>
      </c>
      <c r="H235" s="9">
        <v>372</v>
      </c>
      <c r="I235" s="9">
        <v>39</v>
      </c>
      <c r="J235" s="9">
        <v>65</v>
      </c>
      <c r="K235" s="9">
        <v>12</v>
      </c>
      <c r="L235" s="9">
        <v>3795</v>
      </c>
      <c r="M235" s="9">
        <v>67</v>
      </c>
      <c r="N235" s="12">
        <v>0.35416666666666669</v>
      </c>
      <c r="O235" s="10" t="s">
        <v>47</v>
      </c>
      <c r="P235">
        <f t="shared" si="18"/>
        <v>1</v>
      </c>
      <c r="R235">
        <f t="shared" si="19"/>
        <v>488</v>
      </c>
      <c r="S235">
        <f t="shared" si="20"/>
        <v>10.043032786885245</v>
      </c>
      <c r="T235" t="str">
        <f t="shared" si="21"/>
        <v>High</v>
      </c>
      <c r="U235">
        <f t="shared" si="22"/>
        <v>2026</v>
      </c>
      <c r="V235">
        <f t="shared" si="23"/>
        <v>9</v>
      </c>
    </row>
    <row r="236" spans="1:22" x14ac:dyDescent="0.3">
      <c r="A236" s="5" t="s">
        <v>277</v>
      </c>
      <c r="B236" s="6">
        <v>20260509</v>
      </c>
      <c r="C236" s="6" t="s">
        <v>16</v>
      </c>
      <c r="D236" s="6" t="s">
        <v>36</v>
      </c>
      <c r="E236" s="6" t="s">
        <v>18</v>
      </c>
      <c r="F236" s="6">
        <v>21407</v>
      </c>
      <c r="G236" s="6">
        <v>26926</v>
      </c>
      <c r="H236" s="6">
        <v>1554</v>
      </c>
      <c r="I236" s="6">
        <v>169</v>
      </c>
      <c r="J236" s="6">
        <v>249</v>
      </c>
      <c r="K236" s="6">
        <v>86</v>
      </c>
      <c r="L236" s="6">
        <v>0</v>
      </c>
      <c r="M236" s="6">
        <v>37</v>
      </c>
      <c r="N236" s="11">
        <v>0.78125</v>
      </c>
      <c r="O236" s="7"/>
      <c r="P236">
        <f t="shared" si="18"/>
        <v>1</v>
      </c>
      <c r="R236">
        <f t="shared" si="19"/>
        <v>2058</v>
      </c>
      <c r="S236">
        <f t="shared" si="20"/>
        <v>10.401846452866861</v>
      </c>
      <c r="T236" t="str">
        <f t="shared" si="21"/>
        <v>High</v>
      </c>
      <c r="U236">
        <f t="shared" si="22"/>
        <v>2026</v>
      </c>
      <c r="V236">
        <f t="shared" si="23"/>
        <v>5</v>
      </c>
    </row>
    <row r="237" spans="1:22" x14ac:dyDescent="0.3">
      <c r="A237" s="8" t="s">
        <v>278</v>
      </c>
      <c r="B237" s="9">
        <v>20250713</v>
      </c>
      <c r="C237" s="9" t="s">
        <v>25</v>
      </c>
      <c r="D237" s="9" t="s">
        <v>33</v>
      </c>
      <c r="E237" s="9" t="s">
        <v>46</v>
      </c>
      <c r="F237" s="9">
        <v>5655</v>
      </c>
      <c r="G237" s="9">
        <v>8148</v>
      </c>
      <c r="H237" s="9">
        <v>324</v>
      </c>
      <c r="I237" s="9">
        <v>26</v>
      </c>
      <c r="J237" s="9">
        <v>29</v>
      </c>
      <c r="K237" s="9">
        <v>7</v>
      </c>
      <c r="L237" s="9">
        <v>4641</v>
      </c>
      <c r="M237" s="9">
        <v>8</v>
      </c>
      <c r="N237" s="12">
        <v>0.375</v>
      </c>
      <c r="O237" s="10" t="s">
        <v>47</v>
      </c>
      <c r="P237">
        <f t="shared" si="18"/>
        <v>1</v>
      </c>
      <c r="R237">
        <f t="shared" si="19"/>
        <v>386</v>
      </c>
      <c r="S237">
        <f t="shared" si="20"/>
        <v>14.650259067357513</v>
      </c>
      <c r="T237" t="str">
        <f t="shared" si="21"/>
        <v>High</v>
      </c>
      <c r="U237">
        <f t="shared" si="22"/>
        <v>2025</v>
      </c>
      <c r="V237">
        <f t="shared" si="23"/>
        <v>7</v>
      </c>
    </row>
    <row r="238" spans="1:22" x14ac:dyDescent="0.3">
      <c r="A238" s="5" t="s">
        <v>279</v>
      </c>
      <c r="B238" s="6">
        <v>20260615</v>
      </c>
      <c r="C238" s="6" t="s">
        <v>32</v>
      </c>
      <c r="D238" s="6" t="s">
        <v>21</v>
      </c>
      <c r="E238" s="6" t="s">
        <v>41</v>
      </c>
      <c r="F238" s="6">
        <v>10250</v>
      </c>
      <c r="G238" s="6">
        <v>14356</v>
      </c>
      <c r="H238" s="6">
        <v>719</v>
      </c>
      <c r="I238" s="6">
        <v>74</v>
      </c>
      <c r="J238" s="6">
        <v>118</v>
      </c>
      <c r="K238" s="6">
        <v>82</v>
      </c>
      <c r="L238" s="6">
        <v>8978</v>
      </c>
      <c r="M238" s="6">
        <v>10</v>
      </c>
      <c r="N238" s="11">
        <v>0.52083333333333337</v>
      </c>
      <c r="O238" s="7" t="s">
        <v>42</v>
      </c>
      <c r="P238">
        <f t="shared" si="18"/>
        <v>1</v>
      </c>
      <c r="R238">
        <f t="shared" si="19"/>
        <v>993</v>
      </c>
      <c r="S238">
        <f t="shared" si="20"/>
        <v>10.322255790533736</v>
      </c>
      <c r="T238" t="str">
        <f t="shared" si="21"/>
        <v>High</v>
      </c>
      <c r="U238">
        <f t="shared" si="22"/>
        <v>2026</v>
      </c>
      <c r="V238">
        <f t="shared" si="23"/>
        <v>6</v>
      </c>
    </row>
    <row r="239" spans="1:22" x14ac:dyDescent="0.3">
      <c r="A239" s="8" t="s">
        <v>280</v>
      </c>
      <c r="B239" s="9">
        <v>20260422</v>
      </c>
      <c r="C239" s="9" t="s">
        <v>25</v>
      </c>
      <c r="D239" s="9" t="s">
        <v>17</v>
      </c>
      <c r="E239" s="9" t="s">
        <v>46</v>
      </c>
      <c r="F239" s="9">
        <v>16045</v>
      </c>
      <c r="G239" s="9">
        <v>20237</v>
      </c>
      <c r="H239" s="9">
        <v>551</v>
      </c>
      <c r="I239" s="9">
        <v>22</v>
      </c>
      <c r="J239" s="9">
        <v>54</v>
      </c>
      <c r="K239" s="9">
        <v>42</v>
      </c>
      <c r="L239" s="9">
        <v>7104</v>
      </c>
      <c r="M239" s="9">
        <v>23</v>
      </c>
      <c r="N239" s="12">
        <v>0.94791666666666663</v>
      </c>
      <c r="O239" s="10" t="s">
        <v>49</v>
      </c>
      <c r="P239">
        <f t="shared" si="18"/>
        <v>1</v>
      </c>
      <c r="R239">
        <f t="shared" si="19"/>
        <v>669</v>
      </c>
      <c r="S239">
        <f t="shared" si="20"/>
        <v>23.98355754857997</v>
      </c>
      <c r="T239" t="str">
        <f t="shared" si="21"/>
        <v>High</v>
      </c>
      <c r="U239">
        <f t="shared" si="22"/>
        <v>2026</v>
      </c>
      <c r="V239">
        <f t="shared" si="23"/>
        <v>4</v>
      </c>
    </row>
    <row r="240" spans="1:22" x14ac:dyDescent="0.3">
      <c r="A240" s="5" t="s">
        <v>281</v>
      </c>
      <c r="B240" s="6">
        <v>20250611</v>
      </c>
      <c r="C240" s="6" t="s">
        <v>32</v>
      </c>
      <c r="D240" s="6" t="s">
        <v>36</v>
      </c>
      <c r="E240" s="6" t="s">
        <v>51</v>
      </c>
      <c r="F240" s="6">
        <v>4328</v>
      </c>
      <c r="G240" s="6">
        <v>5981</v>
      </c>
      <c r="H240" s="6">
        <v>446</v>
      </c>
      <c r="I240" s="6">
        <v>52</v>
      </c>
      <c r="J240" s="6">
        <v>25</v>
      </c>
      <c r="K240" s="6">
        <v>55</v>
      </c>
      <c r="L240" s="6">
        <v>0</v>
      </c>
      <c r="M240" s="6">
        <v>42</v>
      </c>
      <c r="N240" s="11">
        <v>0.90625</v>
      </c>
      <c r="O240" s="7" t="s">
        <v>34</v>
      </c>
      <c r="P240">
        <f t="shared" si="18"/>
        <v>1</v>
      </c>
      <c r="R240">
        <f t="shared" si="19"/>
        <v>578</v>
      </c>
      <c r="S240">
        <f t="shared" si="20"/>
        <v>7.4878892733564015</v>
      </c>
      <c r="T240" t="str">
        <f t="shared" si="21"/>
        <v>Medium</v>
      </c>
      <c r="U240">
        <f t="shared" si="22"/>
        <v>2025</v>
      </c>
      <c r="V240">
        <f t="shared" si="23"/>
        <v>6</v>
      </c>
    </row>
    <row r="241" spans="1:22" x14ac:dyDescent="0.3">
      <c r="A241" s="8" t="s">
        <v>282</v>
      </c>
      <c r="B241" s="9">
        <v>20250605</v>
      </c>
      <c r="C241" s="9" t="s">
        <v>32</v>
      </c>
      <c r="D241" s="9" t="s">
        <v>33</v>
      </c>
      <c r="E241" s="9" t="s">
        <v>26</v>
      </c>
      <c r="F241" s="9">
        <v>7567</v>
      </c>
      <c r="G241" s="9">
        <v>11228</v>
      </c>
      <c r="H241" s="9">
        <v>632</v>
      </c>
      <c r="I241" s="9">
        <v>47</v>
      </c>
      <c r="J241" s="9">
        <v>68</v>
      </c>
      <c r="K241" s="9">
        <v>33</v>
      </c>
      <c r="L241" s="9">
        <v>3459</v>
      </c>
      <c r="M241" s="9">
        <v>120</v>
      </c>
      <c r="N241" s="12">
        <v>0.39583333333333331</v>
      </c>
      <c r="O241" s="10" t="s">
        <v>47</v>
      </c>
      <c r="P241">
        <f t="shared" si="18"/>
        <v>1</v>
      </c>
      <c r="R241">
        <f t="shared" si="19"/>
        <v>780</v>
      </c>
      <c r="S241">
        <f t="shared" si="20"/>
        <v>9.7012820512820515</v>
      </c>
      <c r="T241" t="str">
        <f t="shared" si="21"/>
        <v>Medium</v>
      </c>
      <c r="U241">
        <f t="shared" si="22"/>
        <v>2025</v>
      </c>
      <c r="V241">
        <f t="shared" si="23"/>
        <v>6</v>
      </c>
    </row>
    <row r="242" spans="1:22" x14ac:dyDescent="0.3">
      <c r="A242" s="5" t="s">
        <v>283</v>
      </c>
      <c r="B242" s="6">
        <v>20250626</v>
      </c>
      <c r="C242" s="6" t="s">
        <v>40</v>
      </c>
      <c r="D242" s="6" t="s">
        <v>29</v>
      </c>
      <c r="E242" s="6" t="s">
        <v>41</v>
      </c>
      <c r="F242" s="6">
        <v>56781</v>
      </c>
      <c r="G242" s="6">
        <v>63785</v>
      </c>
      <c r="H242" s="6">
        <v>3479</v>
      </c>
      <c r="I242" s="6">
        <v>266</v>
      </c>
      <c r="J242" s="6">
        <v>611</v>
      </c>
      <c r="K242" s="6">
        <v>423</v>
      </c>
      <c r="L242" s="6">
        <v>29293</v>
      </c>
      <c r="M242" s="6">
        <v>59</v>
      </c>
      <c r="N242" s="11">
        <v>0.9375</v>
      </c>
      <c r="O242" s="7" t="s">
        <v>38</v>
      </c>
      <c r="P242">
        <f t="shared" si="18"/>
        <v>1</v>
      </c>
      <c r="R242">
        <f t="shared" si="19"/>
        <v>4779</v>
      </c>
      <c r="S242">
        <f t="shared" si="20"/>
        <v>11.881355932203389</v>
      </c>
      <c r="T242" t="str">
        <f t="shared" si="21"/>
        <v>High</v>
      </c>
      <c r="U242">
        <f t="shared" si="22"/>
        <v>2025</v>
      </c>
      <c r="V242">
        <f t="shared" si="23"/>
        <v>6</v>
      </c>
    </row>
    <row r="243" spans="1:22" x14ac:dyDescent="0.3">
      <c r="A243" s="8" t="s">
        <v>284</v>
      </c>
      <c r="B243" s="9">
        <v>20260725</v>
      </c>
      <c r="C243" s="9" t="s">
        <v>40</v>
      </c>
      <c r="D243" s="9" t="s">
        <v>61</v>
      </c>
      <c r="E243" s="9" t="s">
        <v>41</v>
      </c>
      <c r="F243" s="9">
        <v>44272</v>
      </c>
      <c r="G243" s="9">
        <v>72501</v>
      </c>
      <c r="H243" s="9">
        <v>4075</v>
      </c>
      <c r="I243" s="9">
        <v>292</v>
      </c>
      <c r="J243" s="9">
        <v>393</v>
      </c>
      <c r="K243" s="9">
        <v>400</v>
      </c>
      <c r="L243" s="9">
        <v>22123</v>
      </c>
      <c r="M243" s="9">
        <v>479</v>
      </c>
      <c r="N243" s="12">
        <v>0.8125</v>
      </c>
      <c r="O243" s="10" t="s">
        <v>30</v>
      </c>
      <c r="P243">
        <f t="shared" si="18"/>
        <v>1</v>
      </c>
      <c r="R243">
        <f t="shared" si="19"/>
        <v>5160</v>
      </c>
      <c r="S243">
        <f t="shared" si="20"/>
        <v>8.57984496124031</v>
      </c>
      <c r="T243" t="str">
        <f t="shared" si="21"/>
        <v>Medium</v>
      </c>
      <c r="U243">
        <f t="shared" si="22"/>
        <v>2026</v>
      </c>
      <c r="V243">
        <f t="shared" si="23"/>
        <v>7</v>
      </c>
    </row>
    <row r="244" spans="1:22" x14ac:dyDescent="0.3">
      <c r="A244" s="5" t="s">
        <v>285</v>
      </c>
      <c r="B244" s="6">
        <v>20250718</v>
      </c>
      <c r="C244" s="6" t="s">
        <v>16</v>
      </c>
      <c r="D244" s="6" t="s">
        <v>68</v>
      </c>
      <c r="E244" s="6" t="s">
        <v>46</v>
      </c>
      <c r="F244" s="6">
        <v>28298</v>
      </c>
      <c r="G244" s="6">
        <v>30337</v>
      </c>
      <c r="H244" s="6">
        <v>741</v>
      </c>
      <c r="I244" s="6">
        <v>46</v>
      </c>
      <c r="J244" s="6">
        <v>68</v>
      </c>
      <c r="K244" s="6">
        <v>46</v>
      </c>
      <c r="L244" s="6">
        <v>24463</v>
      </c>
      <c r="M244" s="6">
        <v>240</v>
      </c>
      <c r="N244" s="11">
        <v>0.875</v>
      </c>
      <c r="O244" s="7" t="s">
        <v>49</v>
      </c>
      <c r="P244">
        <f t="shared" si="18"/>
        <v>1</v>
      </c>
      <c r="R244">
        <f t="shared" si="19"/>
        <v>901</v>
      </c>
      <c r="S244">
        <f t="shared" si="20"/>
        <v>31.407325194228633</v>
      </c>
      <c r="T244" t="str">
        <f t="shared" si="21"/>
        <v>High</v>
      </c>
      <c r="U244">
        <f t="shared" si="22"/>
        <v>2025</v>
      </c>
      <c r="V244">
        <f t="shared" si="23"/>
        <v>7</v>
      </c>
    </row>
    <row r="245" spans="1:22" x14ac:dyDescent="0.3">
      <c r="A245" s="8" t="s">
        <v>286</v>
      </c>
      <c r="B245" s="9">
        <v>20250316</v>
      </c>
      <c r="C245" s="9" t="s">
        <v>32</v>
      </c>
      <c r="D245" s="9" t="s">
        <v>36</v>
      </c>
      <c r="E245" s="9" t="s">
        <v>41</v>
      </c>
      <c r="F245" s="9">
        <v>21472</v>
      </c>
      <c r="G245" s="9">
        <v>30233</v>
      </c>
      <c r="H245" s="9">
        <v>1963</v>
      </c>
      <c r="I245" s="9">
        <v>159</v>
      </c>
      <c r="J245" s="9">
        <v>138</v>
      </c>
      <c r="K245" s="9">
        <v>131</v>
      </c>
      <c r="L245" s="9">
        <v>13822</v>
      </c>
      <c r="M245" s="9">
        <v>103</v>
      </c>
      <c r="N245" s="12">
        <v>0.4375</v>
      </c>
      <c r="O245" s="10" t="s">
        <v>27</v>
      </c>
      <c r="P245">
        <f t="shared" si="18"/>
        <v>1</v>
      </c>
      <c r="R245">
        <f t="shared" si="19"/>
        <v>2391</v>
      </c>
      <c r="S245">
        <f t="shared" si="20"/>
        <v>8.9803429527394396</v>
      </c>
      <c r="T245" t="str">
        <f t="shared" si="21"/>
        <v>Medium</v>
      </c>
      <c r="U245">
        <f t="shared" si="22"/>
        <v>2025</v>
      </c>
      <c r="V245">
        <f t="shared" si="23"/>
        <v>3</v>
      </c>
    </row>
    <row r="246" spans="1:22" x14ac:dyDescent="0.3">
      <c r="A246" s="5" t="s">
        <v>287</v>
      </c>
      <c r="B246" s="6">
        <v>20250729</v>
      </c>
      <c r="C246" s="6" t="s">
        <v>44</v>
      </c>
      <c r="D246" s="6" t="s">
        <v>21</v>
      </c>
      <c r="E246" s="6" t="s">
        <v>18</v>
      </c>
      <c r="F246" s="6">
        <v>43747</v>
      </c>
      <c r="G246" s="6">
        <v>48854</v>
      </c>
      <c r="H246" s="6">
        <v>3725</v>
      </c>
      <c r="I246" s="6">
        <v>518</v>
      </c>
      <c r="J246" s="6">
        <v>555</v>
      </c>
      <c r="K246" s="6">
        <v>583</v>
      </c>
      <c r="L246" s="6">
        <v>0</v>
      </c>
      <c r="M246" s="6">
        <v>546</v>
      </c>
      <c r="N246" s="11">
        <v>0.39583333333333331</v>
      </c>
      <c r="O246" s="7" t="s">
        <v>34</v>
      </c>
      <c r="P246">
        <f t="shared" si="18"/>
        <v>1</v>
      </c>
      <c r="R246">
        <f t="shared" si="19"/>
        <v>5381</v>
      </c>
      <c r="S246">
        <f t="shared" si="20"/>
        <v>8.129901505296413</v>
      </c>
      <c r="T246" t="str">
        <f t="shared" si="21"/>
        <v>Medium</v>
      </c>
      <c r="U246">
        <f t="shared" si="22"/>
        <v>2025</v>
      </c>
      <c r="V246">
        <f t="shared" si="23"/>
        <v>7</v>
      </c>
    </row>
    <row r="247" spans="1:22" x14ac:dyDescent="0.3">
      <c r="A247" s="8" t="s">
        <v>288</v>
      </c>
      <c r="B247" s="9">
        <v>20260922</v>
      </c>
      <c r="C247" s="9" t="s">
        <v>16</v>
      </c>
      <c r="D247" s="9" t="s">
        <v>33</v>
      </c>
      <c r="E247" s="9" t="s">
        <v>46</v>
      </c>
      <c r="F247" s="9">
        <v>39026</v>
      </c>
      <c r="G247" s="9">
        <v>57706</v>
      </c>
      <c r="H247" s="9">
        <v>1254</v>
      </c>
      <c r="I247" s="9">
        <v>44</v>
      </c>
      <c r="J247" s="9">
        <v>73</v>
      </c>
      <c r="K247" s="9">
        <v>147</v>
      </c>
      <c r="L247" s="9">
        <v>31163</v>
      </c>
      <c r="M247" s="9">
        <v>53</v>
      </c>
      <c r="N247" s="12">
        <v>0.34375</v>
      </c>
      <c r="O247" s="10" t="s">
        <v>53</v>
      </c>
      <c r="P247">
        <f t="shared" si="18"/>
        <v>1</v>
      </c>
      <c r="R247">
        <f t="shared" si="19"/>
        <v>1518</v>
      </c>
      <c r="S247">
        <f t="shared" si="20"/>
        <v>25.708827404479578</v>
      </c>
      <c r="T247" t="str">
        <f t="shared" si="21"/>
        <v>High</v>
      </c>
      <c r="U247">
        <f t="shared" si="22"/>
        <v>2026</v>
      </c>
      <c r="V247">
        <f t="shared" si="23"/>
        <v>9</v>
      </c>
    </row>
    <row r="248" spans="1:22" x14ac:dyDescent="0.3">
      <c r="A248" s="5" t="s">
        <v>289</v>
      </c>
      <c r="B248" s="6">
        <v>20251229</v>
      </c>
      <c r="C248" s="6" t="s">
        <v>16</v>
      </c>
      <c r="D248" s="6" t="s">
        <v>68</v>
      </c>
      <c r="E248" s="6" t="s">
        <v>26</v>
      </c>
      <c r="F248" s="6">
        <v>7433</v>
      </c>
      <c r="G248" s="6">
        <v>10608</v>
      </c>
      <c r="H248" s="6">
        <v>542</v>
      </c>
      <c r="I248" s="6"/>
      <c r="J248" s="6">
        <v>69</v>
      </c>
      <c r="K248" s="6">
        <v>25</v>
      </c>
      <c r="L248" s="6">
        <v>4446</v>
      </c>
      <c r="M248" s="6">
        <v>109</v>
      </c>
      <c r="N248" s="11">
        <v>0.71875</v>
      </c>
      <c r="O248" s="7" t="s">
        <v>30</v>
      </c>
      <c r="P248">
        <f t="shared" si="18"/>
        <v>1</v>
      </c>
      <c r="R248">
        <f t="shared" si="19"/>
        <v>636</v>
      </c>
      <c r="S248">
        <f t="shared" si="20"/>
        <v>11.687106918238994</v>
      </c>
      <c r="T248" t="str">
        <f t="shared" si="21"/>
        <v>High</v>
      </c>
      <c r="U248">
        <f t="shared" si="22"/>
        <v>2025</v>
      </c>
      <c r="V248">
        <f t="shared" si="23"/>
        <v>12</v>
      </c>
    </row>
    <row r="249" spans="1:22" x14ac:dyDescent="0.3">
      <c r="A249" s="8" t="s">
        <v>290</v>
      </c>
      <c r="B249" s="9">
        <v>20251015</v>
      </c>
      <c r="C249" s="9" t="s">
        <v>32</v>
      </c>
      <c r="D249" s="9" t="s">
        <v>21</v>
      </c>
      <c r="E249" s="9" t="s">
        <v>41</v>
      </c>
      <c r="F249" s="9">
        <v>15875</v>
      </c>
      <c r="G249" s="9">
        <v>19882</v>
      </c>
      <c r="H249" s="9">
        <v>1897</v>
      </c>
      <c r="I249" s="9">
        <v>212</v>
      </c>
      <c r="J249" s="9">
        <v>292</v>
      </c>
      <c r="K249" s="9">
        <v>295</v>
      </c>
      <c r="L249" s="9">
        <v>6984</v>
      </c>
      <c r="M249" s="9">
        <v>277</v>
      </c>
      <c r="N249" s="12">
        <v>0.625</v>
      </c>
      <c r="O249" s="10" t="s">
        <v>23</v>
      </c>
      <c r="P249">
        <f t="shared" si="18"/>
        <v>1</v>
      </c>
      <c r="R249">
        <f t="shared" si="19"/>
        <v>2696</v>
      </c>
      <c r="S249">
        <f t="shared" si="20"/>
        <v>5.8883531157270026</v>
      </c>
      <c r="T249" t="str">
        <f t="shared" si="21"/>
        <v>Medium</v>
      </c>
      <c r="U249">
        <f t="shared" si="22"/>
        <v>2025</v>
      </c>
      <c r="V249">
        <f t="shared" si="23"/>
        <v>10</v>
      </c>
    </row>
    <row r="250" spans="1:22" x14ac:dyDescent="0.3">
      <c r="A250" s="5" t="s">
        <v>291</v>
      </c>
      <c r="B250" s="6">
        <v>20260427</v>
      </c>
      <c r="C250" s="6" t="s">
        <v>16</v>
      </c>
      <c r="D250" s="6" t="s">
        <v>29</v>
      </c>
      <c r="E250" s="6" t="s">
        <v>51</v>
      </c>
      <c r="F250" s="6">
        <v>11407</v>
      </c>
      <c r="G250" s="6">
        <v>16714</v>
      </c>
      <c r="H250" s="6">
        <v>1089</v>
      </c>
      <c r="I250" s="6">
        <v>34</v>
      </c>
      <c r="J250" s="6">
        <v>58</v>
      </c>
      <c r="K250" s="6">
        <v>142</v>
      </c>
      <c r="L250" s="6">
        <v>0</v>
      </c>
      <c r="M250" s="6">
        <v>23</v>
      </c>
      <c r="N250" s="11">
        <v>0.84375</v>
      </c>
      <c r="O250" s="7" t="s">
        <v>30</v>
      </c>
      <c r="P250">
        <f t="shared" si="18"/>
        <v>1</v>
      </c>
      <c r="R250">
        <f t="shared" si="19"/>
        <v>1323</v>
      </c>
      <c r="S250">
        <f t="shared" si="20"/>
        <v>8.6220710506424787</v>
      </c>
      <c r="T250" t="str">
        <f t="shared" si="21"/>
        <v>Medium</v>
      </c>
      <c r="U250">
        <f t="shared" si="22"/>
        <v>2026</v>
      </c>
      <c r="V250">
        <f t="shared" si="23"/>
        <v>4</v>
      </c>
    </row>
    <row r="251" spans="1:22" x14ac:dyDescent="0.3">
      <c r="A251" s="8" t="s">
        <v>292</v>
      </c>
      <c r="B251" s="9">
        <v>20250710</v>
      </c>
      <c r="C251" s="9" t="s">
        <v>16</v>
      </c>
      <c r="D251" s="9" t="s">
        <v>36</v>
      </c>
      <c r="E251" s="9" t="s">
        <v>46</v>
      </c>
      <c r="F251" s="9">
        <v>17993</v>
      </c>
      <c r="G251" s="9">
        <v>25932</v>
      </c>
      <c r="H251" s="9">
        <v>902</v>
      </c>
      <c r="I251" s="9">
        <v>27</v>
      </c>
      <c r="J251" s="9">
        <v>68</v>
      </c>
      <c r="K251" s="9">
        <v>102</v>
      </c>
      <c r="L251" s="9">
        <v>8932</v>
      </c>
      <c r="M251" s="9">
        <v>249</v>
      </c>
      <c r="N251" s="12">
        <v>0.44791666666666669</v>
      </c>
      <c r="O251" s="10" t="s">
        <v>19</v>
      </c>
      <c r="P251">
        <f t="shared" si="18"/>
        <v>1</v>
      </c>
      <c r="R251">
        <f t="shared" si="19"/>
        <v>1099</v>
      </c>
      <c r="S251">
        <f t="shared" si="20"/>
        <v>16.372156505914468</v>
      </c>
      <c r="T251" t="str">
        <f t="shared" si="21"/>
        <v>High</v>
      </c>
      <c r="U251">
        <f t="shared" si="22"/>
        <v>2025</v>
      </c>
      <c r="V251">
        <f t="shared" si="23"/>
        <v>7</v>
      </c>
    </row>
    <row r="252" spans="1:22" x14ac:dyDescent="0.3">
      <c r="A252" s="5" t="s">
        <v>293</v>
      </c>
      <c r="B252" s="6">
        <v>20251226</v>
      </c>
      <c r="C252" s="6" t="s">
        <v>25</v>
      </c>
      <c r="D252" s="6" t="s">
        <v>33</v>
      </c>
      <c r="E252" s="6" t="s">
        <v>41</v>
      </c>
      <c r="F252" s="6">
        <v>12531</v>
      </c>
      <c r="G252" s="6">
        <v>13213</v>
      </c>
      <c r="H252" s="6">
        <v>515</v>
      </c>
      <c r="I252" s="6">
        <v>35</v>
      </c>
      <c r="J252" s="6">
        <v>36</v>
      </c>
      <c r="K252" s="6">
        <v>59</v>
      </c>
      <c r="L252" s="6">
        <v>6963</v>
      </c>
      <c r="M252" s="6">
        <v>56</v>
      </c>
      <c r="N252" s="11">
        <v>0.34375</v>
      </c>
      <c r="O252" s="7" t="s">
        <v>23</v>
      </c>
      <c r="P252">
        <f t="shared" si="18"/>
        <v>1</v>
      </c>
      <c r="R252">
        <f t="shared" si="19"/>
        <v>645</v>
      </c>
      <c r="S252">
        <f t="shared" si="20"/>
        <v>19.427906976744186</v>
      </c>
      <c r="T252" t="str">
        <f t="shared" si="21"/>
        <v>High</v>
      </c>
      <c r="U252">
        <f t="shared" si="22"/>
        <v>2025</v>
      </c>
      <c r="V252">
        <f t="shared" si="23"/>
        <v>12</v>
      </c>
    </row>
    <row r="253" spans="1:22" x14ac:dyDescent="0.3">
      <c r="A253" s="8" t="s">
        <v>294</v>
      </c>
      <c r="B253" s="9">
        <v>20250110</v>
      </c>
      <c r="C253" s="9" t="s">
        <v>40</v>
      </c>
      <c r="D253" s="9" t="s">
        <v>61</v>
      </c>
      <c r="E253" s="9" t="s">
        <v>26</v>
      </c>
      <c r="F253" s="9">
        <v>11685</v>
      </c>
      <c r="G253" s="9">
        <v>15612</v>
      </c>
      <c r="H253" s="9">
        <v>436</v>
      </c>
      <c r="I253" s="9">
        <v>28</v>
      </c>
      <c r="J253" s="9">
        <v>84</v>
      </c>
      <c r="K253" s="9">
        <v>53</v>
      </c>
      <c r="L253" s="9">
        <v>10476</v>
      </c>
      <c r="M253" s="9">
        <v>183</v>
      </c>
      <c r="N253" s="12">
        <v>0.57291666666666663</v>
      </c>
      <c r="O253" s="10" t="s">
        <v>38</v>
      </c>
      <c r="P253">
        <f t="shared" si="18"/>
        <v>1</v>
      </c>
      <c r="R253">
        <f t="shared" si="19"/>
        <v>601</v>
      </c>
      <c r="S253">
        <f t="shared" si="20"/>
        <v>19.442595673876873</v>
      </c>
      <c r="T253" t="str">
        <f t="shared" si="21"/>
        <v>High</v>
      </c>
      <c r="U253">
        <f t="shared" si="22"/>
        <v>2025</v>
      </c>
      <c r="V253">
        <f t="shared" si="23"/>
        <v>1</v>
      </c>
    </row>
    <row r="254" spans="1:22" x14ac:dyDescent="0.3">
      <c r="A254" s="5" t="s">
        <v>295</v>
      </c>
      <c r="B254" s="6">
        <v>20260307</v>
      </c>
      <c r="C254" s="6" t="s">
        <v>40</v>
      </c>
      <c r="D254" s="6" t="s">
        <v>68</v>
      </c>
      <c r="E254" s="6" t="s">
        <v>26</v>
      </c>
      <c r="F254" s="6">
        <v>24935</v>
      </c>
      <c r="G254" s="6">
        <v>41048</v>
      </c>
      <c r="H254" s="6">
        <v>2838</v>
      </c>
      <c r="I254" s="6">
        <v>387</v>
      </c>
      <c r="J254" s="6">
        <v>338</v>
      </c>
      <c r="K254" s="6">
        <v>210</v>
      </c>
      <c r="L254" s="6">
        <v>11569</v>
      </c>
      <c r="M254" s="6">
        <v>391</v>
      </c>
      <c r="N254" s="11">
        <v>0.79166666666666663</v>
      </c>
      <c r="O254" s="7" t="s">
        <v>49</v>
      </c>
      <c r="P254">
        <f t="shared" si="18"/>
        <v>1</v>
      </c>
      <c r="R254">
        <f t="shared" si="19"/>
        <v>3773</v>
      </c>
      <c r="S254">
        <f t="shared" si="20"/>
        <v>6.6087993639014044</v>
      </c>
      <c r="T254" t="str">
        <f t="shared" si="21"/>
        <v>Medium</v>
      </c>
      <c r="U254">
        <f t="shared" si="22"/>
        <v>2026</v>
      </c>
      <c r="V254">
        <f t="shared" si="23"/>
        <v>3</v>
      </c>
    </row>
    <row r="255" spans="1:22" x14ac:dyDescent="0.3">
      <c r="A255" s="8" t="s">
        <v>296</v>
      </c>
      <c r="B255" s="9">
        <v>20251116</v>
      </c>
      <c r="C255" s="9" t="s">
        <v>44</v>
      </c>
      <c r="D255" s="9" t="s">
        <v>33</v>
      </c>
      <c r="E255" s="9" t="s">
        <v>26</v>
      </c>
      <c r="F255" s="9">
        <v>17588</v>
      </c>
      <c r="G255" s="9">
        <v>28058</v>
      </c>
      <c r="H255" s="9">
        <v>580</v>
      </c>
      <c r="I255" s="9">
        <v>24</v>
      </c>
      <c r="J255" s="9">
        <v>82</v>
      </c>
      <c r="K255" s="9">
        <v>40</v>
      </c>
      <c r="L255" s="9">
        <v>6929</v>
      </c>
      <c r="M255" s="9">
        <v>288</v>
      </c>
      <c r="N255" s="12">
        <v>0.47916666666666669</v>
      </c>
      <c r="O255" s="10" t="s">
        <v>38</v>
      </c>
      <c r="P255">
        <f t="shared" si="18"/>
        <v>1</v>
      </c>
      <c r="R255">
        <f t="shared" si="19"/>
        <v>726</v>
      </c>
      <c r="S255">
        <f t="shared" si="20"/>
        <v>24.225895316804408</v>
      </c>
      <c r="T255" t="str">
        <f t="shared" si="21"/>
        <v>High</v>
      </c>
      <c r="U255">
        <f t="shared" si="22"/>
        <v>2025</v>
      </c>
      <c r="V255">
        <f t="shared" si="23"/>
        <v>11</v>
      </c>
    </row>
    <row r="256" spans="1:22" x14ac:dyDescent="0.3">
      <c r="A256" s="5" t="s">
        <v>297</v>
      </c>
      <c r="B256" s="6">
        <v>20260809</v>
      </c>
      <c r="C256" s="6" t="s">
        <v>16</v>
      </c>
      <c r="D256" s="6" t="s">
        <v>29</v>
      </c>
      <c r="E256" s="6" t="s">
        <v>26</v>
      </c>
      <c r="F256" s="6">
        <v>23442</v>
      </c>
      <c r="G256" s="6">
        <v>36685</v>
      </c>
      <c r="H256" s="6">
        <v>1628</v>
      </c>
      <c r="I256" s="6">
        <v>186</v>
      </c>
      <c r="J256" s="6">
        <v>235</v>
      </c>
      <c r="K256" s="6">
        <v>208</v>
      </c>
      <c r="L256" s="6">
        <v>18436</v>
      </c>
      <c r="M256" s="6">
        <v>194</v>
      </c>
      <c r="N256" s="11">
        <v>0.67708333333333337</v>
      </c>
      <c r="O256" s="7" t="s">
        <v>47</v>
      </c>
      <c r="P256">
        <f t="shared" si="18"/>
        <v>1</v>
      </c>
      <c r="R256">
        <f t="shared" si="19"/>
        <v>2257</v>
      </c>
      <c r="S256">
        <f t="shared" si="20"/>
        <v>10.386353566681436</v>
      </c>
      <c r="T256" t="str">
        <f t="shared" si="21"/>
        <v>High</v>
      </c>
      <c r="U256">
        <f t="shared" si="22"/>
        <v>2026</v>
      </c>
      <c r="V256">
        <f t="shared" si="23"/>
        <v>8</v>
      </c>
    </row>
    <row r="257" spans="1:22" x14ac:dyDescent="0.3">
      <c r="A257" s="8" t="s">
        <v>298</v>
      </c>
      <c r="B257" s="9">
        <v>20260303</v>
      </c>
      <c r="C257" s="9" t="s">
        <v>16</v>
      </c>
      <c r="D257" s="9" t="s">
        <v>68</v>
      </c>
      <c r="E257" s="9" t="s">
        <v>22</v>
      </c>
      <c r="F257" s="9">
        <v>22483</v>
      </c>
      <c r="G257" s="9">
        <v>27840</v>
      </c>
      <c r="H257" s="9">
        <v>2297</v>
      </c>
      <c r="I257" s="9">
        <v>194</v>
      </c>
      <c r="J257" s="9">
        <v>285</v>
      </c>
      <c r="K257" s="9">
        <v>51</v>
      </c>
      <c r="L257" s="9">
        <v>0</v>
      </c>
      <c r="M257" s="9">
        <v>310</v>
      </c>
      <c r="N257" s="12">
        <v>0.92708333333333337</v>
      </c>
      <c r="O257" s="10" t="s">
        <v>23</v>
      </c>
      <c r="P257">
        <f t="shared" si="18"/>
        <v>1</v>
      </c>
      <c r="R257">
        <f t="shared" si="19"/>
        <v>2827</v>
      </c>
      <c r="S257">
        <f t="shared" si="20"/>
        <v>7.9529536611248677</v>
      </c>
      <c r="T257" t="str">
        <f t="shared" si="21"/>
        <v>Medium</v>
      </c>
      <c r="U257">
        <f t="shared" si="22"/>
        <v>2026</v>
      </c>
      <c r="V257">
        <f t="shared" si="23"/>
        <v>3</v>
      </c>
    </row>
    <row r="258" spans="1:22" x14ac:dyDescent="0.3">
      <c r="A258" s="5" t="s">
        <v>299</v>
      </c>
      <c r="B258" s="6">
        <v>20251127</v>
      </c>
      <c r="C258" s="6" t="s">
        <v>40</v>
      </c>
      <c r="D258" s="6" t="s">
        <v>21</v>
      </c>
      <c r="E258" s="6" t="s">
        <v>51</v>
      </c>
      <c r="F258" s="6">
        <v>23927</v>
      </c>
      <c r="G258" s="6">
        <v>30523</v>
      </c>
      <c r="H258" s="6">
        <v>2310</v>
      </c>
      <c r="I258" s="6">
        <v>192</v>
      </c>
      <c r="J258" s="6">
        <v>170</v>
      </c>
      <c r="K258" s="6">
        <v>285</v>
      </c>
      <c r="L258" s="6">
        <v>0</v>
      </c>
      <c r="M258" s="6">
        <v>278</v>
      </c>
      <c r="N258" s="11">
        <v>0.4375</v>
      </c>
      <c r="O258" s="7" t="s">
        <v>19</v>
      </c>
      <c r="P258">
        <f t="shared" si="18"/>
        <v>1</v>
      </c>
      <c r="R258">
        <f t="shared" si="19"/>
        <v>2957</v>
      </c>
      <c r="S258">
        <f t="shared" si="20"/>
        <v>8.091646939465674</v>
      </c>
      <c r="T258" t="str">
        <f t="shared" si="21"/>
        <v>Medium</v>
      </c>
      <c r="U258">
        <f t="shared" si="22"/>
        <v>2025</v>
      </c>
      <c r="V258">
        <f t="shared" si="23"/>
        <v>11</v>
      </c>
    </row>
    <row r="259" spans="1:22" x14ac:dyDescent="0.3">
      <c r="A259" s="8" t="s">
        <v>300</v>
      </c>
      <c r="B259" s="9">
        <v>20250510</v>
      </c>
      <c r="C259" s="9" t="s">
        <v>40</v>
      </c>
      <c r="D259" s="9" t="s">
        <v>68</v>
      </c>
      <c r="E259" s="9" t="s">
        <v>22</v>
      </c>
      <c r="F259" s="9">
        <v>15413</v>
      </c>
      <c r="G259" s="9">
        <v>23429</v>
      </c>
      <c r="H259" s="9">
        <v>1009</v>
      </c>
      <c r="I259" s="9">
        <v>50</v>
      </c>
      <c r="J259" s="9">
        <v>44</v>
      </c>
      <c r="K259" s="9">
        <v>156</v>
      </c>
      <c r="L259" s="9">
        <v>0</v>
      </c>
      <c r="M259" s="9">
        <v>27</v>
      </c>
      <c r="N259" s="12">
        <v>0.30208333333333331</v>
      </c>
      <c r="O259" s="10" t="s">
        <v>38</v>
      </c>
      <c r="P259">
        <f t="shared" ref="P259:P322" si="24">COUNTIF($A$2:$A$500,A259)</f>
        <v>1</v>
      </c>
      <c r="R259">
        <f t="shared" ref="R259:R322" si="25">SUM(H259:K259)</f>
        <v>1259</v>
      </c>
      <c r="S259">
        <f t="shared" ref="S259:S322" si="26">IFERROR(F259/R259,0)</f>
        <v>12.242255758538523</v>
      </c>
      <c r="T259" t="str">
        <f t="shared" ref="T259:T322" si="27">IF(S259&gt;=10,"High",IF(S259&gt;=5,"Medium",IF(S259&gt;=0,"Low")))</f>
        <v>High</v>
      </c>
      <c r="U259">
        <f t="shared" ref="U259:U322" si="28">LEFT(B259,4)*1</f>
        <v>2025</v>
      </c>
      <c r="V259">
        <f t="shared" ref="V259:V322" si="29">MID(B259,5,2)*1</f>
        <v>5</v>
      </c>
    </row>
    <row r="260" spans="1:22" x14ac:dyDescent="0.3">
      <c r="A260" s="5" t="s">
        <v>301</v>
      </c>
      <c r="B260" s="6">
        <v>20251102</v>
      </c>
      <c r="C260" s="6" t="s">
        <v>25</v>
      </c>
      <c r="D260" s="6" t="s">
        <v>36</v>
      </c>
      <c r="E260" s="6" t="s">
        <v>46</v>
      </c>
      <c r="F260" s="6">
        <v>32518</v>
      </c>
      <c r="G260" s="6">
        <v>38619</v>
      </c>
      <c r="H260" s="6">
        <v>3820</v>
      </c>
      <c r="I260" s="6">
        <v>454</v>
      </c>
      <c r="J260" s="6">
        <v>412</v>
      </c>
      <c r="K260" s="6">
        <v>609</v>
      </c>
      <c r="L260" s="6">
        <v>21459</v>
      </c>
      <c r="M260" s="6">
        <v>192</v>
      </c>
      <c r="N260" s="11">
        <v>0.65625</v>
      </c>
      <c r="O260" s="7" t="s">
        <v>19</v>
      </c>
      <c r="P260">
        <f t="shared" si="24"/>
        <v>1</v>
      </c>
      <c r="R260">
        <f t="shared" si="25"/>
        <v>5295</v>
      </c>
      <c r="S260">
        <f t="shared" si="26"/>
        <v>6.1412653446647782</v>
      </c>
      <c r="T260" t="str">
        <f t="shared" si="27"/>
        <v>Medium</v>
      </c>
      <c r="U260">
        <f t="shared" si="28"/>
        <v>2025</v>
      </c>
      <c r="V260">
        <f t="shared" si="29"/>
        <v>11</v>
      </c>
    </row>
    <row r="261" spans="1:22" x14ac:dyDescent="0.3">
      <c r="A261" s="8" t="s">
        <v>302</v>
      </c>
      <c r="B261" s="9">
        <v>20250203</v>
      </c>
      <c r="C261" s="9" t="s">
        <v>16</v>
      </c>
      <c r="D261" s="9" t="s">
        <v>33</v>
      </c>
      <c r="E261" s="9" t="s">
        <v>51</v>
      </c>
      <c r="F261" s="9">
        <v>16051</v>
      </c>
      <c r="G261" s="9">
        <v>23643</v>
      </c>
      <c r="H261" s="9">
        <v>753</v>
      </c>
      <c r="I261" s="9">
        <v>99</v>
      </c>
      <c r="J261" s="9">
        <v>96</v>
      </c>
      <c r="K261" s="9">
        <v>53</v>
      </c>
      <c r="L261" s="9">
        <v>0</v>
      </c>
      <c r="M261" s="9">
        <v>21</v>
      </c>
      <c r="N261" s="12">
        <v>0.91666666666666663</v>
      </c>
      <c r="O261" s="10" t="s">
        <v>30</v>
      </c>
      <c r="P261">
        <f t="shared" si="24"/>
        <v>1</v>
      </c>
      <c r="R261">
        <f t="shared" si="25"/>
        <v>1001</v>
      </c>
      <c r="S261">
        <f t="shared" si="26"/>
        <v>16.034965034965033</v>
      </c>
      <c r="T261" t="str">
        <f t="shared" si="27"/>
        <v>High</v>
      </c>
      <c r="U261">
        <f t="shared" si="28"/>
        <v>2025</v>
      </c>
      <c r="V261">
        <f t="shared" si="29"/>
        <v>2</v>
      </c>
    </row>
    <row r="262" spans="1:22" x14ac:dyDescent="0.3">
      <c r="A262" s="5" t="s">
        <v>303</v>
      </c>
      <c r="B262" s="6">
        <v>20250212</v>
      </c>
      <c r="C262" s="6" t="s">
        <v>25</v>
      </c>
      <c r="D262" s="6" t="s">
        <v>68</v>
      </c>
      <c r="E262" s="6" t="s">
        <v>18</v>
      </c>
      <c r="F262" s="6">
        <v>9097</v>
      </c>
      <c r="G262" s="6">
        <v>12687</v>
      </c>
      <c r="H262" s="6">
        <v>246</v>
      </c>
      <c r="I262" s="6">
        <v>18</v>
      </c>
      <c r="J262" s="6">
        <v>28</v>
      </c>
      <c r="K262" s="6">
        <v>22</v>
      </c>
      <c r="L262" s="6">
        <v>0</v>
      </c>
      <c r="M262" s="6">
        <v>152</v>
      </c>
      <c r="N262" s="11">
        <v>0.67708333333333337</v>
      </c>
      <c r="O262" s="7"/>
      <c r="P262">
        <f t="shared" si="24"/>
        <v>1</v>
      </c>
      <c r="R262">
        <f t="shared" si="25"/>
        <v>314</v>
      </c>
      <c r="S262">
        <f t="shared" si="26"/>
        <v>28.971337579617835</v>
      </c>
      <c r="T262" t="str">
        <f t="shared" si="27"/>
        <v>High</v>
      </c>
      <c r="U262">
        <f t="shared" si="28"/>
        <v>2025</v>
      </c>
      <c r="V262">
        <f t="shared" si="29"/>
        <v>2</v>
      </c>
    </row>
    <row r="263" spans="1:22" x14ac:dyDescent="0.3">
      <c r="A263" s="8" t="s">
        <v>304</v>
      </c>
      <c r="B263" s="9">
        <v>20250910</v>
      </c>
      <c r="C263" s="9" t="s">
        <v>44</v>
      </c>
      <c r="D263" s="9" t="s">
        <v>33</v>
      </c>
      <c r="E263" s="9" t="s">
        <v>51</v>
      </c>
      <c r="F263" s="9">
        <v>204612</v>
      </c>
      <c r="G263" s="9">
        <v>298740</v>
      </c>
      <c r="H263" s="9">
        <v>14544</v>
      </c>
      <c r="I263" s="9">
        <v>606</v>
      </c>
      <c r="J263" s="9">
        <v>2538</v>
      </c>
      <c r="K263" s="9">
        <v>2246</v>
      </c>
      <c r="L263" s="9">
        <v>0</v>
      </c>
      <c r="M263" s="9">
        <v>3184</v>
      </c>
      <c r="N263" s="12">
        <v>0.94791666666666663</v>
      </c>
      <c r="O263" s="10" t="s">
        <v>23</v>
      </c>
      <c r="P263">
        <f t="shared" si="24"/>
        <v>1</v>
      </c>
      <c r="R263">
        <f t="shared" si="25"/>
        <v>19934</v>
      </c>
      <c r="S263">
        <f t="shared" si="26"/>
        <v>10.264472760108358</v>
      </c>
      <c r="T263" t="str">
        <f t="shared" si="27"/>
        <v>High</v>
      </c>
      <c r="U263">
        <f t="shared" si="28"/>
        <v>2025</v>
      </c>
      <c r="V263">
        <f t="shared" si="29"/>
        <v>9</v>
      </c>
    </row>
    <row r="264" spans="1:22" x14ac:dyDescent="0.3">
      <c r="A264" s="5" t="s">
        <v>305</v>
      </c>
      <c r="B264" s="6">
        <v>20250101</v>
      </c>
      <c r="C264" s="6" t="s">
        <v>16</v>
      </c>
      <c r="D264" s="6" t="s">
        <v>33</v>
      </c>
      <c r="E264" s="6" t="s">
        <v>22</v>
      </c>
      <c r="F264" s="6">
        <v>22244</v>
      </c>
      <c r="G264" s="6">
        <v>24049</v>
      </c>
      <c r="H264" s="6">
        <v>2413</v>
      </c>
      <c r="I264" s="6">
        <v>195</v>
      </c>
      <c r="J264" s="6">
        <v>390</v>
      </c>
      <c r="K264" s="6">
        <v>320</v>
      </c>
      <c r="L264" s="6">
        <v>0</v>
      </c>
      <c r="M264" s="6">
        <v>149</v>
      </c>
      <c r="N264" s="11">
        <v>0.70833333333333337</v>
      </c>
      <c r="O264" s="7" t="s">
        <v>47</v>
      </c>
      <c r="P264">
        <f t="shared" si="24"/>
        <v>1</v>
      </c>
      <c r="R264">
        <f t="shared" si="25"/>
        <v>3318</v>
      </c>
      <c r="S264">
        <f t="shared" si="26"/>
        <v>6.7040385774562994</v>
      </c>
      <c r="T264" t="str">
        <f t="shared" si="27"/>
        <v>Medium</v>
      </c>
      <c r="U264">
        <f t="shared" si="28"/>
        <v>2025</v>
      </c>
      <c r="V264">
        <f t="shared" si="29"/>
        <v>1</v>
      </c>
    </row>
    <row r="265" spans="1:22" x14ac:dyDescent="0.3">
      <c r="A265" s="8" t="s">
        <v>306</v>
      </c>
      <c r="B265" s="9">
        <v>20250103</v>
      </c>
      <c r="C265" s="9" t="s">
        <v>40</v>
      </c>
      <c r="D265" s="9" t="s">
        <v>29</v>
      </c>
      <c r="E265" s="9" t="s">
        <v>26</v>
      </c>
      <c r="F265" s="9">
        <v>9845</v>
      </c>
      <c r="G265" s="9">
        <v>14696</v>
      </c>
      <c r="H265" s="9">
        <v>708</v>
      </c>
      <c r="I265" s="9">
        <v>87</v>
      </c>
      <c r="J265" s="9">
        <v>128</v>
      </c>
      <c r="K265" s="9">
        <v>107</v>
      </c>
      <c r="L265" s="9">
        <v>5443</v>
      </c>
      <c r="M265" s="9">
        <v>143</v>
      </c>
      <c r="N265" s="12">
        <v>0.35416666666666669</v>
      </c>
      <c r="O265" s="10" t="s">
        <v>42</v>
      </c>
      <c r="P265">
        <f t="shared" si="24"/>
        <v>1</v>
      </c>
      <c r="R265">
        <f t="shared" si="25"/>
        <v>1030</v>
      </c>
      <c r="S265">
        <f t="shared" si="26"/>
        <v>9.5582524271844669</v>
      </c>
      <c r="T265" t="str">
        <f t="shared" si="27"/>
        <v>Medium</v>
      </c>
      <c r="U265">
        <f t="shared" si="28"/>
        <v>2025</v>
      </c>
      <c r="V265">
        <f t="shared" si="29"/>
        <v>1</v>
      </c>
    </row>
    <row r="266" spans="1:22" x14ac:dyDescent="0.3">
      <c r="A266" s="5" t="s">
        <v>307</v>
      </c>
      <c r="B266" s="6">
        <v>20250525</v>
      </c>
      <c r="C266" s="6" t="s">
        <v>32</v>
      </c>
      <c r="D266" s="6" t="s">
        <v>21</v>
      </c>
      <c r="E266" s="6" t="s">
        <v>46</v>
      </c>
      <c r="F266" s="6">
        <v>12830</v>
      </c>
      <c r="G266" s="6">
        <v>16200</v>
      </c>
      <c r="H266" s="6">
        <v>969</v>
      </c>
      <c r="I266" s="6">
        <v>69</v>
      </c>
      <c r="J266" s="6">
        <v>171</v>
      </c>
      <c r="K266" s="6">
        <v>36</v>
      </c>
      <c r="L266" s="6">
        <v>7714</v>
      </c>
      <c r="M266" s="6">
        <v>80</v>
      </c>
      <c r="N266" s="11">
        <v>0.73958333333333337</v>
      </c>
      <c r="O266" s="7" t="s">
        <v>27</v>
      </c>
      <c r="P266">
        <f t="shared" si="24"/>
        <v>1</v>
      </c>
      <c r="R266">
        <f t="shared" si="25"/>
        <v>1245</v>
      </c>
      <c r="S266">
        <f t="shared" si="26"/>
        <v>10.305220883534137</v>
      </c>
      <c r="T266" t="str">
        <f t="shared" si="27"/>
        <v>High</v>
      </c>
      <c r="U266">
        <f t="shared" si="28"/>
        <v>2025</v>
      </c>
      <c r="V266">
        <f t="shared" si="29"/>
        <v>5</v>
      </c>
    </row>
    <row r="267" spans="1:22" x14ac:dyDescent="0.3">
      <c r="A267" s="8" t="s">
        <v>308</v>
      </c>
      <c r="B267" s="9">
        <v>20250728</v>
      </c>
      <c r="C267" s="9" t="s">
        <v>32</v>
      </c>
      <c r="D267" s="9" t="s">
        <v>17</v>
      </c>
      <c r="E267" s="9" t="s">
        <v>51</v>
      </c>
      <c r="F267" s="9">
        <v>19958</v>
      </c>
      <c r="G267" s="9">
        <v>27033</v>
      </c>
      <c r="H267" s="9">
        <v>1111</v>
      </c>
      <c r="I267" s="9">
        <v>51</v>
      </c>
      <c r="J267" s="9">
        <v>220</v>
      </c>
      <c r="K267" s="9">
        <v>127</v>
      </c>
      <c r="L267" s="9">
        <v>0</v>
      </c>
      <c r="M267" s="9">
        <v>300</v>
      </c>
      <c r="N267" s="12">
        <v>0.71875</v>
      </c>
      <c r="O267" s="10" t="s">
        <v>34</v>
      </c>
      <c r="P267">
        <f t="shared" si="24"/>
        <v>1</v>
      </c>
      <c r="R267">
        <f t="shared" si="25"/>
        <v>1509</v>
      </c>
      <c r="S267">
        <f t="shared" si="26"/>
        <v>13.225977468522201</v>
      </c>
      <c r="T267" t="str">
        <f t="shared" si="27"/>
        <v>High</v>
      </c>
      <c r="U267">
        <f t="shared" si="28"/>
        <v>2025</v>
      </c>
      <c r="V267">
        <f t="shared" si="29"/>
        <v>7</v>
      </c>
    </row>
    <row r="268" spans="1:22" x14ac:dyDescent="0.3">
      <c r="A268" s="5" t="s">
        <v>309</v>
      </c>
      <c r="B268" s="6">
        <v>20251120</v>
      </c>
      <c r="C268" s="6" t="s">
        <v>44</v>
      </c>
      <c r="D268" s="6" t="s">
        <v>17</v>
      </c>
      <c r="E268" s="6" t="s">
        <v>26</v>
      </c>
      <c r="F268" s="6">
        <v>47236</v>
      </c>
      <c r="G268" s="6">
        <v>63556</v>
      </c>
      <c r="H268" s="6">
        <v>2148</v>
      </c>
      <c r="I268" s="6">
        <v>144</v>
      </c>
      <c r="J268" s="6">
        <v>79</v>
      </c>
      <c r="K268" s="6">
        <v>223</v>
      </c>
      <c r="L268" s="6">
        <v>39458</v>
      </c>
      <c r="M268" s="6">
        <v>192</v>
      </c>
      <c r="N268" s="11">
        <v>0.66666666666666663</v>
      </c>
      <c r="O268" s="7" t="s">
        <v>49</v>
      </c>
      <c r="P268">
        <f t="shared" si="24"/>
        <v>1</v>
      </c>
      <c r="R268">
        <f t="shared" si="25"/>
        <v>2594</v>
      </c>
      <c r="S268">
        <f t="shared" si="26"/>
        <v>18.209714726291441</v>
      </c>
      <c r="T268" t="str">
        <f t="shared" si="27"/>
        <v>High</v>
      </c>
      <c r="U268">
        <f t="shared" si="28"/>
        <v>2025</v>
      </c>
      <c r="V268">
        <f t="shared" si="29"/>
        <v>11</v>
      </c>
    </row>
    <row r="269" spans="1:22" x14ac:dyDescent="0.3">
      <c r="A269" s="8" t="s">
        <v>310</v>
      </c>
      <c r="B269" s="9">
        <v>20250625</v>
      </c>
      <c r="C269" s="9" t="s">
        <v>25</v>
      </c>
      <c r="D269" s="9" t="s">
        <v>21</v>
      </c>
      <c r="E269" s="9" t="s">
        <v>26</v>
      </c>
      <c r="F269" s="9">
        <v>8598</v>
      </c>
      <c r="G269" s="9">
        <v>11714</v>
      </c>
      <c r="H269" s="9">
        <v>917</v>
      </c>
      <c r="I269" s="9">
        <v>106</v>
      </c>
      <c r="J269" s="9">
        <v>33</v>
      </c>
      <c r="K269" s="9">
        <v>39</v>
      </c>
      <c r="L269" s="9">
        <v>3158</v>
      </c>
      <c r="M269" s="9">
        <v>56</v>
      </c>
      <c r="N269" s="12">
        <v>0.54166666666666663</v>
      </c>
      <c r="O269" s="10" t="s">
        <v>30</v>
      </c>
      <c r="P269">
        <f t="shared" si="24"/>
        <v>1</v>
      </c>
      <c r="R269">
        <f t="shared" si="25"/>
        <v>1095</v>
      </c>
      <c r="S269">
        <f t="shared" si="26"/>
        <v>7.8520547945205479</v>
      </c>
      <c r="T269" t="str">
        <f t="shared" si="27"/>
        <v>Medium</v>
      </c>
      <c r="U269">
        <f t="shared" si="28"/>
        <v>2025</v>
      </c>
      <c r="V269">
        <f t="shared" si="29"/>
        <v>6</v>
      </c>
    </row>
    <row r="270" spans="1:22" x14ac:dyDescent="0.3">
      <c r="A270" s="5" t="s">
        <v>311</v>
      </c>
      <c r="B270" s="6">
        <v>20260711</v>
      </c>
      <c r="C270" s="6" t="s">
        <v>40</v>
      </c>
      <c r="D270" s="6" t="s">
        <v>29</v>
      </c>
      <c r="E270" s="6" t="s">
        <v>51</v>
      </c>
      <c r="F270" s="6">
        <v>16835</v>
      </c>
      <c r="G270" s="6">
        <v>18792</v>
      </c>
      <c r="H270" s="6">
        <v>1834</v>
      </c>
      <c r="I270" s="6">
        <v>207</v>
      </c>
      <c r="J270" s="6">
        <v>343</v>
      </c>
      <c r="K270" s="6">
        <v>136</v>
      </c>
      <c r="L270" s="6">
        <v>0</v>
      </c>
      <c r="M270" s="6">
        <v>297</v>
      </c>
      <c r="N270" s="11">
        <v>0.51041666666666663</v>
      </c>
      <c r="O270" s="7" t="s">
        <v>53</v>
      </c>
      <c r="P270">
        <f t="shared" si="24"/>
        <v>1</v>
      </c>
      <c r="R270">
        <f t="shared" si="25"/>
        <v>2520</v>
      </c>
      <c r="S270">
        <f t="shared" si="26"/>
        <v>6.6805555555555554</v>
      </c>
      <c r="T270" t="str">
        <f t="shared" si="27"/>
        <v>Medium</v>
      </c>
      <c r="U270">
        <f t="shared" si="28"/>
        <v>2026</v>
      </c>
      <c r="V270">
        <f t="shared" si="29"/>
        <v>7</v>
      </c>
    </row>
    <row r="271" spans="1:22" x14ac:dyDescent="0.3">
      <c r="A271" s="8" t="s">
        <v>312</v>
      </c>
      <c r="B271" s="9">
        <v>20250706</v>
      </c>
      <c r="C271" s="9" t="s">
        <v>40</v>
      </c>
      <c r="D271" s="9" t="s">
        <v>68</v>
      </c>
      <c r="E271" s="9" t="s">
        <v>22</v>
      </c>
      <c r="F271" s="9">
        <v>16355</v>
      </c>
      <c r="G271" s="9">
        <v>20490</v>
      </c>
      <c r="H271" s="9">
        <v>1010</v>
      </c>
      <c r="I271" s="9">
        <v>42</v>
      </c>
      <c r="J271" s="9">
        <v>177</v>
      </c>
      <c r="K271" s="9">
        <v>36</v>
      </c>
      <c r="L271" s="9">
        <v>0</v>
      </c>
      <c r="M271" s="9">
        <v>178</v>
      </c>
      <c r="N271" s="12">
        <v>0.4375</v>
      </c>
      <c r="O271" s="10" t="s">
        <v>23</v>
      </c>
      <c r="P271">
        <f t="shared" si="24"/>
        <v>1</v>
      </c>
      <c r="R271">
        <f t="shared" si="25"/>
        <v>1265</v>
      </c>
      <c r="S271">
        <f t="shared" si="26"/>
        <v>12.928853754940711</v>
      </c>
      <c r="T271" t="str">
        <f t="shared" si="27"/>
        <v>High</v>
      </c>
      <c r="U271">
        <f t="shared" si="28"/>
        <v>2025</v>
      </c>
      <c r="V271">
        <f t="shared" si="29"/>
        <v>7</v>
      </c>
    </row>
    <row r="272" spans="1:22" x14ac:dyDescent="0.3">
      <c r="A272" s="5" t="s">
        <v>313</v>
      </c>
      <c r="B272" s="6">
        <v>20260401</v>
      </c>
      <c r="C272" s="6" t="s">
        <v>16</v>
      </c>
      <c r="D272" s="6" t="s">
        <v>61</v>
      </c>
      <c r="E272" s="6" t="s">
        <v>46</v>
      </c>
      <c r="F272" s="6">
        <v>57794</v>
      </c>
      <c r="G272" s="6">
        <v>81189</v>
      </c>
      <c r="H272" s="6">
        <v>4261</v>
      </c>
      <c r="I272" s="6">
        <v>457</v>
      </c>
      <c r="J272" s="6">
        <v>249</v>
      </c>
      <c r="K272" s="6">
        <v>208</v>
      </c>
      <c r="L272" s="6">
        <v>24887</v>
      </c>
      <c r="M272" s="6">
        <v>300</v>
      </c>
      <c r="N272" s="11">
        <v>0.39583333333333331</v>
      </c>
      <c r="O272" s="7" t="s">
        <v>34</v>
      </c>
      <c r="P272">
        <f t="shared" si="24"/>
        <v>1</v>
      </c>
      <c r="R272">
        <f t="shared" si="25"/>
        <v>5175</v>
      </c>
      <c r="S272">
        <f t="shared" si="26"/>
        <v>11.167922705314009</v>
      </c>
      <c r="T272" t="str">
        <f t="shared" si="27"/>
        <v>High</v>
      </c>
      <c r="U272">
        <f t="shared" si="28"/>
        <v>2026</v>
      </c>
      <c r="V272">
        <f t="shared" si="29"/>
        <v>4</v>
      </c>
    </row>
    <row r="273" spans="1:22" x14ac:dyDescent="0.3">
      <c r="A273" s="8" t="s">
        <v>314</v>
      </c>
      <c r="B273" s="9">
        <v>20251227</v>
      </c>
      <c r="C273" s="9" t="s">
        <v>16</v>
      </c>
      <c r="D273" s="9" t="s">
        <v>29</v>
      </c>
      <c r="E273" s="9" t="s">
        <v>46</v>
      </c>
      <c r="F273" s="9">
        <v>16751</v>
      </c>
      <c r="G273" s="9">
        <v>19717</v>
      </c>
      <c r="H273" s="9">
        <v>628</v>
      </c>
      <c r="I273" s="9">
        <v>35</v>
      </c>
      <c r="J273" s="9">
        <v>91</v>
      </c>
      <c r="K273" s="9">
        <v>39</v>
      </c>
      <c r="L273" s="9">
        <v>12921</v>
      </c>
      <c r="M273" s="9">
        <v>241</v>
      </c>
      <c r="N273" s="12">
        <v>0.63541666666666663</v>
      </c>
      <c r="O273" s="10" t="s">
        <v>42</v>
      </c>
      <c r="P273">
        <f t="shared" si="24"/>
        <v>1</v>
      </c>
      <c r="R273">
        <f t="shared" si="25"/>
        <v>793</v>
      </c>
      <c r="S273">
        <f t="shared" si="26"/>
        <v>21.123581336696091</v>
      </c>
      <c r="T273" t="str">
        <f t="shared" si="27"/>
        <v>High</v>
      </c>
      <c r="U273">
        <f t="shared" si="28"/>
        <v>2025</v>
      </c>
      <c r="V273">
        <f t="shared" si="29"/>
        <v>12</v>
      </c>
    </row>
    <row r="274" spans="1:22" x14ac:dyDescent="0.3">
      <c r="A274" s="5" t="s">
        <v>315</v>
      </c>
      <c r="B274" s="6">
        <v>20260924</v>
      </c>
      <c r="C274" s="6" t="s">
        <v>32</v>
      </c>
      <c r="D274" s="6" t="s">
        <v>29</v>
      </c>
      <c r="E274" s="6" t="s">
        <v>18</v>
      </c>
      <c r="F274" s="6">
        <v>30094</v>
      </c>
      <c r="G274" s="6">
        <v>37421</v>
      </c>
      <c r="H274" s="6">
        <v>2332</v>
      </c>
      <c r="I274" s="6">
        <v>121</v>
      </c>
      <c r="J274" s="6">
        <v>81</v>
      </c>
      <c r="K274" s="6">
        <v>174</v>
      </c>
      <c r="L274" s="6">
        <v>0</v>
      </c>
      <c r="M274" s="6">
        <v>388</v>
      </c>
      <c r="N274" s="11">
        <v>0.59375</v>
      </c>
      <c r="O274" s="7" t="s">
        <v>30</v>
      </c>
      <c r="P274">
        <f t="shared" si="24"/>
        <v>1</v>
      </c>
      <c r="R274">
        <f t="shared" si="25"/>
        <v>2708</v>
      </c>
      <c r="S274">
        <f t="shared" si="26"/>
        <v>11.112998522895126</v>
      </c>
      <c r="T274" t="str">
        <f t="shared" si="27"/>
        <v>High</v>
      </c>
      <c r="U274">
        <f t="shared" si="28"/>
        <v>2026</v>
      </c>
      <c r="V274">
        <f t="shared" si="29"/>
        <v>9</v>
      </c>
    </row>
    <row r="275" spans="1:22" x14ac:dyDescent="0.3">
      <c r="A275" s="8" t="s">
        <v>316</v>
      </c>
      <c r="B275" s="9">
        <v>20260207</v>
      </c>
      <c r="C275" s="9" t="s">
        <v>16</v>
      </c>
      <c r="D275" s="9" t="s">
        <v>61</v>
      </c>
      <c r="E275" s="9" t="s">
        <v>22</v>
      </c>
      <c r="F275" s="9">
        <v>17174</v>
      </c>
      <c r="G275" s="9">
        <v>18435</v>
      </c>
      <c r="H275" s="9">
        <v>2046</v>
      </c>
      <c r="I275" s="9">
        <v>143</v>
      </c>
      <c r="J275" s="9">
        <v>203</v>
      </c>
      <c r="K275" s="9">
        <v>69</v>
      </c>
      <c r="L275" s="9">
        <v>0</v>
      </c>
      <c r="M275" s="9">
        <v>128</v>
      </c>
      <c r="N275" s="12">
        <v>0.53125</v>
      </c>
      <c r="O275" s="10" t="s">
        <v>38</v>
      </c>
      <c r="P275">
        <f t="shared" si="24"/>
        <v>1</v>
      </c>
      <c r="R275">
        <f t="shared" si="25"/>
        <v>2461</v>
      </c>
      <c r="S275">
        <f t="shared" si="26"/>
        <v>6.9784640390085331</v>
      </c>
      <c r="T275" t="str">
        <f t="shared" si="27"/>
        <v>Medium</v>
      </c>
      <c r="U275">
        <f t="shared" si="28"/>
        <v>2026</v>
      </c>
      <c r="V275">
        <f t="shared" si="29"/>
        <v>2</v>
      </c>
    </row>
    <row r="276" spans="1:22" x14ac:dyDescent="0.3">
      <c r="A276" s="5" t="s">
        <v>317</v>
      </c>
      <c r="B276" s="6">
        <v>20260919</v>
      </c>
      <c r="C276" s="6" t="s">
        <v>40</v>
      </c>
      <c r="D276" s="6"/>
      <c r="E276" s="6" t="s">
        <v>18</v>
      </c>
      <c r="F276" s="6">
        <v>33232</v>
      </c>
      <c r="G276" s="6">
        <v>46404</v>
      </c>
      <c r="H276" s="6">
        <v>2146</v>
      </c>
      <c r="I276" s="6">
        <v>298</v>
      </c>
      <c r="J276" s="6">
        <v>195</v>
      </c>
      <c r="K276" s="6">
        <v>340</v>
      </c>
      <c r="L276" s="6">
        <v>0</v>
      </c>
      <c r="M276" s="6">
        <v>50</v>
      </c>
      <c r="N276" s="11">
        <v>0.625</v>
      </c>
      <c r="O276" s="7" t="s">
        <v>19</v>
      </c>
      <c r="P276">
        <f t="shared" si="24"/>
        <v>1</v>
      </c>
      <c r="R276">
        <f t="shared" si="25"/>
        <v>2979</v>
      </c>
      <c r="S276">
        <f t="shared" si="26"/>
        <v>11.155421282309501</v>
      </c>
      <c r="T276" t="str">
        <f t="shared" si="27"/>
        <v>High</v>
      </c>
      <c r="U276">
        <f t="shared" si="28"/>
        <v>2026</v>
      </c>
      <c r="V276">
        <f t="shared" si="29"/>
        <v>9</v>
      </c>
    </row>
    <row r="277" spans="1:22" x14ac:dyDescent="0.3">
      <c r="A277" s="8" t="s">
        <v>318</v>
      </c>
      <c r="B277" s="9">
        <v>20250616</v>
      </c>
      <c r="C277" s="9" t="s">
        <v>44</v>
      </c>
      <c r="D277" s="9" t="s">
        <v>61</v>
      </c>
      <c r="E277" s="9" t="s">
        <v>51</v>
      </c>
      <c r="F277" s="9">
        <v>30267</v>
      </c>
      <c r="G277" s="9">
        <v>43691</v>
      </c>
      <c r="H277" s="9">
        <v>1324</v>
      </c>
      <c r="I277" s="9">
        <v>174</v>
      </c>
      <c r="J277" s="9">
        <v>199</v>
      </c>
      <c r="K277" s="9">
        <v>170</v>
      </c>
      <c r="L277" s="9">
        <v>0</v>
      </c>
      <c r="M277" s="9">
        <v>120</v>
      </c>
      <c r="N277" s="12">
        <v>0.47916666666666669</v>
      </c>
      <c r="O277" s="10" t="s">
        <v>47</v>
      </c>
      <c r="P277">
        <f t="shared" si="24"/>
        <v>1</v>
      </c>
      <c r="R277">
        <f t="shared" si="25"/>
        <v>1867</v>
      </c>
      <c r="S277">
        <f t="shared" si="26"/>
        <v>16.211569362613819</v>
      </c>
      <c r="T277" t="str">
        <f t="shared" si="27"/>
        <v>High</v>
      </c>
      <c r="U277">
        <f t="shared" si="28"/>
        <v>2025</v>
      </c>
      <c r="V277">
        <f t="shared" si="29"/>
        <v>6</v>
      </c>
    </row>
    <row r="278" spans="1:22" x14ac:dyDescent="0.3">
      <c r="A278" s="5" t="s">
        <v>319</v>
      </c>
      <c r="B278" s="6">
        <v>20260204</v>
      </c>
      <c r="C278" s="6" t="s">
        <v>16</v>
      </c>
      <c r="D278" s="6" t="s">
        <v>21</v>
      </c>
      <c r="E278" s="6" t="s">
        <v>51</v>
      </c>
      <c r="F278" s="6">
        <v>24538</v>
      </c>
      <c r="G278" s="6">
        <v>27725</v>
      </c>
      <c r="H278" s="6">
        <v>1460</v>
      </c>
      <c r="I278" s="6">
        <v>57</v>
      </c>
      <c r="J278" s="6">
        <v>179</v>
      </c>
      <c r="K278" s="6">
        <v>101</v>
      </c>
      <c r="L278" s="6">
        <v>0</v>
      </c>
      <c r="M278" s="6">
        <v>273</v>
      </c>
      <c r="N278" s="11">
        <v>0.45833333333333331</v>
      </c>
      <c r="O278" s="7" t="s">
        <v>23</v>
      </c>
      <c r="P278">
        <f t="shared" si="24"/>
        <v>1</v>
      </c>
      <c r="R278">
        <f t="shared" si="25"/>
        <v>1797</v>
      </c>
      <c r="S278">
        <f t="shared" si="26"/>
        <v>13.654980523094046</v>
      </c>
      <c r="T278" t="str">
        <f t="shared" si="27"/>
        <v>High</v>
      </c>
      <c r="U278">
        <f t="shared" si="28"/>
        <v>2026</v>
      </c>
      <c r="V278">
        <f t="shared" si="29"/>
        <v>2</v>
      </c>
    </row>
    <row r="279" spans="1:22" x14ac:dyDescent="0.3">
      <c r="A279" s="8" t="s">
        <v>320</v>
      </c>
      <c r="B279" s="9">
        <v>20251212</v>
      </c>
      <c r="C279" s="9" t="s">
        <v>44</v>
      </c>
      <c r="D279" s="9" t="s">
        <v>68</v>
      </c>
      <c r="E279" s="9" t="s">
        <v>41</v>
      </c>
      <c r="F279" s="9">
        <v>104606</v>
      </c>
      <c r="G279" s="9">
        <v>161260</v>
      </c>
      <c r="H279" s="9">
        <v>5843</v>
      </c>
      <c r="I279" s="9">
        <v>633</v>
      </c>
      <c r="J279" s="9">
        <v>728</v>
      </c>
      <c r="K279" s="9">
        <v>862</v>
      </c>
      <c r="L279" s="9">
        <v>74029</v>
      </c>
      <c r="M279" s="9">
        <v>639</v>
      </c>
      <c r="N279" s="12">
        <v>0.41666666666666669</v>
      </c>
      <c r="O279" s="10" t="s">
        <v>49</v>
      </c>
      <c r="P279">
        <f t="shared" si="24"/>
        <v>1</v>
      </c>
      <c r="R279">
        <f t="shared" si="25"/>
        <v>8066</v>
      </c>
      <c r="S279">
        <f t="shared" si="26"/>
        <v>12.968757748574262</v>
      </c>
      <c r="T279" t="str">
        <f t="shared" si="27"/>
        <v>High</v>
      </c>
      <c r="U279">
        <f t="shared" si="28"/>
        <v>2025</v>
      </c>
      <c r="V279">
        <f t="shared" si="29"/>
        <v>12</v>
      </c>
    </row>
    <row r="280" spans="1:22" x14ac:dyDescent="0.3">
      <c r="A280" s="5" t="s">
        <v>321</v>
      </c>
      <c r="B280" s="6">
        <v>20251010</v>
      </c>
      <c r="C280" s="6" t="s">
        <v>25</v>
      </c>
      <c r="D280" s="6" t="s">
        <v>17</v>
      </c>
      <c r="E280" s="6" t="s">
        <v>41</v>
      </c>
      <c r="F280" s="6">
        <v>26511</v>
      </c>
      <c r="G280" s="6">
        <v>39981</v>
      </c>
      <c r="H280" s="6">
        <v>2338</v>
      </c>
      <c r="I280" s="6">
        <v>140</v>
      </c>
      <c r="J280" s="6">
        <v>106</v>
      </c>
      <c r="K280" s="6">
        <v>161</v>
      </c>
      <c r="L280" s="6">
        <v>12472</v>
      </c>
      <c r="M280" s="6">
        <v>177</v>
      </c>
      <c r="N280" s="11">
        <v>0.92708333333333337</v>
      </c>
      <c r="O280" s="7" t="s">
        <v>30</v>
      </c>
      <c r="P280">
        <f t="shared" si="24"/>
        <v>1</v>
      </c>
      <c r="R280">
        <f t="shared" si="25"/>
        <v>2745</v>
      </c>
      <c r="S280">
        <f t="shared" si="26"/>
        <v>9.6579234972677597</v>
      </c>
      <c r="T280" t="str">
        <f t="shared" si="27"/>
        <v>Medium</v>
      </c>
      <c r="U280">
        <f t="shared" si="28"/>
        <v>2025</v>
      </c>
      <c r="V280">
        <f t="shared" si="29"/>
        <v>10</v>
      </c>
    </row>
    <row r="281" spans="1:22" x14ac:dyDescent="0.3">
      <c r="A281" s="8" t="s">
        <v>322</v>
      </c>
      <c r="B281" s="9">
        <v>20250907</v>
      </c>
      <c r="C281" s="9" t="s">
        <v>44</v>
      </c>
      <c r="D281" s="9" t="s">
        <v>61</v>
      </c>
      <c r="E281" s="9" t="s">
        <v>51</v>
      </c>
      <c r="F281" s="9">
        <v>52872</v>
      </c>
      <c r="G281" s="9">
        <v>63404</v>
      </c>
      <c r="H281" s="9">
        <v>3832</v>
      </c>
      <c r="I281" s="9">
        <v>176</v>
      </c>
      <c r="J281" s="9">
        <v>248</v>
      </c>
      <c r="K281" s="9">
        <v>405</v>
      </c>
      <c r="L281" s="9">
        <v>0</v>
      </c>
      <c r="M281" s="9">
        <v>883</v>
      </c>
      <c r="N281" s="12">
        <v>0.32291666666666669</v>
      </c>
      <c r="O281" s="10" t="s">
        <v>19</v>
      </c>
      <c r="P281">
        <f t="shared" si="24"/>
        <v>1</v>
      </c>
      <c r="R281">
        <f t="shared" si="25"/>
        <v>4661</v>
      </c>
      <c r="S281">
        <f t="shared" si="26"/>
        <v>11.343488521776443</v>
      </c>
      <c r="T281" t="str">
        <f t="shared" si="27"/>
        <v>High</v>
      </c>
      <c r="U281">
        <f t="shared" si="28"/>
        <v>2025</v>
      </c>
      <c r="V281">
        <f t="shared" si="29"/>
        <v>9</v>
      </c>
    </row>
    <row r="282" spans="1:22" x14ac:dyDescent="0.3">
      <c r="A282" s="5" t="s">
        <v>323</v>
      </c>
      <c r="B282" s="6">
        <v>20250202</v>
      </c>
      <c r="C282" s="6" t="s">
        <v>32</v>
      </c>
      <c r="D282" s="6" t="s">
        <v>17</v>
      </c>
      <c r="E282" s="6" t="s">
        <v>18</v>
      </c>
      <c r="F282" s="6">
        <v>4417</v>
      </c>
      <c r="G282" s="6">
        <v>5412</v>
      </c>
      <c r="H282" s="6">
        <v>232</v>
      </c>
      <c r="I282" s="6">
        <v>29</v>
      </c>
      <c r="J282" s="6">
        <v>13</v>
      </c>
      <c r="K282" s="6">
        <v>21</v>
      </c>
      <c r="L282" s="6">
        <v>0</v>
      </c>
      <c r="M282" s="6">
        <v>75</v>
      </c>
      <c r="N282" s="11">
        <v>0.53125</v>
      </c>
      <c r="O282" s="7" t="s">
        <v>42</v>
      </c>
      <c r="P282">
        <f t="shared" si="24"/>
        <v>1</v>
      </c>
      <c r="R282">
        <f t="shared" si="25"/>
        <v>295</v>
      </c>
      <c r="S282">
        <f t="shared" si="26"/>
        <v>14.972881355932204</v>
      </c>
      <c r="T282" t="str">
        <f t="shared" si="27"/>
        <v>High</v>
      </c>
      <c r="U282">
        <f t="shared" si="28"/>
        <v>2025</v>
      </c>
      <c r="V282">
        <f t="shared" si="29"/>
        <v>2</v>
      </c>
    </row>
    <row r="283" spans="1:22" x14ac:dyDescent="0.3">
      <c r="A283" s="8" t="s">
        <v>324</v>
      </c>
      <c r="B283" s="9">
        <v>20250823</v>
      </c>
      <c r="C283" s="9" t="s">
        <v>44</v>
      </c>
      <c r="D283" s="9" t="s">
        <v>61</v>
      </c>
      <c r="E283" s="9" t="s">
        <v>26</v>
      </c>
      <c r="F283" s="9">
        <v>19289</v>
      </c>
      <c r="G283" s="9">
        <v>21398</v>
      </c>
      <c r="H283" s="9">
        <v>1011</v>
      </c>
      <c r="I283" s="9">
        <v>91</v>
      </c>
      <c r="J283" s="9">
        <v>130</v>
      </c>
      <c r="K283" s="9">
        <v>120</v>
      </c>
      <c r="L283" s="9">
        <v>12565</v>
      </c>
      <c r="M283" s="9">
        <v>262</v>
      </c>
      <c r="N283" s="12">
        <v>0.47916666666666669</v>
      </c>
      <c r="O283" s="10" t="s">
        <v>42</v>
      </c>
      <c r="P283">
        <f t="shared" si="24"/>
        <v>1</v>
      </c>
      <c r="R283">
        <f t="shared" si="25"/>
        <v>1352</v>
      </c>
      <c r="S283">
        <f t="shared" si="26"/>
        <v>14.267011834319527</v>
      </c>
      <c r="T283" t="str">
        <f t="shared" si="27"/>
        <v>High</v>
      </c>
      <c r="U283">
        <f t="shared" si="28"/>
        <v>2025</v>
      </c>
      <c r="V283">
        <f t="shared" si="29"/>
        <v>8</v>
      </c>
    </row>
    <row r="284" spans="1:22" x14ac:dyDescent="0.3">
      <c r="A284" s="5" t="s">
        <v>325</v>
      </c>
      <c r="B284" s="6">
        <v>20250621</v>
      </c>
      <c r="C284" s="6" t="s">
        <v>25</v>
      </c>
      <c r="D284" s="6" t="s">
        <v>36</v>
      </c>
      <c r="E284" s="6" t="s">
        <v>26</v>
      </c>
      <c r="F284" s="6">
        <v>9907</v>
      </c>
      <c r="G284" s="6">
        <v>12770</v>
      </c>
      <c r="H284" s="6">
        <v>580</v>
      </c>
      <c r="I284" s="6">
        <v>32</v>
      </c>
      <c r="J284" s="6">
        <v>54</v>
      </c>
      <c r="K284" s="6">
        <v>68</v>
      </c>
      <c r="L284" s="6">
        <v>5686</v>
      </c>
      <c r="M284" s="6">
        <v>114</v>
      </c>
      <c r="N284" s="11">
        <v>0.38541666666666669</v>
      </c>
      <c r="O284" s="7" t="s">
        <v>53</v>
      </c>
      <c r="P284">
        <f t="shared" si="24"/>
        <v>1</v>
      </c>
      <c r="R284">
        <f t="shared" si="25"/>
        <v>734</v>
      </c>
      <c r="S284">
        <f t="shared" si="26"/>
        <v>13.497275204359672</v>
      </c>
      <c r="T284" t="str">
        <f t="shared" si="27"/>
        <v>High</v>
      </c>
      <c r="U284">
        <f t="shared" si="28"/>
        <v>2025</v>
      </c>
      <c r="V284">
        <f t="shared" si="29"/>
        <v>6</v>
      </c>
    </row>
    <row r="285" spans="1:22" x14ac:dyDescent="0.3">
      <c r="A285" s="8" t="s">
        <v>326</v>
      </c>
      <c r="B285" s="9">
        <v>20251231</v>
      </c>
      <c r="C285" s="9" t="s">
        <v>40</v>
      </c>
      <c r="D285" s="9" t="s">
        <v>33</v>
      </c>
      <c r="E285" s="9" t="s">
        <v>22</v>
      </c>
      <c r="F285" s="9">
        <v>15809</v>
      </c>
      <c r="G285" s="9">
        <v>19979</v>
      </c>
      <c r="H285" s="9">
        <v>1721</v>
      </c>
      <c r="I285" s="9">
        <v>129</v>
      </c>
      <c r="J285" s="9">
        <v>243</v>
      </c>
      <c r="K285" s="9">
        <v>185</v>
      </c>
      <c r="L285" s="9">
        <v>0</v>
      </c>
      <c r="M285" s="9">
        <v>271</v>
      </c>
      <c r="N285" s="12">
        <v>0.58333333333333337</v>
      </c>
      <c r="O285" s="10" t="s">
        <v>19</v>
      </c>
      <c r="P285">
        <f t="shared" si="24"/>
        <v>1</v>
      </c>
      <c r="R285">
        <f t="shared" si="25"/>
        <v>2278</v>
      </c>
      <c r="S285">
        <f t="shared" si="26"/>
        <v>6.9398595258999123</v>
      </c>
      <c r="T285" t="str">
        <f t="shared" si="27"/>
        <v>Medium</v>
      </c>
      <c r="U285">
        <f t="shared" si="28"/>
        <v>2025</v>
      </c>
      <c r="V285">
        <f t="shared" si="29"/>
        <v>12</v>
      </c>
    </row>
    <row r="286" spans="1:22" x14ac:dyDescent="0.3">
      <c r="A286" s="5" t="s">
        <v>327</v>
      </c>
      <c r="B286" s="6">
        <v>20260807</v>
      </c>
      <c r="C286" s="6" t="s">
        <v>44</v>
      </c>
      <c r="D286" s="6" t="s">
        <v>17</v>
      </c>
      <c r="E286" s="6" t="s">
        <v>26</v>
      </c>
      <c r="F286" s="6">
        <v>15046</v>
      </c>
      <c r="G286" s="6">
        <v>21438</v>
      </c>
      <c r="H286" s="6">
        <v>655</v>
      </c>
      <c r="I286" s="6">
        <v>74</v>
      </c>
      <c r="J286" s="6"/>
      <c r="K286" s="6">
        <v>50</v>
      </c>
      <c r="L286" s="6">
        <v>10495</v>
      </c>
      <c r="M286" s="6">
        <v>172</v>
      </c>
      <c r="N286" s="11">
        <v>0.57291666666666663</v>
      </c>
      <c r="O286" s="7" t="s">
        <v>34</v>
      </c>
      <c r="P286">
        <f t="shared" si="24"/>
        <v>1</v>
      </c>
      <c r="R286">
        <f t="shared" si="25"/>
        <v>779</v>
      </c>
      <c r="S286">
        <f t="shared" si="26"/>
        <v>19.314505776636715</v>
      </c>
      <c r="T286" t="str">
        <f t="shared" si="27"/>
        <v>High</v>
      </c>
      <c r="U286">
        <f t="shared" si="28"/>
        <v>2026</v>
      </c>
      <c r="V286">
        <f t="shared" si="29"/>
        <v>8</v>
      </c>
    </row>
    <row r="287" spans="1:22" x14ac:dyDescent="0.3">
      <c r="A287" s="8" t="s">
        <v>328</v>
      </c>
      <c r="B287" s="9">
        <v>20260811</v>
      </c>
      <c r="C287" s="9" t="s">
        <v>44</v>
      </c>
      <c r="D287" s="9" t="s">
        <v>61</v>
      </c>
      <c r="E287" s="9" t="s">
        <v>26</v>
      </c>
      <c r="F287" s="9">
        <v>21060</v>
      </c>
      <c r="G287" s="9">
        <v>27589</v>
      </c>
      <c r="H287" s="9">
        <v>2004</v>
      </c>
      <c r="I287" s="9">
        <v>175</v>
      </c>
      <c r="J287" s="9">
        <v>69</v>
      </c>
      <c r="K287" s="9">
        <v>263</v>
      </c>
      <c r="L287" s="9">
        <v>8483</v>
      </c>
      <c r="M287" s="9">
        <v>304</v>
      </c>
      <c r="N287" s="12">
        <v>0.40625</v>
      </c>
      <c r="O287" s="10" t="s">
        <v>34</v>
      </c>
      <c r="P287">
        <f t="shared" si="24"/>
        <v>1</v>
      </c>
      <c r="R287">
        <f t="shared" si="25"/>
        <v>2511</v>
      </c>
      <c r="S287">
        <f t="shared" si="26"/>
        <v>8.387096774193548</v>
      </c>
      <c r="T287" t="str">
        <f t="shared" si="27"/>
        <v>Medium</v>
      </c>
      <c r="U287">
        <f t="shared" si="28"/>
        <v>2026</v>
      </c>
      <c r="V287">
        <f t="shared" si="29"/>
        <v>8</v>
      </c>
    </row>
    <row r="288" spans="1:22" x14ac:dyDescent="0.3">
      <c r="A288" s="5" t="s">
        <v>329</v>
      </c>
      <c r="B288" s="6">
        <v>20250104</v>
      </c>
      <c r="C288" s="6" t="s">
        <v>32</v>
      </c>
      <c r="D288" s="6" t="s">
        <v>21</v>
      </c>
      <c r="E288" s="6" t="s">
        <v>26</v>
      </c>
      <c r="F288" s="6">
        <v>9574</v>
      </c>
      <c r="G288" s="6">
        <v>15063</v>
      </c>
      <c r="H288" s="6">
        <v>692</v>
      </c>
      <c r="I288" s="6">
        <v>52</v>
      </c>
      <c r="J288" s="6">
        <v>87</v>
      </c>
      <c r="K288" s="6">
        <v>74</v>
      </c>
      <c r="L288" s="6">
        <v>5517</v>
      </c>
      <c r="M288" s="6">
        <v>130</v>
      </c>
      <c r="N288" s="11">
        <v>0.30208333333333331</v>
      </c>
      <c r="O288" s="7" t="s">
        <v>23</v>
      </c>
      <c r="P288">
        <f t="shared" si="24"/>
        <v>1</v>
      </c>
      <c r="R288">
        <f t="shared" si="25"/>
        <v>905</v>
      </c>
      <c r="S288">
        <f t="shared" si="26"/>
        <v>10.579005524861879</v>
      </c>
      <c r="T288" t="str">
        <f t="shared" si="27"/>
        <v>High</v>
      </c>
      <c r="U288">
        <f t="shared" si="28"/>
        <v>2025</v>
      </c>
      <c r="V288">
        <f t="shared" si="29"/>
        <v>1</v>
      </c>
    </row>
    <row r="289" spans="1:22" x14ac:dyDescent="0.3">
      <c r="A289" s="8" t="s">
        <v>330</v>
      </c>
      <c r="B289" s="9">
        <v>20260407</v>
      </c>
      <c r="C289" s="9" t="s">
        <v>16</v>
      </c>
      <c r="D289" s="9" t="s">
        <v>17</v>
      </c>
      <c r="E289" s="9" t="s">
        <v>46</v>
      </c>
      <c r="F289" s="9">
        <v>27177</v>
      </c>
      <c r="G289" s="9">
        <v>36714</v>
      </c>
      <c r="H289" s="9">
        <v>1568</v>
      </c>
      <c r="I289" s="9">
        <v>217</v>
      </c>
      <c r="J289" s="9">
        <v>205</v>
      </c>
      <c r="K289" s="9">
        <v>81</v>
      </c>
      <c r="L289" s="9">
        <v>23481</v>
      </c>
      <c r="M289" s="9">
        <v>190</v>
      </c>
      <c r="N289" s="12">
        <v>0.92708333333333337</v>
      </c>
      <c r="O289" s="10" t="s">
        <v>23</v>
      </c>
      <c r="P289">
        <f t="shared" si="24"/>
        <v>1</v>
      </c>
      <c r="R289">
        <f t="shared" si="25"/>
        <v>2071</v>
      </c>
      <c r="S289">
        <f t="shared" si="26"/>
        <v>13.122646064703043</v>
      </c>
      <c r="T289" t="str">
        <f t="shared" si="27"/>
        <v>High</v>
      </c>
      <c r="U289">
        <f t="shared" si="28"/>
        <v>2026</v>
      </c>
      <c r="V289">
        <f t="shared" si="29"/>
        <v>4</v>
      </c>
    </row>
    <row r="290" spans="1:22" x14ac:dyDescent="0.3">
      <c r="A290" s="5" t="s">
        <v>331</v>
      </c>
      <c r="B290" s="6">
        <v>20260905</v>
      </c>
      <c r="C290" s="6" t="s">
        <v>16</v>
      </c>
      <c r="D290" s="6" t="s">
        <v>17</v>
      </c>
      <c r="E290" s="6" t="s">
        <v>51</v>
      </c>
      <c r="F290" s="6">
        <v>5385</v>
      </c>
      <c r="G290" s="6">
        <v>6324</v>
      </c>
      <c r="H290" s="6">
        <v>645</v>
      </c>
      <c r="I290" s="6">
        <v>23</v>
      </c>
      <c r="J290" s="6">
        <v>22</v>
      </c>
      <c r="K290" s="6">
        <v>92</v>
      </c>
      <c r="L290" s="6">
        <v>0</v>
      </c>
      <c r="M290" s="6">
        <v>81</v>
      </c>
      <c r="N290" s="11">
        <v>0.625</v>
      </c>
      <c r="O290" s="7" t="s">
        <v>27</v>
      </c>
      <c r="P290">
        <f t="shared" si="24"/>
        <v>1</v>
      </c>
      <c r="R290">
        <f t="shared" si="25"/>
        <v>782</v>
      </c>
      <c r="S290">
        <f t="shared" si="26"/>
        <v>6.8861892583120206</v>
      </c>
      <c r="T290" t="str">
        <f t="shared" si="27"/>
        <v>Medium</v>
      </c>
      <c r="U290">
        <f t="shared" si="28"/>
        <v>2026</v>
      </c>
      <c r="V290">
        <f t="shared" si="29"/>
        <v>9</v>
      </c>
    </row>
    <row r="291" spans="1:22" x14ac:dyDescent="0.3">
      <c r="A291" s="8" t="s">
        <v>332</v>
      </c>
      <c r="B291" s="9">
        <v>20260820</v>
      </c>
      <c r="C291" s="9" t="s">
        <v>44</v>
      </c>
      <c r="D291" s="9" t="s">
        <v>21</v>
      </c>
      <c r="E291" s="9" t="s">
        <v>26</v>
      </c>
      <c r="F291" s="9">
        <v>33855</v>
      </c>
      <c r="G291" s="9">
        <v>37742</v>
      </c>
      <c r="H291" s="9">
        <v>3417</v>
      </c>
      <c r="I291" s="9">
        <v>380</v>
      </c>
      <c r="J291" s="9">
        <v>418</v>
      </c>
      <c r="K291" s="9">
        <v>350</v>
      </c>
      <c r="L291" s="9">
        <v>16005</v>
      </c>
      <c r="M291" s="9">
        <v>423</v>
      </c>
      <c r="N291" s="12">
        <v>0.85416666666666663</v>
      </c>
      <c r="O291" s="10" t="s">
        <v>38</v>
      </c>
      <c r="P291">
        <f t="shared" si="24"/>
        <v>1</v>
      </c>
      <c r="R291">
        <f t="shared" si="25"/>
        <v>4565</v>
      </c>
      <c r="S291">
        <f t="shared" si="26"/>
        <v>7.4162102957283684</v>
      </c>
      <c r="T291" t="str">
        <f t="shared" si="27"/>
        <v>Medium</v>
      </c>
      <c r="U291">
        <f t="shared" si="28"/>
        <v>2026</v>
      </c>
      <c r="V291">
        <f t="shared" si="29"/>
        <v>8</v>
      </c>
    </row>
    <row r="292" spans="1:22" x14ac:dyDescent="0.3">
      <c r="A292" s="5" t="s">
        <v>333</v>
      </c>
      <c r="B292" s="6">
        <v>20260515</v>
      </c>
      <c r="C292" s="6" t="s">
        <v>25</v>
      </c>
      <c r="D292" s="6" t="s">
        <v>21</v>
      </c>
      <c r="E292" s="6" t="s">
        <v>18</v>
      </c>
      <c r="F292" s="6">
        <v>7062</v>
      </c>
      <c r="G292" s="6">
        <v>11224</v>
      </c>
      <c r="H292" s="6">
        <v>801</v>
      </c>
      <c r="I292" s="6">
        <v>44</v>
      </c>
      <c r="J292" s="6">
        <v>113</v>
      </c>
      <c r="K292" s="6">
        <v>121</v>
      </c>
      <c r="L292" s="6">
        <v>0</v>
      </c>
      <c r="M292" s="6">
        <v>96</v>
      </c>
      <c r="N292" s="11">
        <v>0.63541666666666663</v>
      </c>
      <c r="O292" s="7" t="s">
        <v>49</v>
      </c>
      <c r="P292">
        <f t="shared" si="24"/>
        <v>1</v>
      </c>
      <c r="R292">
        <f t="shared" si="25"/>
        <v>1079</v>
      </c>
      <c r="S292">
        <f t="shared" si="26"/>
        <v>6.5449490268767381</v>
      </c>
      <c r="T292" t="str">
        <f t="shared" si="27"/>
        <v>Medium</v>
      </c>
      <c r="U292">
        <f t="shared" si="28"/>
        <v>2026</v>
      </c>
      <c r="V292">
        <f t="shared" si="29"/>
        <v>5</v>
      </c>
    </row>
    <row r="293" spans="1:22" x14ac:dyDescent="0.3">
      <c r="A293" s="8" t="s">
        <v>334</v>
      </c>
      <c r="B293" s="9">
        <v>20250721</v>
      </c>
      <c r="C293" s="9" t="s">
        <v>44</v>
      </c>
      <c r="D293" s="9" t="s">
        <v>21</v>
      </c>
      <c r="E293" s="9" t="s">
        <v>18</v>
      </c>
      <c r="F293" s="9">
        <v>24340</v>
      </c>
      <c r="G293" s="9">
        <v>31227</v>
      </c>
      <c r="H293" s="9">
        <v>2280</v>
      </c>
      <c r="I293" s="9">
        <v>258</v>
      </c>
      <c r="J293" s="9">
        <v>237</v>
      </c>
      <c r="K293" s="9">
        <v>233</v>
      </c>
      <c r="L293" s="9">
        <v>0</v>
      </c>
      <c r="M293" s="9">
        <v>325</v>
      </c>
      <c r="N293" s="12">
        <v>0.45833333333333331</v>
      </c>
      <c r="O293" s="10" t="s">
        <v>49</v>
      </c>
      <c r="P293">
        <f t="shared" si="24"/>
        <v>1</v>
      </c>
      <c r="R293">
        <f t="shared" si="25"/>
        <v>3008</v>
      </c>
      <c r="S293">
        <f t="shared" si="26"/>
        <v>8.0917553191489358</v>
      </c>
      <c r="T293" t="str">
        <f t="shared" si="27"/>
        <v>Medium</v>
      </c>
      <c r="U293">
        <f t="shared" si="28"/>
        <v>2025</v>
      </c>
      <c r="V293">
        <f t="shared" si="29"/>
        <v>7</v>
      </c>
    </row>
    <row r="294" spans="1:22" x14ac:dyDescent="0.3">
      <c r="A294" s="5" t="s">
        <v>335</v>
      </c>
      <c r="B294" s="6">
        <v>20250619</v>
      </c>
      <c r="C294" s="6" t="s">
        <v>16</v>
      </c>
      <c r="D294" s="6" t="s">
        <v>17</v>
      </c>
      <c r="E294" s="6" t="s">
        <v>51</v>
      </c>
      <c r="F294" s="6">
        <v>22500</v>
      </c>
      <c r="G294" s="6">
        <v>27222</v>
      </c>
      <c r="H294" s="6">
        <v>1125</v>
      </c>
      <c r="I294" s="6">
        <v>75</v>
      </c>
      <c r="J294" s="6">
        <v>78</v>
      </c>
      <c r="K294" s="6">
        <v>93</v>
      </c>
      <c r="L294" s="6">
        <v>0</v>
      </c>
      <c r="M294" s="6">
        <v>238</v>
      </c>
      <c r="N294" s="11">
        <v>0.625</v>
      </c>
      <c r="O294" s="7" t="s">
        <v>27</v>
      </c>
      <c r="P294">
        <f t="shared" si="24"/>
        <v>1</v>
      </c>
      <c r="R294">
        <f t="shared" si="25"/>
        <v>1371</v>
      </c>
      <c r="S294">
        <f t="shared" si="26"/>
        <v>16.411378555798688</v>
      </c>
      <c r="T294" t="str">
        <f t="shared" si="27"/>
        <v>High</v>
      </c>
      <c r="U294">
        <f t="shared" si="28"/>
        <v>2025</v>
      </c>
      <c r="V294">
        <f t="shared" si="29"/>
        <v>6</v>
      </c>
    </row>
    <row r="295" spans="1:22" x14ac:dyDescent="0.3">
      <c r="A295" s="8" t="s">
        <v>336</v>
      </c>
      <c r="B295" s="9">
        <v>20250527</v>
      </c>
      <c r="C295" s="9" t="s">
        <v>40</v>
      </c>
      <c r="D295" s="9" t="s">
        <v>21</v>
      </c>
      <c r="E295" s="9" t="s">
        <v>18</v>
      </c>
      <c r="F295" s="9">
        <v>14598</v>
      </c>
      <c r="G295" s="9">
        <v>19122</v>
      </c>
      <c r="H295" s="9">
        <v>579</v>
      </c>
      <c r="I295" s="9">
        <v>32</v>
      </c>
      <c r="J295" s="9">
        <v>84</v>
      </c>
      <c r="K295" s="9">
        <v>28</v>
      </c>
      <c r="L295" s="9">
        <v>0</v>
      </c>
      <c r="M295" s="9">
        <v>33</v>
      </c>
      <c r="N295" s="12">
        <v>0.64583333333333337</v>
      </c>
      <c r="O295" s="10" t="s">
        <v>38</v>
      </c>
      <c r="P295">
        <f t="shared" si="24"/>
        <v>1</v>
      </c>
      <c r="R295">
        <f t="shared" si="25"/>
        <v>723</v>
      </c>
      <c r="S295">
        <f t="shared" si="26"/>
        <v>20.190871369294605</v>
      </c>
      <c r="T295" t="str">
        <f t="shared" si="27"/>
        <v>High</v>
      </c>
      <c r="U295">
        <f t="shared" si="28"/>
        <v>2025</v>
      </c>
      <c r="V295">
        <f t="shared" si="29"/>
        <v>5</v>
      </c>
    </row>
    <row r="296" spans="1:22" x14ac:dyDescent="0.3">
      <c r="A296" s="5" t="s">
        <v>337</v>
      </c>
      <c r="B296" s="6">
        <v>20250405</v>
      </c>
      <c r="C296" s="6" t="s">
        <v>32</v>
      </c>
      <c r="D296" s="6" t="s">
        <v>33</v>
      </c>
      <c r="E296" s="6" t="s">
        <v>51</v>
      </c>
      <c r="F296" s="6">
        <v>20693</v>
      </c>
      <c r="G296" s="6">
        <v>30972</v>
      </c>
      <c r="H296" s="6">
        <v>1425</v>
      </c>
      <c r="I296" s="6">
        <v>160</v>
      </c>
      <c r="J296" s="6">
        <v>43</v>
      </c>
      <c r="K296" s="6">
        <v>196</v>
      </c>
      <c r="L296" s="6">
        <v>0</v>
      </c>
      <c r="M296" s="6">
        <v>184</v>
      </c>
      <c r="N296" s="11">
        <v>0.88541666666666663</v>
      </c>
      <c r="O296" s="7" t="s">
        <v>49</v>
      </c>
      <c r="P296">
        <f t="shared" si="24"/>
        <v>1</v>
      </c>
      <c r="R296">
        <f t="shared" si="25"/>
        <v>1824</v>
      </c>
      <c r="S296">
        <f t="shared" si="26"/>
        <v>11.34484649122807</v>
      </c>
      <c r="T296" t="str">
        <f t="shared" si="27"/>
        <v>High</v>
      </c>
      <c r="U296">
        <f t="shared" si="28"/>
        <v>2025</v>
      </c>
      <c r="V296">
        <f t="shared" si="29"/>
        <v>4</v>
      </c>
    </row>
    <row r="297" spans="1:22" x14ac:dyDescent="0.3">
      <c r="A297" s="8" t="s">
        <v>338</v>
      </c>
      <c r="B297" s="9">
        <v>20251222</v>
      </c>
      <c r="C297" s="9" t="s">
        <v>40</v>
      </c>
      <c r="D297" s="9" t="s">
        <v>21</v>
      </c>
      <c r="E297" s="9" t="s">
        <v>41</v>
      </c>
      <c r="F297" s="9">
        <v>21422</v>
      </c>
      <c r="G297" s="9">
        <v>33267</v>
      </c>
      <c r="H297" s="9">
        <v>1705</v>
      </c>
      <c r="I297" s="9">
        <v>117</v>
      </c>
      <c r="J297" s="9">
        <v>317</v>
      </c>
      <c r="K297" s="9">
        <v>103</v>
      </c>
      <c r="L297" s="9">
        <v>16975</v>
      </c>
      <c r="M297" s="9">
        <v>83</v>
      </c>
      <c r="N297" s="12">
        <v>0.29166666666666669</v>
      </c>
      <c r="O297" s="10" t="s">
        <v>34</v>
      </c>
      <c r="P297">
        <f t="shared" si="24"/>
        <v>1</v>
      </c>
      <c r="R297">
        <f t="shared" si="25"/>
        <v>2242</v>
      </c>
      <c r="S297">
        <f t="shared" si="26"/>
        <v>9.5548617305976808</v>
      </c>
      <c r="T297" t="str">
        <f t="shared" si="27"/>
        <v>Medium</v>
      </c>
      <c r="U297">
        <f t="shared" si="28"/>
        <v>2025</v>
      </c>
      <c r="V297">
        <f t="shared" si="29"/>
        <v>12</v>
      </c>
    </row>
    <row r="298" spans="1:22" x14ac:dyDescent="0.3">
      <c r="A298" s="5" t="s">
        <v>339</v>
      </c>
      <c r="B298" s="6">
        <v>20250617</v>
      </c>
      <c r="C298" s="6" t="s">
        <v>40</v>
      </c>
      <c r="D298" s="6" t="s">
        <v>61</v>
      </c>
      <c r="E298" s="6" t="s">
        <v>18</v>
      </c>
      <c r="F298" s="6">
        <v>13854</v>
      </c>
      <c r="G298" s="6">
        <v>15519</v>
      </c>
      <c r="H298" s="6">
        <v>716</v>
      </c>
      <c r="I298" s="6">
        <v>71</v>
      </c>
      <c r="J298" s="6">
        <v>37</v>
      </c>
      <c r="K298" s="6">
        <v>81</v>
      </c>
      <c r="L298" s="6">
        <v>0</v>
      </c>
      <c r="M298" s="6">
        <v>149</v>
      </c>
      <c r="N298" s="11">
        <v>0.86458333333333337</v>
      </c>
      <c r="O298" s="7" t="s">
        <v>23</v>
      </c>
      <c r="P298">
        <f t="shared" si="24"/>
        <v>1</v>
      </c>
      <c r="R298">
        <f t="shared" si="25"/>
        <v>905</v>
      </c>
      <c r="S298">
        <f t="shared" si="26"/>
        <v>15.308287292817679</v>
      </c>
      <c r="T298" t="str">
        <f t="shared" si="27"/>
        <v>High</v>
      </c>
      <c r="U298">
        <f t="shared" si="28"/>
        <v>2025</v>
      </c>
      <c r="V298">
        <f t="shared" si="29"/>
        <v>6</v>
      </c>
    </row>
    <row r="299" spans="1:22" x14ac:dyDescent="0.3">
      <c r="A299" s="8" t="s">
        <v>340</v>
      </c>
      <c r="B299" s="9">
        <v>20260216</v>
      </c>
      <c r="C299" s="9" t="s">
        <v>44</v>
      </c>
      <c r="D299" s="9" t="s">
        <v>36</v>
      </c>
      <c r="E299" s="9" t="s">
        <v>22</v>
      </c>
      <c r="F299" s="9">
        <v>40813</v>
      </c>
      <c r="G299" s="9">
        <v>48838</v>
      </c>
      <c r="H299" s="9">
        <v>4062</v>
      </c>
      <c r="I299" s="9">
        <v>534</v>
      </c>
      <c r="J299" s="9">
        <v>403</v>
      </c>
      <c r="K299" s="9">
        <v>272</v>
      </c>
      <c r="L299" s="9">
        <v>0</v>
      </c>
      <c r="M299" s="9">
        <v>129</v>
      </c>
      <c r="N299" s="12">
        <v>0.80208333333333337</v>
      </c>
      <c r="O299" s="10" t="s">
        <v>19</v>
      </c>
      <c r="P299">
        <f t="shared" si="24"/>
        <v>1</v>
      </c>
      <c r="R299">
        <f t="shared" si="25"/>
        <v>5271</v>
      </c>
      <c r="S299">
        <f t="shared" si="26"/>
        <v>7.7429330297856191</v>
      </c>
      <c r="T299" t="str">
        <f t="shared" si="27"/>
        <v>Medium</v>
      </c>
      <c r="U299">
        <f t="shared" si="28"/>
        <v>2026</v>
      </c>
      <c r="V299">
        <f t="shared" si="29"/>
        <v>2</v>
      </c>
    </row>
    <row r="300" spans="1:22" x14ac:dyDescent="0.3">
      <c r="A300" s="5" t="s">
        <v>341</v>
      </c>
      <c r="B300" s="6">
        <v>20251222</v>
      </c>
      <c r="C300" s="6" t="s">
        <v>25</v>
      </c>
      <c r="D300" s="6" t="s">
        <v>29</v>
      </c>
      <c r="E300" s="6" t="s">
        <v>46</v>
      </c>
      <c r="F300" s="6">
        <v>20266</v>
      </c>
      <c r="G300" s="6">
        <v>27737</v>
      </c>
      <c r="H300" s="6">
        <v>1991</v>
      </c>
      <c r="I300" s="6">
        <v>73</v>
      </c>
      <c r="J300" s="6">
        <v>168</v>
      </c>
      <c r="K300" s="6">
        <v>141</v>
      </c>
      <c r="L300" s="6">
        <v>15361</v>
      </c>
      <c r="M300" s="6">
        <v>175</v>
      </c>
      <c r="N300" s="11">
        <v>0.64583333333333337</v>
      </c>
      <c r="O300" s="7" t="s">
        <v>47</v>
      </c>
      <c r="P300">
        <f t="shared" si="24"/>
        <v>1</v>
      </c>
      <c r="R300">
        <f t="shared" si="25"/>
        <v>2373</v>
      </c>
      <c r="S300">
        <f t="shared" si="26"/>
        <v>8.5402444163506104</v>
      </c>
      <c r="T300" t="str">
        <f t="shared" si="27"/>
        <v>Medium</v>
      </c>
      <c r="U300">
        <f t="shared" si="28"/>
        <v>2025</v>
      </c>
      <c r="V300">
        <f t="shared" si="29"/>
        <v>12</v>
      </c>
    </row>
    <row r="301" spans="1:22" x14ac:dyDescent="0.3">
      <c r="A301" s="8" t="s">
        <v>342</v>
      </c>
      <c r="B301" s="9">
        <v>20250425</v>
      </c>
      <c r="C301" s="9" t="s">
        <v>44</v>
      </c>
      <c r="D301" s="9" t="s">
        <v>17</v>
      </c>
      <c r="E301" s="9" t="s">
        <v>51</v>
      </c>
      <c r="F301" s="9">
        <v>61000</v>
      </c>
      <c r="G301" s="9">
        <v>95797</v>
      </c>
      <c r="H301" s="9">
        <v>6354</v>
      </c>
      <c r="I301" s="9">
        <v>479</v>
      </c>
      <c r="J301" s="9">
        <v>1081</v>
      </c>
      <c r="K301" s="9">
        <v>833</v>
      </c>
      <c r="L301" s="9">
        <v>0</v>
      </c>
      <c r="M301" s="9">
        <v>836</v>
      </c>
      <c r="N301" s="12">
        <v>0.69791666666666663</v>
      </c>
      <c r="O301" s="10" t="s">
        <v>23</v>
      </c>
      <c r="P301">
        <f t="shared" si="24"/>
        <v>1</v>
      </c>
      <c r="R301">
        <f t="shared" si="25"/>
        <v>8747</v>
      </c>
      <c r="S301">
        <f t="shared" si="26"/>
        <v>6.9738195952898137</v>
      </c>
      <c r="T301" t="str">
        <f t="shared" si="27"/>
        <v>Medium</v>
      </c>
      <c r="U301">
        <f t="shared" si="28"/>
        <v>2025</v>
      </c>
      <c r="V301">
        <f t="shared" si="29"/>
        <v>4</v>
      </c>
    </row>
    <row r="302" spans="1:22" x14ac:dyDescent="0.3">
      <c r="A302" s="5" t="s">
        <v>343</v>
      </c>
      <c r="B302" s="6">
        <v>20260521</v>
      </c>
      <c r="C302" s="6" t="s">
        <v>25</v>
      </c>
      <c r="D302" s="6" t="s">
        <v>61</v>
      </c>
      <c r="E302" s="6" t="s">
        <v>46</v>
      </c>
      <c r="F302" s="6">
        <v>11066</v>
      </c>
      <c r="G302" s="6">
        <v>14075</v>
      </c>
      <c r="H302" s="6">
        <v>997</v>
      </c>
      <c r="I302" s="6">
        <v>29</v>
      </c>
      <c r="J302" s="6">
        <v>118</v>
      </c>
      <c r="K302" s="6">
        <v>140</v>
      </c>
      <c r="L302" s="6">
        <v>4165</v>
      </c>
      <c r="M302" s="6">
        <v>42</v>
      </c>
      <c r="N302" s="11">
        <v>0.91666666666666663</v>
      </c>
      <c r="O302" s="7" t="s">
        <v>23</v>
      </c>
      <c r="P302">
        <f t="shared" si="24"/>
        <v>1</v>
      </c>
      <c r="R302">
        <f t="shared" si="25"/>
        <v>1284</v>
      </c>
      <c r="S302">
        <f t="shared" si="26"/>
        <v>8.6183800623052953</v>
      </c>
      <c r="T302" t="str">
        <f t="shared" si="27"/>
        <v>Medium</v>
      </c>
      <c r="U302">
        <f t="shared" si="28"/>
        <v>2026</v>
      </c>
      <c r="V302">
        <f t="shared" si="29"/>
        <v>5</v>
      </c>
    </row>
    <row r="303" spans="1:22" x14ac:dyDescent="0.3">
      <c r="A303" s="8" t="s">
        <v>344</v>
      </c>
      <c r="B303" s="9">
        <v>20260609</v>
      </c>
      <c r="C303" s="9" t="s">
        <v>25</v>
      </c>
      <c r="D303" s="9" t="s">
        <v>61</v>
      </c>
      <c r="E303" s="9" t="s">
        <v>51</v>
      </c>
      <c r="F303" s="9">
        <v>5499</v>
      </c>
      <c r="G303" s="9">
        <v>8044</v>
      </c>
      <c r="H303" s="9">
        <v>383</v>
      </c>
      <c r="I303" s="9">
        <v>16</v>
      </c>
      <c r="J303" s="9">
        <v>65</v>
      </c>
      <c r="K303" s="9">
        <v>29</v>
      </c>
      <c r="L303" s="9">
        <v>0</v>
      </c>
      <c r="M303" s="9">
        <v>35</v>
      </c>
      <c r="N303" s="12">
        <v>0.36458333333333331</v>
      </c>
      <c r="O303" s="10" t="s">
        <v>38</v>
      </c>
      <c r="P303">
        <f t="shared" si="24"/>
        <v>1</v>
      </c>
      <c r="R303">
        <f t="shared" si="25"/>
        <v>493</v>
      </c>
      <c r="S303">
        <f t="shared" si="26"/>
        <v>11.154158215010142</v>
      </c>
      <c r="T303" t="str">
        <f t="shared" si="27"/>
        <v>High</v>
      </c>
      <c r="U303">
        <f t="shared" si="28"/>
        <v>2026</v>
      </c>
      <c r="V303">
        <f t="shared" si="29"/>
        <v>6</v>
      </c>
    </row>
    <row r="304" spans="1:22" x14ac:dyDescent="0.3">
      <c r="A304" s="5" t="s">
        <v>345</v>
      </c>
      <c r="B304" s="6">
        <v>20260701</v>
      </c>
      <c r="C304" s="6" t="s">
        <v>40</v>
      </c>
      <c r="D304" s="6" t="s">
        <v>61</v>
      </c>
      <c r="E304" s="6" t="s">
        <v>41</v>
      </c>
      <c r="F304" s="6">
        <v>50954</v>
      </c>
      <c r="G304" s="6">
        <v>74895</v>
      </c>
      <c r="H304" s="6">
        <v>3964</v>
      </c>
      <c r="I304" s="6">
        <v>275</v>
      </c>
      <c r="J304" s="6">
        <v>182</v>
      </c>
      <c r="K304" s="6">
        <v>524</v>
      </c>
      <c r="L304" s="6">
        <v>19722</v>
      </c>
      <c r="M304" s="6">
        <v>745</v>
      </c>
      <c r="N304" s="11">
        <v>0.67708333333333337</v>
      </c>
      <c r="O304" s="7" t="s">
        <v>23</v>
      </c>
      <c r="P304">
        <f t="shared" si="24"/>
        <v>1</v>
      </c>
      <c r="R304">
        <f t="shared" si="25"/>
        <v>4945</v>
      </c>
      <c r="S304">
        <f t="shared" si="26"/>
        <v>10.304145601617796</v>
      </c>
      <c r="T304" t="str">
        <f t="shared" si="27"/>
        <v>High</v>
      </c>
      <c r="U304">
        <f t="shared" si="28"/>
        <v>2026</v>
      </c>
      <c r="V304">
        <f t="shared" si="29"/>
        <v>7</v>
      </c>
    </row>
    <row r="305" spans="1:22" x14ac:dyDescent="0.3">
      <c r="A305" s="8" t="s">
        <v>346</v>
      </c>
      <c r="B305" s="9">
        <v>20250320</v>
      </c>
      <c r="C305" s="9" t="s">
        <v>16</v>
      </c>
      <c r="D305" s="9" t="s">
        <v>36</v>
      </c>
      <c r="E305" s="9" t="s">
        <v>41</v>
      </c>
      <c r="F305" s="9">
        <v>41477</v>
      </c>
      <c r="G305" s="9">
        <v>53153</v>
      </c>
      <c r="H305" s="9">
        <v>2401</v>
      </c>
      <c r="I305" s="9">
        <v>107</v>
      </c>
      <c r="J305" s="9">
        <v>384</v>
      </c>
      <c r="K305" s="9">
        <v>358</v>
      </c>
      <c r="L305" s="9">
        <v>18908</v>
      </c>
      <c r="M305" s="9">
        <v>562</v>
      </c>
      <c r="N305" s="12">
        <v>0.8125</v>
      </c>
      <c r="O305" s="10" t="s">
        <v>27</v>
      </c>
      <c r="P305">
        <f t="shared" si="24"/>
        <v>1</v>
      </c>
      <c r="R305">
        <f t="shared" si="25"/>
        <v>3250</v>
      </c>
      <c r="S305">
        <f t="shared" si="26"/>
        <v>12.762153846153845</v>
      </c>
      <c r="T305" t="str">
        <f t="shared" si="27"/>
        <v>High</v>
      </c>
      <c r="U305">
        <f t="shared" si="28"/>
        <v>2025</v>
      </c>
      <c r="V305">
        <f t="shared" si="29"/>
        <v>3</v>
      </c>
    </row>
    <row r="306" spans="1:22" x14ac:dyDescent="0.3">
      <c r="A306" s="5" t="s">
        <v>347</v>
      </c>
      <c r="B306" s="6">
        <v>20260416</v>
      </c>
      <c r="C306" s="6" t="s">
        <v>25</v>
      </c>
      <c r="D306" s="6" t="s">
        <v>29</v>
      </c>
      <c r="E306" s="6" t="s">
        <v>46</v>
      </c>
      <c r="F306" s="6">
        <v>13557</v>
      </c>
      <c r="G306" s="6">
        <v>19901</v>
      </c>
      <c r="H306" s="6">
        <v>443</v>
      </c>
      <c r="I306" s="6">
        <v>58</v>
      </c>
      <c r="J306" s="6">
        <v>14</v>
      </c>
      <c r="K306" s="6">
        <v>20</v>
      </c>
      <c r="L306" s="6">
        <v>5635</v>
      </c>
      <c r="M306" s="6">
        <v>87</v>
      </c>
      <c r="N306" s="11">
        <v>0.47916666666666669</v>
      </c>
      <c r="O306" s="7" t="s">
        <v>47</v>
      </c>
      <c r="P306">
        <f t="shared" si="24"/>
        <v>1</v>
      </c>
      <c r="R306">
        <f t="shared" si="25"/>
        <v>535</v>
      </c>
      <c r="S306">
        <f t="shared" si="26"/>
        <v>25.340186915887852</v>
      </c>
      <c r="T306" t="str">
        <f t="shared" si="27"/>
        <v>High</v>
      </c>
      <c r="U306">
        <f t="shared" si="28"/>
        <v>2026</v>
      </c>
      <c r="V306">
        <f t="shared" si="29"/>
        <v>4</v>
      </c>
    </row>
    <row r="307" spans="1:22" x14ac:dyDescent="0.3">
      <c r="A307" s="8" t="s">
        <v>348</v>
      </c>
      <c r="B307" s="9">
        <v>20260311</v>
      </c>
      <c r="C307" s="9" t="s">
        <v>32</v>
      </c>
      <c r="D307" s="9" t="s">
        <v>21</v>
      </c>
      <c r="E307" s="9" t="s">
        <v>26</v>
      </c>
      <c r="F307" s="9">
        <v>13289</v>
      </c>
      <c r="G307" s="9">
        <v>20851</v>
      </c>
      <c r="H307" s="9">
        <v>451</v>
      </c>
      <c r="I307" s="9">
        <v>37</v>
      </c>
      <c r="J307" s="9">
        <v>90</v>
      </c>
      <c r="K307" s="9">
        <v>44</v>
      </c>
      <c r="L307" s="9">
        <v>11748</v>
      </c>
      <c r="M307" s="9">
        <v>85</v>
      </c>
      <c r="N307" s="12">
        <v>0.82291666666666663</v>
      </c>
      <c r="O307" s="10" t="s">
        <v>27</v>
      </c>
      <c r="P307">
        <f t="shared" si="24"/>
        <v>1</v>
      </c>
      <c r="R307">
        <f t="shared" si="25"/>
        <v>622</v>
      </c>
      <c r="S307">
        <f t="shared" si="26"/>
        <v>21.364951768488744</v>
      </c>
      <c r="T307" t="str">
        <f t="shared" si="27"/>
        <v>High</v>
      </c>
      <c r="U307">
        <f t="shared" si="28"/>
        <v>2026</v>
      </c>
      <c r="V307">
        <f t="shared" si="29"/>
        <v>3</v>
      </c>
    </row>
    <row r="308" spans="1:22" x14ac:dyDescent="0.3">
      <c r="A308" s="5" t="s">
        <v>349</v>
      </c>
      <c r="B308" s="6">
        <v>20260623</v>
      </c>
      <c r="C308" s="6" t="s">
        <v>32</v>
      </c>
      <c r="D308" s="6" t="s">
        <v>36</v>
      </c>
      <c r="E308" s="6" t="s">
        <v>46</v>
      </c>
      <c r="F308" s="6">
        <v>18093</v>
      </c>
      <c r="G308" s="6">
        <v>28023</v>
      </c>
      <c r="H308" s="6">
        <v>685</v>
      </c>
      <c r="I308" s="6">
        <v>20</v>
      </c>
      <c r="J308" s="6">
        <v>118</v>
      </c>
      <c r="K308" s="6">
        <v>51</v>
      </c>
      <c r="L308" s="6">
        <v>10408</v>
      </c>
      <c r="M308" s="6">
        <v>68</v>
      </c>
      <c r="N308" s="11">
        <v>0.5</v>
      </c>
      <c r="O308" s="7" t="s">
        <v>23</v>
      </c>
      <c r="P308">
        <f t="shared" si="24"/>
        <v>1</v>
      </c>
      <c r="R308">
        <f t="shared" si="25"/>
        <v>874</v>
      </c>
      <c r="S308">
        <f t="shared" si="26"/>
        <v>20.701372997711669</v>
      </c>
      <c r="T308" t="str">
        <f t="shared" si="27"/>
        <v>High</v>
      </c>
      <c r="U308">
        <f t="shared" si="28"/>
        <v>2026</v>
      </c>
      <c r="V308">
        <f t="shared" si="29"/>
        <v>6</v>
      </c>
    </row>
    <row r="309" spans="1:22" x14ac:dyDescent="0.3">
      <c r="A309" s="8" t="s">
        <v>350</v>
      </c>
      <c r="B309" s="9">
        <v>20260610</v>
      </c>
      <c r="C309" s="9" t="s">
        <v>40</v>
      </c>
      <c r="D309" s="9" t="s">
        <v>17</v>
      </c>
      <c r="E309" s="9" t="s">
        <v>18</v>
      </c>
      <c r="F309" s="9">
        <v>31344</v>
      </c>
      <c r="G309" s="9">
        <v>34283</v>
      </c>
      <c r="H309" s="9">
        <v>2860</v>
      </c>
      <c r="I309" s="9">
        <v>241</v>
      </c>
      <c r="J309" s="9">
        <v>366</v>
      </c>
      <c r="K309" s="9">
        <v>203</v>
      </c>
      <c r="L309" s="9">
        <v>0</v>
      </c>
      <c r="M309" s="9">
        <v>415</v>
      </c>
      <c r="N309" s="12">
        <v>0.51041666666666663</v>
      </c>
      <c r="O309" s="10" t="s">
        <v>27</v>
      </c>
      <c r="P309">
        <f t="shared" si="24"/>
        <v>1</v>
      </c>
      <c r="R309">
        <f t="shared" si="25"/>
        <v>3670</v>
      </c>
      <c r="S309">
        <f t="shared" si="26"/>
        <v>8.5405994550408728</v>
      </c>
      <c r="T309" t="str">
        <f t="shared" si="27"/>
        <v>Medium</v>
      </c>
      <c r="U309">
        <f t="shared" si="28"/>
        <v>2026</v>
      </c>
      <c r="V309">
        <f t="shared" si="29"/>
        <v>6</v>
      </c>
    </row>
    <row r="310" spans="1:22" x14ac:dyDescent="0.3">
      <c r="A310" s="5" t="s">
        <v>351</v>
      </c>
      <c r="B310" s="6">
        <v>20260418</v>
      </c>
      <c r="C310" s="6" t="s">
        <v>25</v>
      </c>
      <c r="D310" s="6" t="s">
        <v>17</v>
      </c>
      <c r="E310" s="6" t="s">
        <v>51</v>
      </c>
      <c r="F310" s="6">
        <v>6493</v>
      </c>
      <c r="G310" s="6">
        <v>8546</v>
      </c>
      <c r="H310" s="6">
        <v>422</v>
      </c>
      <c r="I310" s="6">
        <v>35</v>
      </c>
      <c r="J310" s="6">
        <v>47</v>
      </c>
      <c r="K310" s="6">
        <v>47</v>
      </c>
      <c r="L310" s="6">
        <v>0</v>
      </c>
      <c r="M310" s="6">
        <v>48</v>
      </c>
      <c r="N310" s="11">
        <v>0.90625</v>
      </c>
      <c r="O310" s="7" t="s">
        <v>34</v>
      </c>
      <c r="P310">
        <f t="shared" si="24"/>
        <v>1</v>
      </c>
      <c r="R310">
        <f t="shared" si="25"/>
        <v>551</v>
      </c>
      <c r="S310">
        <f t="shared" si="26"/>
        <v>11.784029038112523</v>
      </c>
      <c r="T310" t="str">
        <f t="shared" si="27"/>
        <v>High</v>
      </c>
      <c r="U310">
        <f t="shared" si="28"/>
        <v>2026</v>
      </c>
      <c r="V310">
        <f t="shared" si="29"/>
        <v>4</v>
      </c>
    </row>
    <row r="311" spans="1:22" x14ac:dyDescent="0.3">
      <c r="A311" s="8" t="s">
        <v>352</v>
      </c>
      <c r="B311" s="9">
        <v>20250220</v>
      </c>
      <c r="C311" s="9" t="s">
        <v>16</v>
      </c>
      <c r="D311" s="9" t="s">
        <v>17</v>
      </c>
      <c r="E311" s="9" t="s">
        <v>41</v>
      </c>
      <c r="F311" s="9">
        <v>130299</v>
      </c>
      <c r="G311" s="9">
        <v>192827</v>
      </c>
      <c r="H311" s="9">
        <v>13915</v>
      </c>
      <c r="I311" s="9">
        <v>395</v>
      </c>
      <c r="J311" s="9">
        <v>610</v>
      </c>
      <c r="K311" s="9">
        <v>1676</v>
      </c>
      <c r="L311" s="9">
        <v>98763</v>
      </c>
      <c r="M311" s="9">
        <v>1958</v>
      </c>
      <c r="N311" s="12">
        <v>0.54166666666666663</v>
      </c>
      <c r="O311" s="10" t="s">
        <v>19</v>
      </c>
      <c r="P311">
        <f t="shared" si="24"/>
        <v>1</v>
      </c>
      <c r="R311">
        <f t="shared" si="25"/>
        <v>16596</v>
      </c>
      <c r="S311">
        <f t="shared" si="26"/>
        <v>7.8512292118582794</v>
      </c>
      <c r="T311" t="str">
        <f t="shared" si="27"/>
        <v>Medium</v>
      </c>
      <c r="U311">
        <f t="shared" si="28"/>
        <v>2025</v>
      </c>
      <c r="V311">
        <f t="shared" si="29"/>
        <v>2</v>
      </c>
    </row>
    <row r="312" spans="1:22" x14ac:dyDescent="0.3">
      <c r="A312" s="5" t="s">
        <v>353</v>
      </c>
      <c r="B312" s="6">
        <v>20260107</v>
      </c>
      <c r="C312" s="6" t="s">
        <v>25</v>
      </c>
      <c r="D312" s="6" t="s">
        <v>68</v>
      </c>
      <c r="E312" s="6" t="s">
        <v>41</v>
      </c>
      <c r="F312" s="6">
        <v>5164</v>
      </c>
      <c r="G312" s="6">
        <v>7528</v>
      </c>
      <c r="H312" s="6">
        <v>617</v>
      </c>
      <c r="I312" s="6">
        <v>80</v>
      </c>
      <c r="J312" s="6">
        <v>86</v>
      </c>
      <c r="K312" s="6">
        <v>32</v>
      </c>
      <c r="L312" s="6">
        <v>3025</v>
      </c>
      <c r="M312" s="6">
        <v>85</v>
      </c>
      <c r="N312" s="11">
        <v>0.42708333333333331</v>
      </c>
      <c r="O312" s="7" t="s">
        <v>30</v>
      </c>
      <c r="P312">
        <f t="shared" si="24"/>
        <v>1</v>
      </c>
      <c r="R312">
        <f t="shared" si="25"/>
        <v>815</v>
      </c>
      <c r="S312">
        <f t="shared" si="26"/>
        <v>6.3361963190184047</v>
      </c>
      <c r="T312" t="str">
        <f t="shared" si="27"/>
        <v>Medium</v>
      </c>
      <c r="U312">
        <f t="shared" si="28"/>
        <v>2026</v>
      </c>
      <c r="V312">
        <f t="shared" si="29"/>
        <v>1</v>
      </c>
    </row>
    <row r="313" spans="1:22" x14ac:dyDescent="0.3">
      <c r="A313" s="8" t="s">
        <v>354</v>
      </c>
      <c r="B313" s="9">
        <v>20251109</v>
      </c>
      <c r="C313" s="9" t="s">
        <v>16</v>
      </c>
      <c r="D313" s="9" t="s">
        <v>21</v>
      </c>
      <c r="E313" s="9" t="s">
        <v>46</v>
      </c>
      <c r="F313" s="9">
        <v>33093</v>
      </c>
      <c r="G313" s="9">
        <v>41314</v>
      </c>
      <c r="H313" s="9">
        <v>2307</v>
      </c>
      <c r="I313" s="9">
        <v>110</v>
      </c>
      <c r="J313" s="9">
        <v>442</v>
      </c>
      <c r="K313" s="9">
        <v>100</v>
      </c>
      <c r="L313" s="9">
        <v>17758</v>
      </c>
      <c r="M313" s="9">
        <v>409</v>
      </c>
      <c r="N313" s="12">
        <v>0.38541666666666669</v>
      </c>
      <c r="O313" s="10" t="s">
        <v>23</v>
      </c>
      <c r="P313">
        <f t="shared" si="24"/>
        <v>1</v>
      </c>
      <c r="R313">
        <f t="shared" si="25"/>
        <v>2959</v>
      </c>
      <c r="S313">
        <f t="shared" si="26"/>
        <v>11.183845893883069</v>
      </c>
      <c r="T313" t="str">
        <f t="shared" si="27"/>
        <v>High</v>
      </c>
      <c r="U313">
        <f t="shared" si="28"/>
        <v>2025</v>
      </c>
      <c r="V313">
        <f t="shared" si="29"/>
        <v>11</v>
      </c>
    </row>
    <row r="314" spans="1:22" x14ac:dyDescent="0.3">
      <c r="A314" s="5" t="s">
        <v>355</v>
      </c>
      <c r="B314" s="6">
        <v>20260420</v>
      </c>
      <c r="C314" s="6" t="s">
        <v>25</v>
      </c>
      <c r="D314" s="6" t="s">
        <v>29</v>
      </c>
      <c r="E314" s="6" t="s">
        <v>18</v>
      </c>
      <c r="F314" s="6">
        <v>17422</v>
      </c>
      <c r="G314" s="6">
        <v>25486</v>
      </c>
      <c r="H314" s="6">
        <v>1975</v>
      </c>
      <c r="I314" s="6">
        <v>70</v>
      </c>
      <c r="J314" s="6">
        <v>303</v>
      </c>
      <c r="K314" s="6">
        <v>128</v>
      </c>
      <c r="L314" s="6">
        <v>0</v>
      </c>
      <c r="M314" s="6">
        <v>124</v>
      </c>
      <c r="N314" s="11">
        <v>0.5625</v>
      </c>
      <c r="O314" s="7" t="s">
        <v>23</v>
      </c>
      <c r="P314">
        <f t="shared" si="24"/>
        <v>1</v>
      </c>
      <c r="R314">
        <f t="shared" si="25"/>
        <v>2476</v>
      </c>
      <c r="S314">
        <f t="shared" si="26"/>
        <v>7.0363489499192244</v>
      </c>
      <c r="T314" t="str">
        <f t="shared" si="27"/>
        <v>Medium</v>
      </c>
      <c r="U314">
        <f t="shared" si="28"/>
        <v>2026</v>
      </c>
      <c r="V314">
        <f t="shared" si="29"/>
        <v>4</v>
      </c>
    </row>
    <row r="315" spans="1:22" x14ac:dyDescent="0.3">
      <c r="A315" s="8" t="s">
        <v>356</v>
      </c>
      <c r="B315" s="9">
        <v>20250607</v>
      </c>
      <c r="C315" s="9" t="s">
        <v>44</v>
      </c>
      <c r="D315" s="9" t="s">
        <v>29</v>
      </c>
      <c r="E315" s="9" t="s">
        <v>26</v>
      </c>
      <c r="F315" s="9">
        <v>18223</v>
      </c>
      <c r="G315" s="9">
        <v>19703</v>
      </c>
      <c r="H315" s="9">
        <v>1916</v>
      </c>
      <c r="I315" s="9">
        <v>186</v>
      </c>
      <c r="J315" s="9">
        <v>164</v>
      </c>
      <c r="K315" s="9">
        <v>236</v>
      </c>
      <c r="L315" s="9">
        <v>9857</v>
      </c>
      <c r="M315" s="9">
        <v>114</v>
      </c>
      <c r="N315" s="12">
        <v>0.9375</v>
      </c>
      <c r="O315" s="10" t="s">
        <v>42</v>
      </c>
      <c r="P315">
        <f t="shared" si="24"/>
        <v>1</v>
      </c>
      <c r="R315">
        <f t="shared" si="25"/>
        <v>2502</v>
      </c>
      <c r="S315">
        <f t="shared" si="26"/>
        <v>7.283373301358913</v>
      </c>
      <c r="T315" t="str">
        <f t="shared" si="27"/>
        <v>Medium</v>
      </c>
      <c r="U315">
        <f t="shared" si="28"/>
        <v>2025</v>
      </c>
      <c r="V315">
        <f t="shared" si="29"/>
        <v>6</v>
      </c>
    </row>
    <row r="316" spans="1:22" x14ac:dyDescent="0.3">
      <c r="A316" s="5" t="s">
        <v>357</v>
      </c>
      <c r="B316" s="6">
        <v>20251030</v>
      </c>
      <c r="C316" s="6" t="s">
        <v>25</v>
      </c>
      <c r="D316" s="6" t="s">
        <v>21</v>
      </c>
      <c r="E316" s="6" t="s">
        <v>46</v>
      </c>
      <c r="F316" s="6">
        <v>22848</v>
      </c>
      <c r="G316" s="6">
        <v>24989</v>
      </c>
      <c r="H316" s="6">
        <v>2532</v>
      </c>
      <c r="I316" s="6">
        <v>326</v>
      </c>
      <c r="J316" s="6">
        <v>363</v>
      </c>
      <c r="K316" s="6">
        <v>311</v>
      </c>
      <c r="L316" s="6">
        <v>8747</v>
      </c>
      <c r="M316" s="6">
        <v>117</v>
      </c>
      <c r="N316" s="11">
        <v>0.83333333333333337</v>
      </c>
      <c r="O316" s="7" t="s">
        <v>34</v>
      </c>
      <c r="P316">
        <f t="shared" si="24"/>
        <v>1</v>
      </c>
      <c r="R316">
        <f t="shared" si="25"/>
        <v>3532</v>
      </c>
      <c r="S316">
        <f t="shared" si="26"/>
        <v>6.4688561721404305</v>
      </c>
      <c r="T316" t="str">
        <f t="shared" si="27"/>
        <v>Medium</v>
      </c>
      <c r="U316">
        <f t="shared" si="28"/>
        <v>2025</v>
      </c>
      <c r="V316">
        <f t="shared" si="29"/>
        <v>10</v>
      </c>
    </row>
    <row r="317" spans="1:22" x14ac:dyDescent="0.3">
      <c r="A317" s="8" t="s">
        <v>358</v>
      </c>
      <c r="B317" s="9">
        <v>20250107</v>
      </c>
      <c r="C317" s="9" t="s">
        <v>40</v>
      </c>
      <c r="D317" s="9" t="s">
        <v>68</v>
      </c>
      <c r="E317" s="9" t="s">
        <v>26</v>
      </c>
      <c r="F317" s="9">
        <v>11008</v>
      </c>
      <c r="G317" s="9">
        <v>13927</v>
      </c>
      <c r="H317" s="9">
        <v>341</v>
      </c>
      <c r="I317" s="9">
        <v>45</v>
      </c>
      <c r="J317" s="9">
        <v>41</v>
      </c>
      <c r="K317" s="9">
        <v>48</v>
      </c>
      <c r="L317" s="9">
        <v>7137</v>
      </c>
      <c r="M317" s="9">
        <v>190</v>
      </c>
      <c r="N317" s="12">
        <v>0.79166666666666663</v>
      </c>
      <c r="O317" s="10" t="s">
        <v>53</v>
      </c>
      <c r="P317">
        <f t="shared" si="24"/>
        <v>1</v>
      </c>
      <c r="R317">
        <f t="shared" si="25"/>
        <v>475</v>
      </c>
      <c r="S317">
        <f t="shared" si="26"/>
        <v>23.174736842105265</v>
      </c>
      <c r="T317" t="str">
        <f t="shared" si="27"/>
        <v>High</v>
      </c>
      <c r="U317">
        <f t="shared" si="28"/>
        <v>2025</v>
      </c>
      <c r="V317">
        <f t="shared" si="29"/>
        <v>1</v>
      </c>
    </row>
    <row r="318" spans="1:22" x14ac:dyDescent="0.3">
      <c r="A318" s="5" t="s">
        <v>359</v>
      </c>
      <c r="B318" s="6">
        <v>20260818</v>
      </c>
      <c r="C318" s="6" t="s">
        <v>16</v>
      </c>
      <c r="D318" s="6" t="s">
        <v>36</v>
      </c>
      <c r="E318" s="6" t="s">
        <v>18</v>
      </c>
      <c r="F318" s="6">
        <v>38816</v>
      </c>
      <c r="G318" s="6">
        <v>54870</v>
      </c>
      <c r="H318" s="6">
        <v>2063</v>
      </c>
      <c r="I318" s="6">
        <v>137</v>
      </c>
      <c r="J318" s="6">
        <v>262</v>
      </c>
      <c r="K318" s="6">
        <v>293</v>
      </c>
      <c r="L318" s="6">
        <v>0</v>
      </c>
      <c r="M318" s="6">
        <v>139</v>
      </c>
      <c r="N318" s="11">
        <v>0.6875</v>
      </c>
      <c r="O318" s="7" t="s">
        <v>38</v>
      </c>
      <c r="P318">
        <f t="shared" si="24"/>
        <v>1</v>
      </c>
      <c r="R318">
        <f t="shared" si="25"/>
        <v>2755</v>
      </c>
      <c r="S318">
        <f t="shared" si="26"/>
        <v>14.089292196007259</v>
      </c>
      <c r="T318" t="str">
        <f t="shared" si="27"/>
        <v>High</v>
      </c>
      <c r="U318">
        <f t="shared" si="28"/>
        <v>2026</v>
      </c>
      <c r="V318">
        <f t="shared" si="29"/>
        <v>8</v>
      </c>
    </row>
    <row r="319" spans="1:22" x14ac:dyDescent="0.3">
      <c r="A319" s="8" t="s">
        <v>360</v>
      </c>
      <c r="B319" s="9">
        <v>20250326</v>
      </c>
      <c r="C319" s="9" t="s">
        <v>40</v>
      </c>
      <c r="D319" s="9" t="s">
        <v>17</v>
      </c>
      <c r="E319" s="9" t="s">
        <v>18</v>
      </c>
      <c r="F319" s="9">
        <v>13298</v>
      </c>
      <c r="G319" s="9">
        <v>18650</v>
      </c>
      <c r="H319" s="9">
        <v>1317</v>
      </c>
      <c r="I319" s="9">
        <v>137</v>
      </c>
      <c r="J319" s="9">
        <v>60</v>
      </c>
      <c r="K319" s="9">
        <v>99</v>
      </c>
      <c r="L319" s="9">
        <v>0</v>
      </c>
      <c r="M319" s="9">
        <v>194</v>
      </c>
      <c r="N319" s="12">
        <v>0.875</v>
      </c>
      <c r="O319" s="10" t="s">
        <v>23</v>
      </c>
      <c r="P319">
        <f t="shared" si="24"/>
        <v>1</v>
      </c>
      <c r="R319">
        <f t="shared" si="25"/>
        <v>1613</v>
      </c>
      <c r="S319">
        <f t="shared" si="26"/>
        <v>8.2442653440793556</v>
      </c>
      <c r="T319" t="str">
        <f t="shared" si="27"/>
        <v>Medium</v>
      </c>
      <c r="U319">
        <f t="shared" si="28"/>
        <v>2025</v>
      </c>
      <c r="V319">
        <f t="shared" si="29"/>
        <v>3</v>
      </c>
    </row>
    <row r="320" spans="1:22" x14ac:dyDescent="0.3">
      <c r="A320" s="5" t="s">
        <v>361</v>
      </c>
      <c r="B320" s="6">
        <v>20260117</v>
      </c>
      <c r="C320" s="6" t="s">
        <v>40</v>
      </c>
      <c r="D320" s="6" t="s">
        <v>33</v>
      </c>
      <c r="E320" s="6" t="s">
        <v>46</v>
      </c>
      <c r="F320" s="6">
        <v>38838</v>
      </c>
      <c r="G320" s="6">
        <v>41717</v>
      </c>
      <c r="H320" s="6">
        <v>3985</v>
      </c>
      <c r="I320" s="6"/>
      <c r="J320" s="6">
        <v>581</v>
      </c>
      <c r="K320" s="6">
        <v>87</v>
      </c>
      <c r="L320" s="6">
        <v>25643</v>
      </c>
      <c r="M320" s="6">
        <v>106</v>
      </c>
      <c r="N320" s="11">
        <v>0.46875</v>
      </c>
      <c r="O320" s="7" t="s">
        <v>42</v>
      </c>
      <c r="P320">
        <f t="shared" si="24"/>
        <v>1</v>
      </c>
      <c r="R320">
        <f t="shared" si="25"/>
        <v>4653</v>
      </c>
      <c r="S320">
        <f t="shared" si="26"/>
        <v>8.3468729851708581</v>
      </c>
      <c r="T320" t="str">
        <f t="shared" si="27"/>
        <v>Medium</v>
      </c>
      <c r="U320">
        <f t="shared" si="28"/>
        <v>2026</v>
      </c>
      <c r="V320">
        <f t="shared" si="29"/>
        <v>1</v>
      </c>
    </row>
    <row r="321" spans="1:22" x14ac:dyDescent="0.3">
      <c r="A321" s="8" t="s">
        <v>362</v>
      </c>
      <c r="B321" s="9">
        <v>20250705</v>
      </c>
      <c r="C321" s="9" t="s">
        <v>44</v>
      </c>
      <c r="D321" s="9" t="s">
        <v>61</v>
      </c>
      <c r="E321" s="9" t="s">
        <v>46</v>
      </c>
      <c r="F321" s="9">
        <v>17665</v>
      </c>
      <c r="G321" s="9">
        <v>23469</v>
      </c>
      <c r="H321" s="9">
        <v>1170</v>
      </c>
      <c r="I321" s="9">
        <v>76</v>
      </c>
      <c r="J321" s="9">
        <v>221</v>
      </c>
      <c r="K321" s="9">
        <v>30</v>
      </c>
      <c r="L321" s="9">
        <v>14713</v>
      </c>
      <c r="M321" s="9">
        <v>205</v>
      </c>
      <c r="N321" s="12">
        <v>0.48958333333333331</v>
      </c>
      <c r="O321" s="10" t="s">
        <v>38</v>
      </c>
      <c r="P321">
        <f t="shared" si="24"/>
        <v>1</v>
      </c>
      <c r="R321">
        <f t="shared" si="25"/>
        <v>1497</v>
      </c>
      <c r="S321">
        <f t="shared" si="26"/>
        <v>11.800267201068804</v>
      </c>
      <c r="T321" t="str">
        <f t="shared" si="27"/>
        <v>High</v>
      </c>
      <c r="U321">
        <f t="shared" si="28"/>
        <v>2025</v>
      </c>
      <c r="V321">
        <f t="shared" si="29"/>
        <v>7</v>
      </c>
    </row>
    <row r="322" spans="1:22" x14ac:dyDescent="0.3">
      <c r="A322" s="5" t="s">
        <v>363</v>
      </c>
      <c r="B322" s="6">
        <v>20250110</v>
      </c>
      <c r="C322" s="6" t="s">
        <v>32</v>
      </c>
      <c r="D322" s="6" t="s">
        <v>61</v>
      </c>
      <c r="E322" s="6" t="s">
        <v>18</v>
      </c>
      <c r="F322" s="6">
        <v>5671</v>
      </c>
      <c r="G322" s="6">
        <v>7849</v>
      </c>
      <c r="H322" s="6">
        <v>164</v>
      </c>
      <c r="I322" s="6">
        <v>22</v>
      </c>
      <c r="J322" s="6">
        <v>12</v>
      </c>
      <c r="K322" s="6">
        <v>18</v>
      </c>
      <c r="L322" s="6">
        <v>0</v>
      </c>
      <c r="M322" s="6">
        <v>42</v>
      </c>
      <c r="N322" s="11">
        <v>0.75</v>
      </c>
      <c r="O322" s="7" t="s">
        <v>38</v>
      </c>
      <c r="P322">
        <f t="shared" si="24"/>
        <v>1</v>
      </c>
      <c r="R322">
        <f t="shared" si="25"/>
        <v>216</v>
      </c>
      <c r="S322">
        <f t="shared" si="26"/>
        <v>26.25462962962963</v>
      </c>
      <c r="T322" t="str">
        <f t="shared" si="27"/>
        <v>High</v>
      </c>
      <c r="U322">
        <f t="shared" si="28"/>
        <v>2025</v>
      </c>
      <c r="V322">
        <f t="shared" si="29"/>
        <v>1</v>
      </c>
    </row>
    <row r="323" spans="1:22" x14ac:dyDescent="0.3">
      <c r="A323" s="8" t="s">
        <v>364</v>
      </c>
      <c r="B323" s="9">
        <v>20260623</v>
      </c>
      <c r="C323" s="9" t="s">
        <v>16</v>
      </c>
      <c r="D323" s="9" t="s">
        <v>68</v>
      </c>
      <c r="E323" s="9" t="s">
        <v>46</v>
      </c>
      <c r="F323" s="9">
        <v>40517</v>
      </c>
      <c r="G323" s="9">
        <v>64067</v>
      </c>
      <c r="H323" s="9">
        <v>2709</v>
      </c>
      <c r="I323" s="9">
        <v>297</v>
      </c>
      <c r="J323" s="9">
        <v>503</v>
      </c>
      <c r="K323" s="9">
        <v>228</v>
      </c>
      <c r="L323" s="9">
        <v>33468</v>
      </c>
      <c r="M323" s="9">
        <v>500</v>
      </c>
      <c r="N323" s="12">
        <v>0.36458333333333331</v>
      </c>
      <c r="O323" s="10" t="s">
        <v>34</v>
      </c>
      <c r="P323">
        <f t="shared" ref="P323:P386" si="30">COUNTIF($A$2:$A$500,A323)</f>
        <v>1</v>
      </c>
      <c r="R323">
        <f t="shared" ref="R323:R386" si="31">SUM(H323:K323)</f>
        <v>3737</v>
      </c>
      <c r="S323">
        <f t="shared" ref="S323:S386" si="32">IFERROR(F323/R323,0)</f>
        <v>10.842119347069842</v>
      </c>
      <c r="T323" t="str">
        <f t="shared" ref="T323:T386" si="33">IF(S323&gt;=10,"High",IF(S323&gt;=5,"Medium",IF(S323&gt;=0,"Low")))</f>
        <v>High</v>
      </c>
      <c r="U323">
        <f t="shared" ref="U323:U386" si="34">LEFT(B323,4)*1</f>
        <v>2026</v>
      </c>
      <c r="V323">
        <f t="shared" ref="V323:V386" si="35">MID(B323,5,2)*1</f>
        <v>6</v>
      </c>
    </row>
    <row r="324" spans="1:22" x14ac:dyDescent="0.3">
      <c r="A324" s="5" t="s">
        <v>365</v>
      </c>
      <c r="B324" s="6">
        <v>20250913</v>
      </c>
      <c r="C324" s="6" t="s">
        <v>25</v>
      </c>
      <c r="D324" s="6" t="s">
        <v>33</v>
      </c>
      <c r="E324" s="6" t="s">
        <v>46</v>
      </c>
      <c r="F324" s="6">
        <v>18598</v>
      </c>
      <c r="G324" s="6">
        <v>21719</v>
      </c>
      <c r="H324" s="6">
        <v>1991</v>
      </c>
      <c r="I324" s="6">
        <v>85</v>
      </c>
      <c r="J324" s="6">
        <v>312</v>
      </c>
      <c r="K324" s="6">
        <v>118</v>
      </c>
      <c r="L324" s="6">
        <v>14648</v>
      </c>
      <c r="M324" s="6">
        <v>86</v>
      </c>
      <c r="N324" s="11">
        <v>0.41666666666666669</v>
      </c>
      <c r="O324" s="7" t="s">
        <v>27</v>
      </c>
      <c r="P324">
        <f t="shared" si="30"/>
        <v>1</v>
      </c>
      <c r="R324">
        <f t="shared" si="31"/>
        <v>2506</v>
      </c>
      <c r="S324">
        <f t="shared" si="32"/>
        <v>7.4213886671987233</v>
      </c>
      <c r="T324" t="str">
        <f t="shared" si="33"/>
        <v>Medium</v>
      </c>
      <c r="U324">
        <f t="shared" si="34"/>
        <v>2025</v>
      </c>
      <c r="V324">
        <f t="shared" si="35"/>
        <v>9</v>
      </c>
    </row>
    <row r="325" spans="1:22" x14ac:dyDescent="0.3">
      <c r="A325" s="8" t="s">
        <v>366</v>
      </c>
      <c r="B325" s="9">
        <v>20260718</v>
      </c>
      <c r="C325" s="9" t="s">
        <v>44</v>
      </c>
      <c r="D325" s="9" t="s">
        <v>29</v>
      </c>
      <c r="E325" s="9" t="s">
        <v>51</v>
      </c>
      <c r="F325" s="9">
        <v>19110</v>
      </c>
      <c r="G325" s="9">
        <v>27319</v>
      </c>
      <c r="H325" s="9">
        <v>2024</v>
      </c>
      <c r="I325" s="9">
        <v>165</v>
      </c>
      <c r="J325" s="9">
        <v>375</v>
      </c>
      <c r="K325" s="9">
        <v>245</v>
      </c>
      <c r="L325" s="9">
        <v>0</v>
      </c>
      <c r="M325" s="9">
        <v>43</v>
      </c>
      <c r="N325" s="12">
        <v>0.83333333333333337</v>
      </c>
      <c r="O325" s="10" t="s">
        <v>19</v>
      </c>
      <c r="P325">
        <f t="shared" si="30"/>
        <v>1</v>
      </c>
      <c r="R325">
        <f t="shared" si="31"/>
        <v>2809</v>
      </c>
      <c r="S325">
        <f t="shared" si="32"/>
        <v>6.8031327874688499</v>
      </c>
      <c r="T325" t="str">
        <f t="shared" si="33"/>
        <v>Medium</v>
      </c>
      <c r="U325">
        <f t="shared" si="34"/>
        <v>2026</v>
      </c>
      <c r="V325">
        <f t="shared" si="35"/>
        <v>7</v>
      </c>
    </row>
    <row r="326" spans="1:22" x14ac:dyDescent="0.3">
      <c r="A326" s="5" t="s">
        <v>367</v>
      </c>
      <c r="B326" s="6">
        <v>20251204</v>
      </c>
      <c r="C326" s="6" t="s">
        <v>40</v>
      </c>
      <c r="D326" s="6" t="s">
        <v>21</v>
      </c>
      <c r="E326" s="6" t="s">
        <v>46</v>
      </c>
      <c r="F326" s="6">
        <v>17658</v>
      </c>
      <c r="G326" s="6">
        <v>28740</v>
      </c>
      <c r="H326" s="6">
        <v>2020</v>
      </c>
      <c r="I326" s="6">
        <v>226</v>
      </c>
      <c r="J326" s="6">
        <v>132</v>
      </c>
      <c r="K326" s="6">
        <v>59</v>
      </c>
      <c r="L326" s="6">
        <v>14624</v>
      </c>
      <c r="M326" s="6">
        <v>30</v>
      </c>
      <c r="N326" s="11">
        <v>0.80208333333333337</v>
      </c>
      <c r="O326" s="7" t="s">
        <v>49</v>
      </c>
      <c r="P326">
        <f t="shared" si="30"/>
        <v>1</v>
      </c>
      <c r="R326">
        <f t="shared" si="31"/>
        <v>2437</v>
      </c>
      <c r="S326">
        <f t="shared" si="32"/>
        <v>7.2457940090274926</v>
      </c>
      <c r="T326" t="str">
        <f t="shared" si="33"/>
        <v>Medium</v>
      </c>
      <c r="U326">
        <f t="shared" si="34"/>
        <v>2025</v>
      </c>
      <c r="V326">
        <f t="shared" si="35"/>
        <v>12</v>
      </c>
    </row>
    <row r="327" spans="1:22" x14ac:dyDescent="0.3">
      <c r="A327" s="8" t="s">
        <v>368</v>
      </c>
      <c r="B327" s="9">
        <v>20251016</v>
      </c>
      <c r="C327" s="9" t="s">
        <v>44</v>
      </c>
      <c r="D327" s="9" t="s">
        <v>36</v>
      </c>
      <c r="E327" s="9" t="s">
        <v>41</v>
      </c>
      <c r="F327" s="9">
        <v>106854</v>
      </c>
      <c r="G327" s="9">
        <v>157613</v>
      </c>
      <c r="H327" s="9">
        <v>9540</v>
      </c>
      <c r="I327" s="9">
        <v>1306</v>
      </c>
      <c r="J327" s="9">
        <v>651</v>
      </c>
      <c r="K327" s="9">
        <v>710</v>
      </c>
      <c r="L327" s="9">
        <v>84868</v>
      </c>
      <c r="M327" s="9">
        <v>876</v>
      </c>
      <c r="N327" s="12">
        <v>0.94791666666666663</v>
      </c>
      <c r="O327" s="10" t="s">
        <v>34</v>
      </c>
      <c r="P327">
        <f t="shared" si="30"/>
        <v>1</v>
      </c>
      <c r="R327">
        <f t="shared" si="31"/>
        <v>12207</v>
      </c>
      <c r="S327">
        <f t="shared" si="32"/>
        <v>8.7535020889653481</v>
      </c>
      <c r="T327" t="str">
        <f t="shared" si="33"/>
        <v>Medium</v>
      </c>
      <c r="U327">
        <f t="shared" si="34"/>
        <v>2025</v>
      </c>
      <c r="V327">
        <f t="shared" si="35"/>
        <v>10</v>
      </c>
    </row>
    <row r="328" spans="1:22" x14ac:dyDescent="0.3">
      <c r="A328" s="5" t="s">
        <v>369</v>
      </c>
      <c r="B328" s="6">
        <v>20250216</v>
      </c>
      <c r="C328" s="6" t="s">
        <v>44</v>
      </c>
      <c r="D328" s="6" t="s">
        <v>36</v>
      </c>
      <c r="E328" s="6" t="s">
        <v>18</v>
      </c>
      <c r="F328" s="6">
        <v>87441</v>
      </c>
      <c r="G328" s="6">
        <v>117734</v>
      </c>
      <c r="H328" s="6">
        <v>7041</v>
      </c>
      <c r="I328" s="6">
        <v>293</v>
      </c>
      <c r="J328" s="6">
        <v>1107</v>
      </c>
      <c r="K328" s="6">
        <v>989</v>
      </c>
      <c r="L328" s="6">
        <v>0</v>
      </c>
      <c r="M328" s="6">
        <v>326</v>
      </c>
      <c r="N328" s="11">
        <v>0.51041666666666663</v>
      </c>
      <c r="O328" s="7" t="s">
        <v>42</v>
      </c>
      <c r="P328">
        <f t="shared" si="30"/>
        <v>1</v>
      </c>
      <c r="R328">
        <f t="shared" si="31"/>
        <v>9430</v>
      </c>
      <c r="S328">
        <f t="shared" si="32"/>
        <v>9.2726405090137867</v>
      </c>
      <c r="T328" t="str">
        <f t="shared" si="33"/>
        <v>Medium</v>
      </c>
      <c r="U328">
        <f t="shared" si="34"/>
        <v>2025</v>
      </c>
      <c r="V328">
        <f t="shared" si="35"/>
        <v>2</v>
      </c>
    </row>
    <row r="329" spans="1:22" x14ac:dyDescent="0.3">
      <c r="A329" s="8" t="s">
        <v>370</v>
      </c>
      <c r="B329" s="9">
        <v>20250714</v>
      </c>
      <c r="C329" s="9" t="s">
        <v>25</v>
      </c>
      <c r="D329" s="9" t="s">
        <v>21</v>
      </c>
      <c r="E329" s="9" t="s">
        <v>46</v>
      </c>
      <c r="F329" s="9">
        <v>15514</v>
      </c>
      <c r="G329" s="9">
        <v>22645</v>
      </c>
      <c r="H329" s="9">
        <v>625</v>
      </c>
      <c r="I329" s="9">
        <v>18</v>
      </c>
      <c r="J329" s="9">
        <v>87</v>
      </c>
      <c r="K329" s="9">
        <v>22</v>
      </c>
      <c r="L329" s="9">
        <v>12964</v>
      </c>
      <c r="M329" s="9">
        <v>36</v>
      </c>
      <c r="N329" s="12">
        <v>0.53125</v>
      </c>
      <c r="O329" s="10" t="s">
        <v>42</v>
      </c>
      <c r="P329">
        <f t="shared" si="30"/>
        <v>1</v>
      </c>
      <c r="R329">
        <f t="shared" si="31"/>
        <v>752</v>
      </c>
      <c r="S329">
        <f t="shared" si="32"/>
        <v>20.63031914893617</v>
      </c>
      <c r="T329" t="str">
        <f t="shared" si="33"/>
        <v>High</v>
      </c>
      <c r="U329">
        <f t="shared" si="34"/>
        <v>2025</v>
      </c>
      <c r="V329">
        <f t="shared" si="35"/>
        <v>7</v>
      </c>
    </row>
    <row r="330" spans="1:22" x14ac:dyDescent="0.3">
      <c r="A330" s="5" t="s">
        <v>371</v>
      </c>
      <c r="B330" s="6">
        <v>20250129</v>
      </c>
      <c r="C330" s="6" t="s">
        <v>32</v>
      </c>
      <c r="D330" s="6" t="s">
        <v>21</v>
      </c>
      <c r="E330" s="6" t="s">
        <v>22</v>
      </c>
      <c r="F330" s="6">
        <v>5753</v>
      </c>
      <c r="G330" s="6">
        <v>6756</v>
      </c>
      <c r="H330" s="6">
        <v>659</v>
      </c>
      <c r="I330" s="6">
        <v>42</v>
      </c>
      <c r="J330" s="6">
        <v>121</v>
      </c>
      <c r="K330" s="6">
        <v>36</v>
      </c>
      <c r="L330" s="6">
        <v>0</v>
      </c>
      <c r="M330" s="6">
        <v>61</v>
      </c>
      <c r="N330" s="11">
        <v>0.73958333333333337</v>
      </c>
      <c r="O330" s="7" t="s">
        <v>38</v>
      </c>
      <c r="P330">
        <f t="shared" si="30"/>
        <v>1</v>
      </c>
      <c r="R330">
        <f t="shared" si="31"/>
        <v>858</v>
      </c>
      <c r="S330">
        <f t="shared" si="32"/>
        <v>6.7051282051282053</v>
      </c>
      <c r="T330" t="str">
        <f t="shared" si="33"/>
        <v>Medium</v>
      </c>
      <c r="U330">
        <f t="shared" si="34"/>
        <v>2025</v>
      </c>
      <c r="V330">
        <f t="shared" si="35"/>
        <v>1</v>
      </c>
    </row>
    <row r="331" spans="1:22" x14ac:dyDescent="0.3">
      <c r="A331" s="8" t="s">
        <v>372</v>
      </c>
      <c r="B331" s="9">
        <v>20260729</v>
      </c>
      <c r="C331" s="9" t="s">
        <v>40</v>
      </c>
      <c r="D331" s="9"/>
      <c r="E331" s="9" t="s">
        <v>41</v>
      </c>
      <c r="F331" s="9">
        <v>9245</v>
      </c>
      <c r="G331" s="9">
        <v>13258</v>
      </c>
      <c r="H331" s="9">
        <v>427</v>
      </c>
      <c r="I331" s="9">
        <v>42</v>
      </c>
      <c r="J331" s="9">
        <v>41</v>
      </c>
      <c r="K331" s="9">
        <v>27</v>
      </c>
      <c r="L331" s="9">
        <v>5192</v>
      </c>
      <c r="M331" s="9">
        <v>91</v>
      </c>
      <c r="N331" s="12">
        <v>0.57291666666666663</v>
      </c>
      <c r="O331" s="10" t="s">
        <v>19</v>
      </c>
      <c r="P331">
        <f t="shared" si="30"/>
        <v>1</v>
      </c>
      <c r="R331">
        <f t="shared" si="31"/>
        <v>537</v>
      </c>
      <c r="S331">
        <f t="shared" si="32"/>
        <v>17.216014897579143</v>
      </c>
      <c r="T331" t="str">
        <f t="shared" si="33"/>
        <v>High</v>
      </c>
      <c r="U331">
        <f t="shared" si="34"/>
        <v>2026</v>
      </c>
      <c r="V331">
        <f t="shared" si="35"/>
        <v>7</v>
      </c>
    </row>
    <row r="332" spans="1:22" x14ac:dyDescent="0.3">
      <c r="A332" s="5" t="s">
        <v>373</v>
      </c>
      <c r="B332" s="6">
        <v>20251110</v>
      </c>
      <c r="C332" s="6" t="s">
        <v>44</v>
      </c>
      <c r="D332" s="6" t="s">
        <v>68</v>
      </c>
      <c r="E332" s="6" t="s">
        <v>51</v>
      </c>
      <c r="F332" s="6">
        <v>25324</v>
      </c>
      <c r="G332" s="6">
        <v>30275</v>
      </c>
      <c r="H332" s="6">
        <v>1620</v>
      </c>
      <c r="I332" s="6">
        <v>146</v>
      </c>
      <c r="J332" s="6">
        <v>260</v>
      </c>
      <c r="K332" s="6">
        <v>65</v>
      </c>
      <c r="L332" s="6">
        <v>0</v>
      </c>
      <c r="M332" s="6">
        <v>301</v>
      </c>
      <c r="N332" s="11">
        <v>0.63541666666666663</v>
      </c>
      <c r="O332" s="7" t="s">
        <v>47</v>
      </c>
      <c r="P332">
        <f t="shared" si="30"/>
        <v>1</v>
      </c>
      <c r="R332">
        <f t="shared" si="31"/>
        <v>2091</v>
      </c>
      <c r="S332">
        <f t="shared" si="32"/>
        <v>12.110951697752272</v>
      </c>
      <c r="T332" t="str">
        <f t="shared" si="33"/>
        <v>High</v>
      </c>
      <c r="U332">
        <f t="shared" si="34"/>
        <v>2025</v>
      </c>
      <c r="V332">
        <f t="shared" si="35"/>
        <v>11</v>
      </c>
    </row>
    <row r="333" spans="1:22" x14ac:dyDescent="0.3">
      <c r="A333" s="8" t="s">
        <v>374</v>
      </c>
      <c r="B333" s="9">
        <v>20260412</v>
      </c>
      <c r="C333" s="9" t="s">
        <v>25</v>
      </c>
      <c r="D333" s="9" t="s">
        <v>21</v>
      </c>
      <c r="E333" s="9" t="s">
        <v>46</v>
      </c>
      <c r="F333" s="9">
        <v>5390</v>
      </c>
      <c r="G333" s="9">
        <v>8368</v>
      </c>
      <c r="H333" s="9">
        <v>461</v>
      </c>
      <c r="I333" s="9">
        <v>58</v>
      </c>
      <c r="J333" s="9">
        <v>62</v>
      </c>
      <c r="K333" s="9">
        <v>60</v>
      </c>
      <c r="L333" s="9">
        <v>4685</v>
      </c>
      <c r="M333" s="9">
        <v>52</v>
      </c>
      <c r="N333" s="12">
        <v>0.45833333333333331</v>
      </c>
      <c r="O333" s="10" t="s">
        <v>49</v>
      </c>
      <c r="P333">
        <f t="shared" si="30"/>
        <v>1</v>
      </c>
      <c r="R333">
        <f t="shared" si="31"/>
        <v>641</v>
      </c>
      <c r="S333">
        <f t="shared" si="32"/>
        <v>8.408736349453978</v>
      </c>
      <c r="T333" t="str">
        <f t="shared" si="33"/>
        <v>Medium</v>
      </c>
      <c r="U333">
        <f t="shared" si="34"/>
        <v>2026</v>
      </c>
      <c r="V333">
        <f t="shared" si="35"/>
        <v>4</v>
      </c>
    </row>
    <row r="334" spans="1:22" x14ac:dyDescent="0.3">
      <c r="A334" s="5" t="s">
        <v>375</v>
      </c>
      <c r="B334" s="6">
        <v>20250530</v>
      </c>
      <c r="C334" s="6" t="s">
        <v>25</v>
      </c>
      <c r="D334" s="6" t="s">
        <v>68</v>
      </c>
      <c r="E334" s="6" t="s">
        <v>51</v>
      </c>
      <c r="F334" s="6">
        <v>11295</v>
      </c>
      <c r="G334" s="6">
        <v>13895</v>
      </c>
      <c r="H334" s="6">
        <v>976</v>
      </c>
      <c r="I334" s="6">
        <v>58</v>
      </c>
      <c r="J334" s="6">
        <v>145</v>
      </c>
      <c r="K334" s="6">
        <v>25</v>
      </c>
      <c r="L334" s="6">
        <v>0</v>
      </c>
      <c r="M334" s="6">
        <v>192</v>
      </c>
      <c r="N334" s="11">
        <v>0.83333333333333337</v>
      </c>
      <c r="O334" s="7" t="s">
        <v>53</v>
      </c>
      <c r="P334">
        <f t="shared" si="30"/>
        <v>1</v>
      </c>
      <c r="R334">
        <f t="shared" si="31"/>
        <v>1204</v>
      </c>
      <c r="S334">
        <f t="shared" si="32"/>
        <v>9.381229235880399</v>
      </c>
      <c r="T334" t="str">
        <f t="shared" si="33"/>
        <v>Medium</v>
      </c>
      <c r="U334">
        <f t="shared" si="34"/>
        <v>2025</v>
      </c>
      <c r="V334">
        <f t="shared" si="35"/>
        <v>5</v>
      </c>
    </row>
    <row r="335" spans="1:22" x14ac:dyDescent="0.3">
      <c r="A335" s="8" t="s">
        <v>376</v>
      </c>
      <c r="B335" s="9">
        <v>20260109</v>
      </c>
      <c r="C335" s="9" t="s">
        <v>16</v>
      </c>
      <c r="D335" s="9" t="s">
        <v>61</v>
      </c>
      <c r="E335" s="9" t="s">
        <v>46</v>
      </c>
      <c r="F335" s="9">
        <v>28013</v>
      </c>
      <c r="G335" s="9">
        <v>45306</v>
      </c>
      <c r="H335" s="9">
        <v>1366</v>
      </c>
      <c r="I335" s="9">
        <v>186</v>
      </c>
      <c r="J335" s="9">
        <v>270</v>
      </c>
      <c r="K335" s="9">
        <v>45</v>
      </c>
      <c r="L335" s="9">
        <v>20275</v>
      </c>
      <c r="M335" s="9">
        <v>109</v>
      </c>
      <c r="N335" s="12">
        <v>0.4375</v>
      </c>
      <c r="O335" s="10" t="s">
        <v>30</v>
      </c>
      <c r="P335">
        <f t="shared" si="30"/>
        <v>1</v>
      </c>
      <c r="R335">
        <f t="shared" si="31"/>
        <v>1867</v>
      </c>
      <c r="S335">
        <f t="shared" si="32"/>
        <v>15.004284949116229</v>
      </c>
      <c r="T335" t="str">
        <f t="shared" si="33"/>
        <v>High</v>
      </c>
      <c r="U335">
        <f t="shared" si="34"/>
        <v>2026</v>
      </c>
      <c r="V335">
        <f t="shared" si="35"/>
        <v>1</v>
      </c>
    </row>
    <row r="336" spans="1:22" x14ac:dyDescent="0.3">
      <c r="A336" s="5" t="s">
        <v>377</v>
      </c>
      <c r="B336" s="6">
        <v>20251124</v>
      </c>
      <c r="C336" s="6" t="s">
        <v>40</v>
      </c>
      <c r="D336" s="6" t="s">
        <v>29</v>
      </c>
      <c r="E336" s="6" t="s">
        <v>51</v>
      </c>
      <c r="F336" s="6">
        <v>19260</v>
      </c>
      <c r="G336" s="6">
        <v>20735</v>
      </c>
      <c r="H336" s="6">
        <v>568</v>
      </c>
      <c r="I336" s="6">
        <v>40</v>
      </c>
      <c r="J336" s="6">
        <v>98</v>
      </c>
      <c r="K336" s="6">
        <v>43</v>
      </c>
      <c r="L336" s="6">
        <v>0</v>
      </c>
      <c r="M336" s="6">
        <v>305</v>
      </c>
      <c r="N336" s="11">
        <v>0.88541666666666663</v>
      </c>
      <c r="O336" s="7" t="s">
        <v>38</v>
      </c>
      <c r="P336">
        <f t="shared" si="30"/>
        <v>1</v>
      </c>
      <c r="R336">
        <f t="shared" si="31"/>
        <v>749</v>
      </c>
      <c r="S336">
        <f t="shared" si="32"/>
        <v>25.714285714285715</v>
      </c>
      <c r="T336" t="str">
        <f t="shared" si="33"/>
        <v>High</v>
      </c>
      <c r="U336">
        <f t="shared" si="34"/>
        <v>2025</v>
      </c>
      <c r="V336">
        <f t="shared" si="35"/>
        <v>11</v>
      </c>
    </row>
    <row r="337" spans="1:22" x14ac:dyDescent="0.3">
      <c r="A337" s="8" t="s">
        <v>378</v>
      </c>
      <c r="B337" s="9">
        <v>20260321</v>
      </c>
      <c r="C337" s="9" t="s">
        <v>40</v>
      </c>
      <c r="D337" s="9" t="s">
        <v>21</v>
      </c>
      <c r="E337" s="9" t="s">
        <v>51</v>
      </c>
      <c r="F337" s="9">
        <v>20640</v>
      </c>
      <c r="G337" s="9">
        <v>23941</v>
      </c>
      <c r="H337" s="9">
        <v>2265</v>
      </c>
      <c r="I337" s="9">
        <v>292</v>
      </c>
      <c r="J337" s="9">
        <v>280</v>
      </c>
      <c r="K337" s="9">
        <v>265</v>
      </c>
      <c r="L337" s="9">
        <v>0</v>
      </c>
      <c r="M337" s="9">
        <v>170</v>
      </c>
      <c r="N337" s="12">
        <v>0.72916666666666663</v>
      </c>
      <c r="O337" s="10" t="s">
        <v>42</v>
      </c>
      <c r="P337">
        <f t="shared" si="30"/>
        <v>1</v>
      </c>
      <c r="R337">
        <f t="shared" si="31"/>
        <v>3102</v>
      </c>
      <c r="S337">
        <f t="shared" si="32"/>
        <v>6.653771760154739</v>
      </c>
      <c r="T337" t="str">
        <f t="shared" si="33"/>
        <v>Medium</v>
      </c>
      <c r="U337">
        <f t="shared" si="34"/>
        <v>2026</v>
      </c>
      <c r="V337">
        <f t="shared" si="35"/>
        <v>3</v>
      </c>
    </row>
    <row r="338" spans="1:22" x14ac:dyDescent="0.3">
      <c r="A338" s="5" t="s">
        <v>379</v>
      </c>
      <c r="B338" s="6">
        <v>20260210</v>
      </c>
      <c r="C338" s="6" t="s">
        <v>32</v>
      </c>
      <c r="D338" s="6" t="s">
        <v>17</v>
      </c>
      <c r="E338" s="6" t="s">
        <v>18</v>
      </c>
      <c r="F338" s="6">
        <v>17840</v>
      </c>
      <c r="G338" s="6">
        <v>19162</v>
      </c>
      <c r="H338" s="6">
        <v>557</v>
      </c>
      <c r="I338" s="6">
        <v>62</v>
      </c>
      <c r="J338" s="6">
        <v>23</v>
      </c>
      <c r="K338" s="6">
        <v>31</v>
      </c>
      <c r="L338" s="6">
        <v>0</v>
      </c>
      <c r="M338" s="6">
        <v>285</v>
      </c>
      <c r="N338" s="11">
        <v>0.39583333333333331</v>
      </c>
      <c r="O338" s="7" t="s">
        <v>47</v>
      </c>
      <c r="P338">
        <f t="shared" si="30"/>
        <v>1</v>
      </c>
      <c r="R338">
        <f t="shared" si="31"/>
        <v>673</v>
      </c>
      <c r="S338">
        <f t="shared" si="32"/>
        <v>26.508172362555722</v>
      </c>
      <c r="T338" t="str">
        <f t="shared" si="33"/>
        <v>High</v>
      </c>
      <c r="U338">
        <f t="shared" si="34"/>
        <v>2026</v>
      </c>
      <c r="V338">
        <f t="shared" si="35"/>
        <v>2</v>
      </c>
    </row>
    <row r="339" spans="1:22" x14ac:dyDescent="0.3">
      <c r="A339" s="8" t="s">
        <v>380</v>
      </c>
      <c r="B339" s="9">
        <v>20250127</v>
      </c>
      <c r="C339" s="9" t="s">
        <v>16</v>
      </c>
      <c r="D339" s="9" t="s">
        <v>21</v>
      </c>
      <c r="E339" s="9" t="s">
        <v>18</v>
      </c>
      <c r="F339" s="9">
        <v>7973</v>
      </c>
      <c r="G339" s="9">
        <v>11734</v>
      </c>
      <c r="H339" s="9">
        <v>330</v>
      </c>
      <c r="I339" s="9">
        <v>31</v>
      </c>
      <c r="J339" s="9">
        <v>34</v>
      </c>
      <c r="K339" s="9">
        <v>9</v>
      </c>
      <c r="L339" s="9">
        <v>0</v>
      </c>
      <c r="M339" s="9">
        <v>89</v>
      </c>
      <c r="N339" s="12">
        <v>0.90625</v>
      </c>
      <c r="O339" s="10" t="s">
        <v>53</v>
      </c>
      <c r="P339">
        <f t="shared" si="30"/>
        <v>1</v>
      </c>
      <c r="R339">
        <f t="shared" si="31"/>
        <v>404</v>
      </c>
      <c r="S339">
        <f t="shared" si="32"/>
        <v>19.735148514851485</v>
      </c>
      <c r="T339" t="str">
        <f t="shared" si="33"/>
        <v>High</v>
      </c>
      <c r="U339">
        <f t="shared" si="34"/>
        <v>2025</v>
      </c>
      <c r="V339">
        <f t="shared" si="35"/>
        <v>1</v>
      </c>
    </row>
    <row r="340" spans="1:22" x14ac:dyDescent="0.3">
      <c r="A340" s="5" t="s">
        <v>381</v>
      </c>
      <c r="B340" s="6">
        <v>20251116</v>
      </c>
      <c r="C340" s="6" t="s">
        <v>16</v>
      </c>
      <c r="D340" s="6" t="s">
        <v>68</v>
      </c>
      <c r="E340" s="6" t="s">
        <v>26</v>
      </c>
      <c r="F340" s="6">
        <v>17244</v>
      </c>
      <c r="G340" s="6">
        <v>20076</v>
      </c>
      <c r="H340" s="6">
        <v>449</v>
      </c>
      <c r="I340" s="6">
        <v>47</v>
      </c>
      <c r="J340" s="6">
        <v>83</v>
      </c>
      <c r="K340" s="6">
        <v>49</v>
      </c>
      <c r="L340" s="6">
        <v>14870</v>
      </c>
      <c r="M340" s="6">
        <v>154</v>
      </c>
      <c r="N340" s="11">
        <v>0.58333333333333337</v>
      </c>
      <c r="O340" s="7" t="s">
        <v>27</v>
      </c>
      <c r="P340">
        <f t="shared" si="30"/>
        <v>1</v>
      </c>
      <c r="R340">
        <f t="shared" si="31"/>
        <v>628</v>
      </c>
      <c r="S340">
        <f t="shared" si="32"/>
        <v>27.458598726114651</v>
      </c>
      <c r="T340" t="str">
        <f t="shared" si="33"/>
        <v>High</v>
      </c>
      <c r="U340">
        <f t="shared" si="34"/>
        <v>2025</v>
      </c>
      <c r="V340">
        <f t="shared" si="35"/>
        <v>11</v>
      </c>
    </row>
    <row r="341" spans="1:22" x14ac:dyDescent="0.3">
      <c r="A341" s="8" t="s">
        <v>382</v>
      </c>
      <c r="B341" s="9">
        <v>20260909</v>
      </c>
      <c r="C341" s="9" t="s">
        <v>32</v>
      </c>
      <c r="D341" s="9" t="s">
        <v>61</v>
      </c>
      <c r="E341" s="9" t="s">
        <v>46</v>
      </c>
      <c r="F341" s="9">
        <v>12115</v>
      </c>
      <c r="G341" s="9">
        <v>18563</v>
      </c>
      <c r="H341" s="9">
        <v>659</v>
      </c>
      <c r="I341" s="9">
        <v>36</v>
      </c>
      <c r="J341" s="9">
        <v>76</v>
      </c>
      <c r="K341" s="9">
        <v>65</v>
      </c>
      <c r="L341" s="9">
        <v>6047</v>
      </c>
      <c r="M341" s="9">
        <v>150</v>
      </c>
      <c r="N341" s="12">
        <v>0.72916666666666663</v>
      </c>
      <c r="O341" s="10" t="s">
        <v>19</v>
      </c>
      <c r="P341">
        <f t="shared" si="30"/>
        <v>1</v>
      </c>
      <c r="R341">
        <f t="shared" si="31"/>
        <v>836</v>
      </c>
      <c r="S341">
        <f t="shared" si="32"/>
        <v>14.491626794258373</v>
      </c>
      <c r="T341" t="str">
        <f t="shared" si="33"/>
        <v>High</v>
      </c>
      <c r="U341">
        <f t="shared" si="34"/>
        <v>2026</v>
      </c>
      <c r="V341">
        <f t="shared" si="35"/>
        <v>9</v>
      </c>
    </row>
    <row r="342" spans="1:22" x14ac:dyDescent="0.3">
      <c r="A342" s="5" t="s">
        <v>383</v>
      </c>
      <c r="B342" s="6">
        <v>20250401</v>
      </c>
      <c r="C342" s="6" t="s">
        <v>32</v>
      </c>
      <c r="D342" s="6" t="s">
        <v>21</v>
      </c>
      <c r="E342" s="6" t="s">
        <v>26</v>
      </c>
      <c r="F342" s="6">
        <v>2690</v>
      </c>
      <c r="G342" s="6">
        <v>3412</v>
      </c>
      <c r="H342" s="6">
        <v>227</v>
      </c>
      <c r="I342" s="6">
        <v>18</v>
      </c>
      <c r="J342" s="6">
        <v>15</v>
      </c>
      <c r="K342" s="6">
        <v>22</v>
      </c>
      <c r="L342" s="6">
        <v>1609</v>
      </c>
      <c r="M342" s="6">
        <v>18</v>
      </c>
      <c r="N342" s="11">
        <v>0.42708333333333331</v>
      </c>
      <c r="O342" s="7" t="s">
        <v>38</v>
      </c>
      <c r="P342">
        <f t="shared" si="30"/>
        <v>1</v>
      </c>
      <c r="R342">
        <f t="shared" si="31"/>
        <v>282</v>
      </c>
      <c r="S342">
        <f t="shared" si="32"/>
        <v>9.539007092198581</v>
      </c>
      <c r="T342" t="str">
        <f t="shared" si="33"/>
        <v>Medium</v>
      </c>
      <c r="U342">
        <f t="shared" si="34"/>
        <v>2025</v>
      </c>
      <c r="V342">
        <f t="shared" si="35"/>
        <v>4</v>
      </c>
    </row>
    <row r="343" spans="1:22" x14ac:dyDescent="0.3">
      <c r="A343" s="8" t="s">
        <v>384</v>
      </c>
      <c r="B343" s="9">
        <v>20251216</v>
      </c>
      <c r="C343" s="9" t="s">
        <v>32</v>
      </c>
      <c r="D343" s="9" t="s">
        <v>36</v>
      </c>
      <c r="E343" s="9" t="s">
        <v>41</v>
      </c>
      <c r="F343" s="9">
        <v>14886</v>
      </c>
      <c r="G343" s="9">
        <v>16029</v>
      </c>
      <c r="H343" s="9">
        <v>778</v>
      </c>
      <c r="I343" s="9">
        <v>41</v>
      </c>
      <c r="J343" s="9">
        <v>37</v>
      </c>
      <c r="K343" s="9">
        <v>79</v>
      </c>
      <c r="L343" s="9">
        <v>6804</v>
      </c>
      <c r="M343" s="9">
        <v>114</v>
      </c>
      <c r="N343" s="12">
        <v>0.75</v>
      </c>
      <c r="O343" s="10" t="s">
        <v>53</v>
      </c>
      <c r="P343">
        <f t="shared" si="30"/>
        <v>1</v>
      </c>
      <c r="R343">
        <f t="shared" si="31"/>
        <v>935</v>
      </c>
      <c r="S343">
        <f t="shared" si="32"/>
        <v>15.920855614973261</v>
      </c>
      <c r="T343" t="str">
        <f t="shared" si="33"/>
        <v>High</v>
      </c>
      <c r="U343">
        <f t="shared" si="34"/>
        <v>2025</v>
      </c>
      <c r="V343">
        <f t="shared" si="35"/>
        <v>12</v>
      </c>
    </row>
    <row r="344" spans="1:22" x14ac:dyDescent="0.3">
      <c r="A344" s="5" t="s">
        <v>385</v>
      </c>
      <c r="B344" s="6">
        <v>20260708</v>
      </c>
      <c r="C344" s="6" t="s">
        <v>40</v>
      </c>
      <c r="D344" s="6" t="s">
        <v>21</v>
      </c>
      <c r="E344" s="6" t="s">
        <v>26</v>
      </c>
      <c r="F344" s="6">
        <v>48161</v>
      </c>
      <c r="G344" s="6">
        <v>56738</v>
      </c>
      <c r="H344" s="6">
        <v>4192</v>
      </c>
      <c r="I344" s="6">
        <v>477</v>
      </c>
      <c r="J344" s="6">
        <v>451</v>
      </c>
      <c r="K344" s="6">
        <v>190</v>
      </c>
      <c r="L344" s="6">
        <v>20837</v>
      </c>
      <c r="M344" s="6">
        <v>674</v>
      </c>
      <c r="N344" s="11">
        <v>0.94791666666666663</v>
      </c>
      <c r="O344" s="7" t="s">
        <v>53</v>
      </c>
      <c r="P344">
        <f t="shared" si="30"/>
        <v>1</v>
      </c>
      <c r="R344">
        <f t="shared" si="31"/>
        <v>5310</v>
      </c>
      <c r="S344">
        <f t="shared" si="32"/>
        <v>9.0698681732580031</v>
      </c>
      <c r="T344" t="str">
        <f t="shared" si="33"/>
        <v>Medium</v>
      </c>
      <c r="U344">
        <f t="shared" si="34"/>
        <v>2026</v>
      </c>
      <c r="V344">
        <f t="shared" si="35"/>
        <v>7</v>
      </c>
    </row>
    <row r="345" spans="1:22" x14ac:dyDescent="0.3">
      <c r="A345" s="8" t="s">
        <v>386</v>
      </c>
      <c r="B345" s="9">
        <v>20250223</v>
      </c>
      <c r="C345" s="9" t="s">
        <v>16</v>
      </c>
      <c r="D345" s="9" t="s">
        <v>21</v>
      </c>
      <c r="E345" s="9" t="s">
        <v>18</v>
      </c>
      <c r="F345" s="9">
        <v>16382</v>
      </c>
      <c r="G345" s="9">
        <v>18701</v>
      </c>
      <c r="H345" s="9">
        <v>1067</v>
      </c>
      <c r="I345" s="9">
        <v>147</v>
      </c>
      <c r="J345" s="9">
        <v>140</v>
      </c>
      <c r="K345" s="9">
        <v>22</v>
      </c>
      <c r="L345" s="9">
        <v>0</v>
      </c>
      <c r="M345" s="9">
        <v>76</v>
      </c>
      <c r="N345" s="12">
        <v>0.57291666666666663</v>
      </c>
      <c r="O345" s="10" t="s">
        <v>27</v>
      </c>
      <c r="P345">
        <f t="shared" si="30"/>
        <v>1</v>
      </c>
      <c r="R345">
        <f t="shared" si="31"/>
        <v>1376</v>
      </c>
      <c r="S345">
        <f t="shared" si="32"/>
        <v>11.905523255813954</v>
      </c>
      <c r="T345" t="str">
        <f t="shared" si="33"/>
        <v>High</v>
      </c>
      <c r="U345">
        <f t="shared" si="34"/>
        <v>2025</v>
      </c>
      <c r="V345">
        <f t="shared" si="35"/>
        <v>2</v>
      </c>
    </row>
    <row r="346" spans="1:22" x14ac:dyDescent="0.3">
      <c r="A346" s="5" t="s">
        <v>387</v>
      </c>
      <c r="B346" s="6">
        <v>20250421</v>
      </c>
      <c r="C346" s="6" t="s">
        <v>16</v>
      </c>
      <c r="D346" s="6" t="s">
        <v>17</v>
      </c>
      <c r="E346" s="6" t="s">
        <v>41</v>
      </c>
      <c r="F346" s="6">
        <v>43150</v>
      </c>
      <c r="G346" s="6">
        <v>69388</v>
      </c>
      <c r="H346" s="6">
        <v>2027</v>
      </c>
      <c r="I346" s="6">
        <v>173</v>
      </c>
      <c r="J346" s="6">
        <v>182</v>
      </c>
      <c r="K346" s="6">
        <v>80</v>
      </c>
      <c r="L346" s="6">
        <v>25361</v>
      </c>
      <c r="M346" s="6">
        <v>591</v>
      </c>
      <c r="N346" s="11">
        <v>0.89583333333333337</v>
      </c>
      <c r="O346" s="7" t="s">
        <v>30</v>
      </c>
      <c r="P346">
        <f t="shared" si="30"/>
        <v>1</v>
      </c>
      <c r="R346">
        <f t="shared" si="31"/>
        <v>2462</v>
      </c>
      <c r="S346">
        <f t="shared" si="32"/>
        <v>17.526401299756294</v>
      </c>
      <c r="T346" t="str">
        <f t="shared" si="33"/>
        <v>High</v>
      </c>
      <c r="U346">
        <f t="shared" si="34"/>
        <v>2025</v>
      </c>
      <c r="V346">
        <f t="shared" si="35"/>
        <v>4</v>
      </c>
    </row>
    <row r="347" spans="1:22" x14ac:dyDescent="0.3">
      <c r="A347" s="8" t="s">
        <v>388</v>
      </c>
      <c r="B347" s="9">
        <v>20250128</v>
      </c>
      <c r="C347" s="9" t="s">
        <v>16</v>
      </c>
      <c r="D347" s="9" t="s">
        <v>36</v>
      </c>
      <c r="E347" s="9" t="s">
        <v>18</v>
      </c>
      <c r="F347" s="9">
        <v>16630</v>
      </c>
      <c r="G347" s="9">
        <v>21638</v>
      </c>
      <c r="H347" s="9">
        <v>1181</v>
      </c>
      <c r="I347" s="9">
        <v>93</v>
      </c>
      <c r="J347" s="9">
        <v>194</v>
      </c>
      <c r="K347" s="9">
        <v>119</v>
      </c>
      <c r="L347" s="9">
        <v>0</v>
      </c>
      <c r="M347" s="9">
        <v>58</v>
      </c>
      <c r="N347" s="12">
        <v>0.32291666666666669</v>
      </c>
      <c r="O347" s="10" t="s">
        <v>49</v>
      </c>
      <c r="P347">
        <f t="shared" si="30"/>
        <v>1</v>
      </c>
      <c r="R347">
        <f t="shared" si="31"/>
        <v>1587</v>
      </c>
      <c r="S347">
        <f t="shared" si="32"/>
        <v>10.478890989287965</v>
      </c>
      <c r="T347" t="str">
        <f t="shared" si="33"/>
        <v>High</v>
      </c>
      <c r="U347">
        <f t="shared" si="34"/>
        <v>2025</v>
      </c>
      <c r="V347">
        <f t="shared" si="35"/>
        <v>1</v>
      </c>
    </row>
    <row r="348" spans="1:22" x14ac:dyDescent="0.3">
      <c r="A348" s="5" t="s">
        <v>389</v>
      </c>
      <c r="B348" s="6">
        <v>20250821</v>
      </c>
      <c r="C348" s="6" t="s">
        <v>32</v>
      </c>
      <c r="D348" s="6" t="s">
        <v>21</v>
      </c>
      <c r="E348" s="6" t="s">
        <v>41</v>
      </c>
      <c r="F348" s="6">
        <v>13038</v>
      </c>
      <c r="G348" s="6">
        <v>14699</v>
      </c>
      <c r="H348" s="6">
        <v>1228</v>
      </c>
      <c r="I348" s="6">
        <v>102</v>
      </c>
      <c r="J348" s="6">
        <v>174</v>
      </c>
      <c r="K348" s="6">
        <v>191</v>
      </c>
      <c r="L348" s="6">
        <v>6493</v>
      </c>
      <c r="M348" s="6">
        <v>137</v>
      </c>
      <c r="N348" s="11">
        <v>0.82291666666666663</v>
      </c>
      <c r="O348" s="7" t="s">
        <v>53</v>
      </c>
      <c r="P348">
        <f t="shared" si="30"/>
        <v>1</v>
      </c>
      <c r="R348">
        <f t="shared" si="31"/>
        <v>1695</v>
      </c>
      <c r="S348">
        <f t="shared" si="32"/>
        <v>7.6920353982300886</v>
      </c>
      <c r="T348" t="str">
        <f t="shared" si="33"/>
        <v>Medium</v>
      </c>
      <c r="U348">
        <f t="shared" si="34"/>
        <v>2025</v>
      </c>
      <c r="V348">
        <f t="shared" si="35"/>
        <v>8</v>
      </c>
    </row>
    <row r="349" spans="1:22" x14ac:dyDescent="0.3">
      <c r="A349" s="8" t="s">
        <v>390</v>
      </c>
      <c r="B349" s="9">
        <v>20260915</v>
      </c>
      <c r="C349" s="9" t="s">
        <v>16</v>
      </c>
      <c r="D349" s="9" t="s">
        <v>33</v>
      </c>
      <c r="E349" s="9" t="s">
        <v>51</v>
      </c>
      <c r="F349" s="9">
        <v>16797</v>
      </c>
      <c r="G349" s="9">
        <v>18136</v>
      </c>
      <c r="H349" s="9">
        <v>551</v>
      </c>
      <c r="I349" s="9">
        <v>51</v>
      </c>
      <c r="J349" s="9">
        <v>103</v>
      </c>
      <c r="K349" s="9">
        <v>85</v>
      </c>
      <c r="L349" s="9">
        <v>0</v>
      </c>
      <c r="M349" s="9">
        <v>118</v>
      </c>
      <c r="N349" s="12">
        <v>0.76041666666666663</v>
      </c>
      <c r="O349" s="10" t="s">
        <v>27</v>
      </c>
      <c r="P349">
        <f t="shared" si="30"/>
        <v>1</v>
      </c>
      <c r="R349">
        <f t="shared" si="31"/>
        <v>790</v>
      </c>
      <c r="S349">
        <f t="shared" si="32"/>
        <v>21.262025316455695</v>
      </c>
      <c r="T349" t="str">
        <f t="shared" si="33"/>
        <v>High</v>
      </c>
      <c r="U349">
        <f t="shared" si="34"/>
        <v>2026</v>
      </c>
      <c r="V349">
        <f t="shared" si="35"/>
        <v>9</v>
      </c>
    </row>
    <row r="350" spans="1:22" x14ac:dyDescent="0.3">
      <c r="A350" s="5" t="s">
        <v>391</v>
      </c>
      <c r="B350" s="6">
        <v>20250216</v>
      </c>
      <c r="C350" s="6" t="s">
        <v>16</v>
      </c>
      <c r="D350" s="6" t="s">
        <v>17</v>
      </c>
      <c r="E350" s="6" t="s">
        <v>46</v>
      </c>
      <c r="F350" s="6">
        <v>24671</v>
      </c>
      <c r="G350" s="6">
        <v>26770</v>
      </c>
      <c r="H350" s="6">
        <v>2653</v>
      </c>
      <c r="I350" s="6">
        <v>175</v>
      </c>
      <c r="J350" s="6">
        <v>367</v>
      </c>
      <c r="K350" s="6">
        <v>173</v>
      </c>
      <c r="L350" s="6">
        <v>21465</v>
      </c>
      <c r="M350" s="6">
        <v>90</v>
      </c>
      <c r="N350" s="11">
        <v>0.9375</v>
      </c>
      <c r="O350" s="7" t="s">
        <v>38</v>
      </c>
      <c r="P350">
        <f t="shared" si="30"/>
        <v>1</v>
      </c>
      <c r="R350">
        <f t="shared" si="31"/>
        <v>3368</v>
      </c>
      <c r="S350">
        <f t="shared" si="32"/>
        <v>7.3251187648456053</v>
      </c>
      <c r="T350" t="str">
        <f t="shared" si="33"/>
        <v>Medium</v>
      </c>
      <c r="U350">
        <f t="shared" si="34"/>
        <v>2025</v>
      </c>
      <c r="V350">
        <f t="shared" si="35"/>
        <v>2</v>
      </c>
    </row>
    <row r="351" spans="1:22" x14ac:dyDescent="0.3">
      <c r="A351" s="8" t="s">
        <v>392</v>
      </c>
      <c r="B351" s="9">
        <v>20260725</v>
      </c>
      <c r="C351" s="9" t="s">
        <v>25</v>
      </c>
      <c r="D351" s="9" t="s">
        <v>21</v>
      </c>
      <c r="E351" s="9" t="s">
        <v>41</v>
      </c>
      <c r="F351" s="9">
        <v>25133</v>
      </c>
      <c r="G351" s="9">
        <v>41129</v>
      </c>
      <c r="H351" s="9">
        <v>917</v>
      </c>
      <c r="I351" s="9">
        <v>92</v>
      </c>
      <c r="J351" s="9">
        <v>168</v>
      </c>
      <c r="K351" s="9">
        <v>84</v>
      </c>
      <c r="L351" s="9">
        <v>20811</v>
      </c>
      <c r="M351" s="9">
        <v>379</v>
      </c>
      <c r="N351" s="12">
        <v>0.40625</v>
      </c>
      <c r="O351" s="10" t="s">
        <v>53</v>
      </c>
      <c r="P351">
        <f t="shared" si="30"/>
        <v>1</v>
      </c>
      <c r="R351">
        <f t="shared" si="31"/>
        <v>1261</v>
      </c>
      <c r="S351">
        <f t="shared" si="32"/>
        <v>19.931007137192704</v>
      </c>
      <c r="T351" t="str">
        <f t="shared" si="33"/>
        <v>High</v>
      </c>
      <c r="U351">
        <f t="shared" si="34"/>
        <v>2026</v>
      </c>
      <c r="V351">
        <f t="shared" si="35"/>
        <v>7</v>
      </c>
    </row>
    <row r="352" spans="1:22" x14ac:dyDescent="0.3">
      <c r="A352" s="5" t="s">
        <v>393</v>
      </c>
      <c r="B352" s="6">
        <v>20260421</v>
      </c>
      <c r="C352" s="6" t="s">
        <v>25</v>
      </c>
      <c r="D352" s="6" t="s">
        <v>33</v>
      </c>
      <c r="E352" s="6" t="s">
        <v>18</v>
      </c>
      <c r="F352" s="6">
        <v>10611</v>
      </c>
      <c r="G352" s="6">
        <v>16958</v>
      </c>
      <c r="H352" s="6">
        <v>707</v>
      </c>
      <c r="I352" s="6">
        <v>87</v>
      </c>
      <c r="J352" s="6">
        <v>70</v>
      </c>
      <c r="K352" s="6">
        <v>73</v>
      </c>
      <c r="L352" s="6">
        <v>0</v>
      </c>
      <c r="M352" s="6">
        <v>187</v>
      </c>
      <c r="N352" s="11">
        <v>0.32291666666666669</v>
      </c>
      <c r="O352" s="7"/>
      <c r="P352">
        <f t="shared" si="30"/>
        <v>1</v>
      </c>
      <c r="R352">
        <f t="shared" si="31"/>
        <v>937</v>
      </c>
      <c r="S352">
        <f t="shared" si="32"/>
        <v>11.32443970117396</v>
      </c>
      <c r="T352" t="str">
        <f t="shared" si="33"/>
        <v>High</v>
      </c>
      <c r="U352">
        <f t="shared" si="34"/>
        <v>2026</v>
      </c>
      <c r="V352">
        <f t="shared" si="35"/>
        <v>4</v>
      </c>
    </row>
    <row r="353" spans="1:22" x14ac:dyDescent="0.3">
      <c r="A353" s="8" t="s">
        <v>394</v>
      </c>
      <c r="B353" s="9">
        <v>20260115</v>
      </c>
      <c r="C353" s="9" t="s">
        <v>32</v>
      </c>
      <c r="D353" s="9" t="s">
        <v>21</v>
      </c>
      <c r="E353" s="9" t="s">
        <v>46</v>
      </c>
      <c r="F353" s="9">
        <v>1306</v>
      </c>
      <c r="G353" s="9">
        <v>1771</v>
      </c>
      <c r="H353" s="9">
        <v>73</v>
      </c>
      <c r="I353" s="9">
        <v>2</v>
      </c>
      <c r="J353" s="9">
        <v>9</v>
      </c>
      <c r="K353" s="9">
        <v>3</v>
      </c>
      <c r="L353" s="9">
        <v>633</v>
      </c>
      <c r="M353" s="9">
        <v>8</v>
      </c>
      <c r="N353" s="12">
        <v>0.84375</v>
      </c>
      <c r="O353" s="10" t="s">
        <v>47</v>
      </c>
      <c r="P353">
        <f t="shared" si="30"/>
        <v>1</v>
      </c>
      <c r="R353">
        <f t="shared" si="31"/>
        <v>87</v>
      </c>
      <c r="S353">
        <f t="shared" si="32"/>
        <v>15.011494252873563</v>
      </c>
      <c r="T353" t="str">
        <f t="shared" si="33"/>
        <v>High</v>
      </c>
      <c r="U353">
        <f t="shared" si="34"/>
        <v>2026</v>
      </c>
      <c r="V353">
        <f t="shared" si="35"/>
        <v>1</v>
      </c>
    </row>
    <row r="354" spans="1:22" x14ac:dyDescent="0.3">
      <c r="A354" s="5" t="s">
        <v>395</v>
      </c>
      <c r="B354" s="6">
        <v>20260228</v>
      </c>
      <c r="C354" s="6" t="s">
        <v>40</v>
      </c>
      <c r="D354" s="6" t="s">
        <v>17</v>
      </c>
      <c r="E354" s="6" t="s">
        <v>46</v>
      </c>
      <c r="F354" s="6">
        <v>31906</v>
      </c>
      <c r="G354" s="6">
        <v>52387</v>
      </c>
      <c r="H354" s="6">
        <v>1948</v>
      </c>
      <c r="I354" s="6">
        <v>54</v>
      </c>
      <c r="J354" s="6">
        <v>135</v>
      </c>
      <c r="K354" s="6">
        <v>309</v>
      </c>
      <c r="L354" s="6">
        <v>11394</v>
      </c>
      <c r="M354" s="6">
        <v>444</v>
      </c>
      <c r="N354" s="11">
        <v>0.51041666666666663</v>
      </c>
      <c r="O354" s="7" t="s">
        <v>49</v>
      </c>
      <c r="P354">
        <f t="shared" si="30"/>
        <v>1</v>
      </c>
      <c r="R354">
        <f t="shared" si="31"/>
        <v>2446</v>
      </c>
      <c r="S354">
        <f t="shared" si="32"/>
        <v>13.044153720359771</v>
      </c>
      <c r="T354" t="str">
        <f t="shared" si="33"/>
        <v>High</v>
      </c>
      <c r="U354">
        <f t="shared" si="34"/>
        <v>2026</v>
      </c>
      <c r="V354">
        <f t="shared" si="35"/>
        <v>2</v>
      </c>
    </row>
    <row r="355" spans="1:22" x14ac:dyDescent="0.3">
      <c r="A355" s="8" t="s">
        <v>396</v>
      </c>
      <c r="B355" s="9">
        <v>20251102</v>
      </c>
      <c r="C355" s="9" t="s">
        <v>16</v>
      </c>
      <c r="D355" s="9" t="s">
        <v>61</v>
      </c>
      <c r="E355" s="9" t="s">
        <v>18</v>
      </c>
      <c r="F355" s="9">
        <v>17784</v>
      </c>
      <c r="G355" s="9">
        <v>28290</v>
      </c>
      <c r="H355" s="9">
        <v>1607</v>
      </c>
      <c r="I355" s="9">
        <v>118</v>
      </c>
      <c r="J355" s="9">
        <v>210</v>
      </c>
      <c r="K355" s="9">
        <v>253</v>
      </c>
      <c r="L355" s="9">
        <v>0</v>
      </c>
      <c r="M355" s="9">
        <v>131</v>
      </c>
      <c r="N355" s="12">
        <v>0.42708333333333331</v>
      </c>
      <c r="O355" s="10" t="s">
        <v>23</v>
      </c>
      <c r="P355">
        <f t="shared" si="30"/>
        <v>1</v>
      </c>
      <c r="R355">
        <f t="shared" si="31"/>
        <v>2188</v>
      </c>
      <c r="S355">
        <f t="shared" si="32"/>
        <v>8.1279707495429623</v>
      </c>
      <c r="T355" t="str">
        <f t="shared" si="33"/>
        <v>Medium</v>
      </c>
      <c r="U355">
        <f t="shared" si="34"/>
        <v>2025</v>
      </c>
      <c r="V355">
        <f t="shared" si="35"/>
        <v>11</v>
      </c>
    </row>
    <row r="356" spans="1:22" x14ac:dyDescent="0.3">
      <c r="A356" s="5" t="s">
        <v>397</v>
      </c>
      <c r="B356" s="6">
        <v>20250614</v>
      </c>
      <c r="C356" s="6" t="s">
        <v>32</v>
      </c>
      <c r="D356" s="6" t="s">
        <v>21</v>
      </c>
      <c r="E356" s="6" t="s">
        <v>46</v>
      </c>
      <c r="F356" s="6">
        <v>5577</v>
      </c>
      <c r="G356" s="6">
        <v>5857</v>
      </c>
      <c r="H356" s="6">
        <v>224</v>
      </c>
      <c r="I356" s="6">
        <v>23</v>
      </c>
      <c r="J356" s="6">
        <v>19</v>
      </c>
      <c r="K356" s="6">
        <v>24</v>
      </c>
      <c r="L356" s="6">
        <v>3503</v>
      </c>
      <c r="M356" s="6">
        <v>99</v>
      </c>
      <c r="N356" s="11">
        <v>0.625</v>
      </c>
      <c r="O356" s="7" t="s">
        <v>49</v>
      </c>
      <c r="P356">
        <f t="shared" si="30"/>
        <v>1</v>
      </c>
      <c r="R356">
        <f t="shared" si="31"/>
        <v>290</v>
      </c>
      <c r="S356">
        <f t="shared" si="32"/>
        <v>19.23103448275862</v>
      </c>
      <c r="T356" t="str">
        <f t="shared" si="33"/>
        <v>High</v>
      </c>
      <c r="U356">
        <f t="shared" si="34"/>
        <v>2025</v>
      </c>
      <c r="V356">
        <f t="shared" si="35"/>
        <v>6</v>
      </c>
    </row>
    <row r="357" spans="1:22" x14ac:dyDescent="0.3">
      <c r="A357" s="8" t="s">
        <v>398</v>
      </c>
      <c r="B357" s="9">
        <v>20260804</v>
      </c>
      <c r="C357" s="9" t="s">
        <v>44</v>
      </c>
      <c r="D357" s="9" t="s">
        <v>36</v>
      </c>
      <c r="E357" s="9" t="s">
        <v>46</v>
      </c>
      <c r="F357" s="9">
        <v>51946</v>
      </c>
      <c r="G357" s="9">
        <v>78167</v>
      </c>
      <c r="H357" s="9">
        <v>5916</v>
      </c>
      <c r="I357" s="9">
        <v>611</v>
      </c>
      <c r="J357" s="9">
        <v>491</v>
      </c>
      <c r="K357" s="9">
        <v>561</v>
      </c>
      <c r="L357" s="9">
        <v>45467</v>
      </c>
      <c r="M357" s="9">
        <v>754</v>
      </c>
      <c r="N357" s="12">
        <v>0.92708333333333337</v>
      </c>
      <c r="O357" s="10" t="s">
        <v>30</v>
      </c>
      <c r="P357">
        <f t="shared" si="30"/>
        <v>1</v>
      </c>
      <c r="R357">
        <f t="shared" si="31"/>
        <v>7579</v>
      </c>
      <c r="S357">
        <f t="shared" si="32"/>
        <v>6.8539385143158729</v>
      </c>
      <c r="T357" t="str">
        <f t="shared" si="33"/>
        <v>Medium</v>
      </c>
      <c r="U357">
        <f t="shared" si="34"/>
        <v>2026</v>
      </c>
      <c r="V357">
        <f t="shared" si="35"/>
        <v>8</v>
      </c>
    </row>
    <row r="358" spans="1:22" x14ac:dyDescent="0.3">
      <c r="A358" s="5" t="s">
        <v>399</v>
      </c>
      <c r="B358" s="6">
        <v>20250527</v>
      </c>
      <c r="C358" s="6" t="s">
        <v>44</v>
      </c>
      <c r="D358" s="6" t="s">
        <v>33</v>
      </c>
      <c r="E358" s="6" t="s">
        <v>26</v>
      </c>
      <c r="F358" s="6">
        <v>22794</v>
      </c>
      <c r="G358" s="6">
        <v>25438</v>
      </c>
      <c r="H358" s="6">
        <v>1205</v>
      </c>
      <c r="I358" s="6">
        <v>41</v>
      </c>
      <c r="J358" s="6">
        <v>86</v>
      </c>
      <c r="K358" s="6">
        <v>109</v>
      </c>
      <c r="L358" s="6">
        <v>16955</v>
      </c>
      <c r="M358" s="6">
        <v>243</v>
      </c>
      <c r="N358" s="11">
        <v>0.76041666666666663</v>
      </c>
      <c r="O358" s="7" t="s">
        <v>49</v>
      </c>
      <c r="P358">
        <f t="shared" si="30"/>
        <v>1</v>
      </c>
      <c r="R358">
        <f t="shared" si="31"/>
        <v>1441</v>
      </c>
      <c r="S358">
        <f t="shared" si="32"/>
        <v>15.818181818181818</v>
      </c>
      <c r="T358" t="str">
        <f t="shared" si="33"/>
        <v>High</v>
      </c>
      <c r="U358">
        <f t="shared" si="34"/>
        <v>2025</v>
      </c>
      <c r="V358">
        <f t="shared" si="35"/>
        <v>5</v>
      </c>
    </row>
    <row r="359" spans="1:22" x14ac:dyDescent="0.3">
      <c r="A359" s="8" t="s">
        <v>400</v>
      </c>
      <c r="B359" s="9">
        <v>20251214</v>
      </c>
      <c r="C359" s="9" t="s">
        <v>44</v>
      </c>
      <c r="D359" s="9" t="s">
        <v>21</v>
      </c>
      <c r="E359" s="9" t="s">
        <v>41</v>
      </c>
      <c r="F359" s="9">
        <v>89741</v>
      </c>
      <c r="G359" s="9">
        <v>123494</v>
      </c>
      <c r="H359" s="9">
        <v>3860</v>
      </c>
      <c r="I359" s="9">
        <v>183</v>
      </c>
      <c r="J359" s="9">
        <v>757</v>
      </c>
      <c r="K359" s="9">
        <v>196</v>
      </c>
      <c r="L359" s="9">
        <v>75454</v>
      </c>
      <c r="M359" s="9">
        <v>937</v>
      </c>
      <c r="N359" s="12">
        <v>0.86458333333333337</v>
      </c>
      <c r="O359" s="10" t="s">
        <v>30</v>
      </c>
      <c r="P359">
        <f t="shared" si="30"/>
        <v>1</v>
      </c>
      <c r="R359">
        <f t="shared" si="31"/>
        <v>4996</v>
      </c>
      <c r="S359">
        <f t="shared" si="32"/>
        <v>17.962570056044836</v>
      </c>
      <c r="T359" t="str">
        <f t="shared" si="33"/>
        <v>High</v>
      </c>
      <c r="U359">
        <f t="shared" si="34"/>
        <v>2025</v>
      </c>
      <c r="V359">
        <f t="shared" si="35"/>
        <v>12</v>
      </c>
    </row>
    <row r="360" spans="1:22" x14ac:dyDescent="0.3">
      <c r="A360" s="5" t="s">
        <v>401</v>
      </c>
      <c r="B360" s="6">
        <v>20260403</v>
      </c>
      <c r="C360" s="6" t="s">
        <v>44</v>
      </c>
      <c r="D360" s="6" t="s">
        <v>17</v>
      </c>
      <c r="E360" s="6" t="s">
        <v>41</v>
      </c>
      <c r="F360" s="6">
        <v>35737</v>
      </c>
      <c r="G360" s="6">
        <v>53790</v>
      </c>
      <c r="H360" s="6">
        <v>1010</v>
      </c>
      <c r="I360" s="6">
        <v>62</v>
      </c>
      <c r="J360" s="6">
        <v>62</v>
      </c>
      <c r="K360" s="6">
        <v>156</v>
      </c>
      <c r="L360" s="6">
        <v>14530</v>
      </c>
      <c r="M360" s="6">
        <v>191</v>
      </c>
      <c r="N360" s="11">
        <v>0.38541666666666669</v>
      </c>
      <c r="O360" s="7" t="s">
        <v>27</v>
      </c>
      <c r="P360">
        <f t="shared" si="30"/>
        <v>1</v>
      </c>
      <c r="R360">
        <f t="shared" si="31"/>
        <v>1290</v>
      </c>
      <c r="S360">
        <f t="shared" si="32"/>
        <v>27.7031007751938</v>
      </c>
      <c r="T360" t="str">
        <f t="shared" si="33"/>
        <v>High</v>
      </c>
      <c r="U360">
        <f t="shared" si="34"/>
        <v>2026</v>
      </c>
      <c r="V360">
        <f t="shared" si="35"/>
        <v>4</v>
      </c>
    </row>
    <row r="361" spans="1:22" x14ac:dyDescent="0.3">
      <c r="A361" s="8" t="s">
        <v>402</v>
      </c>
      <c r="B361" s="9">
        <v>20250604</v>
      </c>
      <c r="C361" s="9" t="s">
        <v>44</v>
      </c>
      <c r="D361" s="9" t="s">
        <v>33</v>
      </c>
      <c r="E361" s="9" t="s">
        <v>41</v>
      </c>
      <c r="F361" s="9">
        <v>245596</v>
      </c>
      <c r="G361" s="9">
        <v>283037</v>
      </c>
      <c r="H361" s="9">
        <v>21122</v>
      </c>
      <c r="I361" s="9">
        <v>2240</v>
      </c>
      <c r="J361" s="9">
        <v>3854</v>
      </c>
      <c r="K361" s="9">
        <v>1239</v>
      </c>
      <c r="L361" s="9">
        <v>186294</v>
      </c>
      <c r="M361" s="9">
        <v>3474</v>
      </c>
      <c r="N361" s="12">
        <v>0.375</v>
      </c>
      <c r="O361" s="10" t="s">
        <v>19</v>
      </c>
      <c r="P361">
        <f t="shared" si="30"/>
        <v>1</v>
      </c>
      <c r="R361">
        <f t="shared" si="31"/>
        <v>28455</v>
      </c>
      <c r="S361">
        <f t="shared" si="32"/>
        <v>8.6310314531716745</v>
      </c>
      <c r="T361" t="str">
        <f t="shared" si="33"/>
        <v>Medium</v>
      </c>
      <c r="U361">
        <f t="shared" si="34"/>
        <v>2025</v>
      </c>
      <c r="V361">
        <f t="shared" si="35"/>
        <v>6</v>
      </c>
    </row>
    <row r="362" spans="1:22" x14ac:dyDescent="0.3">
      <c r="A362" s="5" t="s">
        <v>403</v>
      </c>
      <c r="B362" s="6">
        <v>20250617</v>
      </c>
      <c r="C362" s="6" t="s">
        <v>16</v>
      </c>
      <c r="D362" s="6" t="s">
        <v>33</v>
      </c>
      <c r="E362" s="6" t="s">
        <v>41</v>
      </c>
      <c r="F362" s="6">
        <v>19595</v>
      </c>
      <c r="G362" s="6">
        <v>25090</v>
      </c>
      <c r="H362" s="6">
        <v>1966</v>
      </c>
      <c r="I362" s="6">
        <v>213</v>
      </c>
      <c r="J362" s="6">
        <v>338</v>
      </c>
      <c r="K362" s="6">
        <v>106</v>
      </c>
      <c r="L362" s="6">
        <v>13023</v>
      </c>
      <c r="M362" s="6">
        <v>264</v>
      </c>
      <c r="N362" s="11">
        <v>0.89583333333333337</v>
      </c>
      <c r="O362" s="7" t="s">
        <v>38</v>
      </c>
      <c r="P362">
        <f t="shared" si="30"/>
        <v>1</v>
      </c>
      <c r="R362">
        <f t="shared" si="31"/>
        <v>2623</v>
      </c>
      <c r="S362">
        <f t="shared" si="32"/>
        <v>7.4704536789935192</v>
      </c>
      <c r="T362" t="str">
        <f t="shared" si="33"/>
        <v>Medium</v>
      </c>
      <c r="U362">
        <f t="shared" si="34"/>
        <v>2025</v>
      </c>
      <c r="V362">
        <f t="shared" si="35"/>
        <v>6</v>
      </c>
    </row>
    <row r="363" spans="1:22" x14ac:dyDescent="0.3">
      <c r="A363" s="8" t="s">
        <v>404</v>
      </c>
      <c r="B363" s="9">
        <v>20260504</v>
      </c>
      <c r="C363" s="9" t="s">
        <v>40</v>
      </c>
      <c r="D363" s="9" t="s">
        <v>17</v>
      </c>
      <c r="E363" s="9" t="s">
        <v>18</v>
      </c>
      <c r="F363" s="9">
        <v>10709</v>
      </c>
      <c r="G363" s="9">
        <v>16459</v>
      </c>
      <c r="H363" s="9">
        <v>645</v>
      </c>
      <c r="I363" s="9">
        <v>64</v>
      </c>
      <c r="J363" s="9">
        <v>100</v>
      </c>
      <c r="K363" s="9">
        <v>100</v>
      </c>
      <c r="L363" s="9">
        <v>0</v>
      </c>
      <c r="M363" s="9">
        <v>154</v>
      </c>
      <c r="N363" s="12">
        <v>0.64583333333333337</v>
      </c>
      <c r="O363" s="10" t="s">
        <v>23</v>
      </c>
      <c r="P363">
        <f t="shared" si="30"/>
        <v>1</v>
      </c>
      <c r="R363">
        <f t="shared" si="31"/>
        <v>909</v>
      </c>
      <c r="S363">
        <f t="shared" si="32"/>
        <v>11.781078107810782</v>
      </c>
      <c r="T363" t="str">
        <f t="shared" si="33"/>
        <v>High</v>
      </c>
      <c r="U363">
        <f t="shared" si="34"/>
        <v>2026</v>
      </c>
      <c r="V363">
        <f t="shared" si="35"/>
        <v>5</v>
      </c>
    </row>
    <row r="364" spans="1:22" x14ac:dyDescent="0.3">
      <c r="A364" s="5" t="s">
        <v>405</v>
      </c>
      <c r="B364" s="6">
        <v>20250329</v>
      </c>
      <c r="C364" s="6" t="s">
        <v>25</v>
      </c>
      <c r="D364" s="6" t="s">
        <v>61</v>
      </c>
      <c r="E364" s="6" t="s">
        <v>46</v>
      </c>
      <c r="F364" s="6">
        <v>22899</v>
      </c>
      <c r="G364" s="6">
        <v>29717</v>
      </c>
      <c r="H364" s="6">
        <v>2498</v>
      </c>
      <c r="I364" s="6">
        <v>286</v>
      </c>
      <c r="J364" s="6">
        <v>378</v>
      </c>
      <c r="K364" s="6">
        <v>308</v>
      </c>
      <c r="L364" s="6">
        <v>13665</v>
      </c>
      <c r="M364" s="6">
        <v>412</v>
      </c>
      <c r="N364" s="11">
        <v>0.86458333333333337</v>
      </c>
      <c r="O364" s="7" t="s">
        <v>19</v>
      </c>
      <c r="P364">
        <f t="shared" si="30"/>
        <v>1</v>
      </c>
      <c r="R364">
        <f t="shared" si="31"/>
        <v>3470</v>
      </c>
      <c r="S364">
        <f t="shared" si="32"/>
        <v>6.5991354466858789</v>
      </c>
      <c r="T364" t="str">
        <f t="shared" si="33"/>
        <v>Medium</v>
      </c>
      <c r="U364">
        <f t="shared" si="34"/>
        <v>2025</v>
      </c>
      <c r="V364">
        <f t="shared" si="35"/>
        <v>3</v>
      </c>
    </row>
    <row r="365" spans="1:22" x14ac:dyDescent="0.3">
      <c r="A365" s="8" t="s">
        <v>406</v>
      </c>
      <c r="B365" s="9">
        <v>20260401</v>
      </c>
      <c r="C365" s="9" t="s">
        <v>25</v>
      </c>
      <c r="D365" s="9" t="s">
        <v>17</v>
      </c>
      <c r="E365" s="9" t="s">
        <v>41</v>
      </c>
      <c r="F365" s="9">
        <v>43740</v>
      </c>
      <c r="G365" s="9">
        <v>62116</v>
      </c>
      <c r="H365" s="9">
        <v>1370</v>
      </c>
      <c r="I365" s="9">
        <v>42</v>
      </c>
      <c r="J365" s="9">
        <v>72</v>
      </c>
      <c r="K365" s="9">
        <v>114</v>
      </c>
      <c r="L365" s="9">
        <v>32960</v>
      </c>
      <c r="M365" s="9">
        <v>330</v>
      </c>
      <c r="N365" s="12">
        <v>0.91666666666666663</v>
      </c>
      <c r="O365" s="10" t="s">
        <v>23</v>
      </c>
      <c r="P365">
        <f t="shared" si="30"/>
        <v>1</v>
      </c>
      <c r="R365">
        <f t="shared" si="31"/>
        <v>1598</v>
      </c>
      <c r="S365">
        <f t="shared" si="32"/>
        <v>27.371714643304131</v>
      </c>
      <c r="T365" t="str">
        <f t="shared" si="33"/>
        <v>High</v>
      </c>
      <c r="U365">
        <f t="shared" si="34"/>
        <v>2026</v>
      </c>
      <c r="V365">
        <f t="shared" si="35"/>
        <v>4</v>
      </c>
    </row>
    <row r="366" spans="1:22" x14ac:dyDescent="0.3">
      <c r="A366" s="5" t="s">
        <v>407</v>
      </c>
      <c r="B366" s="6">
        <v>20260130</v>
      </c>
      <c r="C366" s="6" t="s">
        <v>44</v>
      </c>
      <c r="D366" s="6" t="s">
        <v>17</v>
      </c>
      <c r="E366" s="6" t="s">
        <v>41</v>
      </c>
      <c r="F366" s="6">
        <v>21051</v>
      </c>
      <c r="G366" s="6">
        <v>32402</v>
      </c>
      <c r="H366" s="6">
        <v>1126</v>
      </c>
      <c r="I366" s="6">
        <v>36</v>
      </c>
      <c r="J366" s="6">
        <v>179</v>
      </c>
      <c r="K366" s="6">
        <v>149</v>
      </c>
      <c r="L366" s="6">
        <v>12476</v>
      </c>
      <c r="M366" s="6">
        <v>171</v>
      </c>
      <c r="N366" s="11">
        <v>0.54166666666666663</v>
      </c>
      <c r="O366" s="7" t="s">
        <v>23</v>
      </c>
      <c r="P366">
        <f t="shared" si="30"/>
        <v>1</v>
      </c>
      <c r="R366">
        <f t="shared" si="31"/>
        <v>1490</v>
      </c>
      <c r="S366">
        <f t="shared" si="32"/>
        <v>14.128187919463087</v>
      </c>
      <c r="T366" t="str">
        <f t="shared" si="33"/>
        <v>High</v>
      </c>
      <c r="U366">
        <f t="shared" si="34"/>
        <v>2026</v>
      </c>
      <c r="V366">
        <f t="shared" si="35"/>
        <v>1</v>
      </c>
    </row>
    <row r="367" spans="1:22" x14ac:dyDescent="0.3">
      <c r="A367" s="8" t="s">
        <v>408</v>
      </c>
      <c r="B367" s="9">
        <v>20250314</v>
      </c>
      <c r="C367" s="9" t="s">
        <v>16</v>
      </c>
      <c r="D367" s="9" t="s">
        <v>68</v>
      </c>
      <c r="E367" s="9" t="s">
        <v>26</v>
      </c>
      <c r="F367" s="9">
        <v>49809</v>
      </c>
      <c r="G367" s="9">
        <v>79807</v>
      </c>
      <c r="H367" s="9">
        <v>3316</v>
      </c>
      <c r="I367" s="9">
        <v>430</v>
      </c>
      <c r="J367" s="9">
        <v>413</v>
      </c>
      <c r="K367" s="9">
        <v>259</v>
      </c>
      <c r="L367" s="9">
        <v>28020</v>
      </c>
      <c r="M367" s="9">
        <v>529</v>
      </c>
      <c r="N367" s="12">
        <v>0.73958333333333337</v>
      </c>
      <c r="O367" s="10" t="s">
        <v>38</v>
      </c>
      <c r="P367">
        <f t="shared" si="30"/>
        <v>1</v>
      </c>
      <c r="R367">
        <f t="shared" si="31"/>
        <v>4418</v>
      </c>
      <c r="S367">
        <f t="shared" si="32"/>
        <v>11.274105930285197</v>
      </c>
      <c r="T367" t="str">
        <f t="shared" si="33"/>
        <v>High</v>
      </c>
      <c r="U367">
        <f t="shared" si="34"/>
        <v>2025</v>
      </c>
      <c r="V367">
        <f t="shared" si="35"/>
        <v>3</v>
      </c>
    </row>
    <row r="368" spans="1:22" x14ac:dyDescent="0.3">
      <c r="A368" s="5" t="s">
        <v>409</v>
      </c>
      <c r="B368" s="6">
        <v>20260714</v>
      </c>
      <c r="C368" s="6" t="s">
        <v>40</v>
      </c>
      <c r="D368" s="6" t="s">
        <v>29</v>
      </c>
      <c r="E368" s="6" t="s">
        <v>18</v>
      </c>
      <c r="F368" s="6">
        <v>10141</v>
      </c>
      <c r="G368" s="6">
        <v>13213</v>
      </c>
      <c r="H368" s="6">
        <v>403</v>
      </c>
      <c r="I368" s="6">
        <v>19</v>
      </c>
      <c r="J368" s="6">
        <v>13</v>
      </c>
      <c r="K368" s="6">
        <v>32</v>
      </c>
      <c r="L368" s="6">
        <v>0</v>
      </c>
      <c r="M368" s="6">
        <v>69</v>
      </c>
      <c r="N368" s="11">
        <v>0.65625</v>
      </c>
      <c r="O368" s="7" t="s">
        <v>47</v>
      </c>
      <c r="P368">
        <f t="shared" si="30"/>
        <v>1</v>
      </c>
      <c r="R368">
        <f t="shared" si="31"/>
        <v>467</v>
      </c>
      <c r="S368">
        <f t="shared" si="32"/>
        <v>21.715203426124198</v>
      </c>
      <c r="T368" t="str">
        <f t="shared" si="33"/>
        <v>High</v>
      </c>
      <c r="U368">
        <f t="shared" si="34"/>
        <v>2026</v>
      </c>
      <c r="V368">
        <f t="shared" si="35"/>
        <v>7</v>
      </c>
    </row>
    <row r="369" spans="1:22" x14ac:dyDescent="0.3">
      <c r="A369" s="8" t="s">
        <v>410</v>
      </c>
      <c r="B369" s="9">
        <v>20251023</v>
      </c>
      <c r="C369" s="9" t="s">
        <v>40</v>
      </c>
      <c r="D369" s="9" t="s">
        <v>33</v>
      </c>
      <c r="E369" s="9" t="s">
        <v>46</v>
      </c>
      <c r="F369" s="9">
        <v>22093</v>
      </c>
      <c r="G369" s="9">
        <v>27713</v>
      </c>
      <c r="H369" s="9">
        <v>1703</v>
      </c>
      <c r="I369" s="9">
        <v>170</v>
      </c>
      <c r="J369" s="9">
        <v>242</v>
      </c>
      <c r="K369" s="9">
        <v>214</v>
      </c>
      <c r="L369" s="9">
        <v>13950</v>
      </c>
      <c r="M369" s="9">
        <v>216</v>
      </c>
      <c r="N369" s="12">
        <v>0.82291666666666663</v>
      </c>
      <c r="O369" s="10" t="s">
        <v>27</v>
      </c>
      <c r="P369">
        <f t="shared" si="30"/>
        <v>1</v>
      </c>
      <c r="R369">
        <f t="shared" si="31"/>
        <v>2329</v>
      </c>
      <c r="S369">
        <f t="shared" si="32"/>
        <v>9.4860455130957497</v>
      </c>
      <c r="T369" t="str">
        <f t="shared" si="33"/>
        <v>Medium</v>
      </c>
      <c r="U369">
        <f t="shared" si="34"/>
        <v>2025</v>
      </c>
      <c r="V369">
        <f t="shared" si="35"/>
        <v>10</v>
      </c>
    </row>
    <row r="370" spans="1:22" x14ac:dyDescent="0.3">
      <c r="A370" s="5" t="s">
        <v>411</v>
      </c>
      <c r="B370" s="6">
        <v>20260721</v>
      </c>
      <c r="C370" s="6" t="s">
        <v>16</v>
      </c>
      <c r="D370" s="6" t="s">
        <v>33</v>
      </c>
      <c r="E370" s="6" t="s">
        <v>51</v>
      </c>
      <c r="F370" s="6">
        <v>28017</v>
      </c>
      <c r="G370" s="6">
        <v>39669</v>
      </c>
      <c r="H370" s="6">
        <v>2318</v>
      </c>
      <c r="I370" s="6">
        <v>272</v>
      </c>
      <c r="J370" s="6">
        <v>353</v>
      </c>
      <c r="K370" s="6">
        <v>339</v>
      </c>
      <c r="L370" s="6">
        <v>0</v>
      </c>
      <c r="M370" s="6">
        <v>395</v>
      </c>
      <c r="N370" s="11">
        <v>0.40625</v>
      </c>
      <c r="O370" s="7" t="s">
        <v>38</v>
      </c>
      <c r="P370">
        <f t="shared" si="30"/>
        <v>1</v>
      </c>
      <c r="R370">
        <f t="shared" si="31"/>
        <v>3282</v>
      </c>
      <c r="S370">
        <f t="shared" si="32"/>
        <v>8.536563071297989</v>
      </c>
      <c r="T370" t="str">
        <f t="shared" si="33"/>
        <v>Medium</v>
      </c>
      <c r="U370">
        <f t="shared" si="34"/>
        <v>2026</v>
      </c>
      <c r="V370">
        <f t="shared" si="35"/>
        <v>7</v>
      </c>
    </row>
    <row r="371" spans="1:22" x14ac:dyDescent="0.3">
      <c r="A371" s="8" t="s">
        <v>412</v>
      </c>
      <c r="B371" s="9">
        <v>20260830</v>
      </c>
      <c r="C371" s="9" t="s">
        <v>16</v>
      </c>
      <c r="D371" s="9" t="s">
        <v>29</v>
      </c>
      <c r="E371" s="9" t="s">
        <v>46</v>
      </c>
      <c r="F371" s="9">
        <v>46638</v>
      </c>
      <c r="G371" s="9">
        <v>60124</v>
      </c>
      <c r="H371" s="9">
        <v>4323</v>
      </c>
      <c r="I371" s="9">
        <v>307</v>
      </c>
      <c r="J371" s="9">
        <v>753</v>
      </c>
      <c r="K371" s="9">
        <v>609</v>
      </c>
      <c r="L371" s="9">
        <v>25477</v>
      </c>
      <c r="M371" s="9">
        <v>837</v>
      </c>
      <c r="N371" s="12">
        <v>0.32291666666666669</v>
      </c>
      <c r="O371" s="10" t="s">
        <v>49</v>
      </c>
      <c r="P371">
        <f t="shared" si="30"/>
        <v>1</v>
      </c>
      <c r="R371">
        <f t="shared" si="31"/>
        <v>5992</v>
      </c>
      <c r="S371">
        <f t="shared" si="32"/>
        <v>7.7833778371161548</v>
      </c>
      <c r="T371" t="str">
        <f t="shared" si="33"/>
        <v>Medium</v>
      </c>
      <c r="U371">
        <f t="shared" si="34"/>
        <v>2026</v>
      </c>
      <c r="V371">
        <f t="shared" si="35"/>
        <v>8</v>
      </c>
    </row>
    <row r="372" spans="1:22" x14ac:dyDescent="0.3">
      <c r="A372" s="5" t="s">
        <v>413</v>
      </c>
      <c r="B372" s="6">
        <v>20260622</v>
      </c>
      <c r="C372" s="6" t="s">
        <v>44</v>
      </c>
      <c r="D372" s="6" t="s">
        <v>61</v>
      </c>
      <c r="E372" s="6" t="s">
        <v>41</v>
      </c>
      <c r="F372" s="6">
        <v>49690</v>
      </c>
      <c r="G372" s="6">
        <v>61743</v>
      </c>
      <c r="H372" s="6">
        <v>5355</v>
      </c>
      <c r="I372" s="6">
        <v>498</v>
      </c>
      <c r="J372" s="6">
        <v>274</v>
      </c>
      <c r="K372" s="6">
        <v>524</v>
      </c>
      <c r="L372" s="6">
        <v>18088</v>
      </c>
      <c r="M372" s="6">
        <v>379</v>
      </c>
      <c r="N372" s="11">
        <v>0.47916666666666669</v>
      </c>
      <c r="O372" s="7" t="s">
        <v>27</v>
      </c>
      <c r="P372">
        <f t="shared" si="30"/>
        <v>1</v>
      </c>
      <c r="R372">
        <f t="shared" si="31"/>
        <v>6651</v>
      </c>
      <c r="S372">
        <f t="shared" si="32"/>
        <v>7.4710569839121934</v>
      </c>
      <c r="T372" t="str">
        <f t="shared" si="33"/>
        <v>Medium</v>
      </c>
      <c r="U372">
        <f t="shared" si="34"/>
        <v>2026</v>
      </c>
      <c r="V372">
        <f t="shared" si="35"/>
        <v>6</v>
      </c>
    </row>
    <row r="373" spans="1:22" x14ac:dyDescent="0.3">
      <c r="A373" s="8" t="s">
        <v>414</v>
      </c>
      <c r="B373" s="9">
        <v>20250523</v>
      </c>
      <c r="C373" s="9" t="s">
        <v>40</v>
      </c>
      <c r="D373" s="9" t="s">
        <v>17</v>
      </c>
      <c r="E373" s="9" t="s">
        <v>46</v>
      </c>
      <c r="F373" s="9">
        <v>34809</v>
      </c>
      <c r="G373" s="9">
        <v>47453</v>
      </c>
      <c r="H373" s="9">
        <v>3808</v>
      </c>
      <c r="I373" s="9">
        <v>344</v>
      </c>
      <c r="J373" s="9">
        <v>630</v>
      </c>
      <c r="K373" s="9">
        <v>213</v>
      </c>
      <c r="L373" s="9">
        <v>16244</v>
      </c>
      <c r="M373" s="9">
        <v>79</v>
      </c>
      <c r="N373" s="12">
        <v>0.88541666666666663</v>
      </c>
      <c r="O373" s="10" t="s">
        <v>19</v>
      </c>
      <c r="P373">
        <f t="shared" si="30"/>
        <v>1</v>
      </c>
      <c r="R373">
        <f t="shared" si="31"/>
        <v>4995</v>
      </c>
      <c r="S373">
        <f t="shared" si="32"/>
        <v>6.9687687687687685</v>
      </c>
      <c r="T373" t="str">
        <f t="shared" si="33"/>
        <v>Medium</v>
      </c>
      <c r="U373">
        <f t="shared" si="34"/>
        <v>2025</v>
      </c>
      <c r="V373">
        <f t="shared" si="35"/>
        <v>5</v>
      </c>
    </row>
    <row r="374" spans="1:22" x14ac:dyDescent="0.3">
      <c r="A374" s="5" t="s">
        <v>415</v>
      </c>
      <c r="B374" s="6">
        <v>20251222</v>
      </c>
      <c r="C374" s="6" t="s">
        <v>25</v>
      </c>
      <c r="D374" s="6" t="s">
        <v>21</v>
      </c>
      <c r="E374" s="6" t="s">
        <v>46</v>
      </c>
      <c r="F374" s="6">
        <v>22007</v>
      </c>
      <c r="G374" s="6">
        <v>28960</v>
      </c>
      <c r="H374" s="6">
        <v>1330</v>
      </c>
      <c r="I374" s="6">
        <v>101</v>
      </c>
      <c r="J374" s="6">
        <v>121</v>
      </c>
      <c r="K374" s="6">
        <v>133</v>
      </c>
      <c r="L374" s="6">
        <v>17008</v>
      </c>
      <c r="M374" s="6">
        <v>344</v>
      </c>
      <c r="N374" s="11">
        <v>0.48958333333333331</v>
      </c>
      <c r="O374" s="7" t="s">
        <v>38</v>
      </c>
      <c r="P374">
        <f t="shared" si="30"/>
        <v>1</v>
      </c>
      <c r="R374">
        <f t="shared" si="31"/>
        <v>1685</v>
      </c>
      <c r="S374">
        <f t="shared" si="32"/>
        <v>13.060534124629081</v>
      </c>
      <c r="T374" t="str">
        <f t="shared" si="33"/>
        <v>High</v>
      </c>
      <c r="U374">
        <f t="shared" si="34"/>
        <v>2025</v>
      </c>
      <c r="V374">
        <f t="shared" si="35"/>
        <v>12</v>
      </c>
    </row>
    <row r="375" spans="1:22" x14ac:dyDescent="0.3">
      <c r="A375" s="8" t="s">
        <v>416</v>
      </c>
      <c r="B375" s="9">
        <v>20260224</v>
      </c>
      <c r="C375" s="9" t="s">
        <v>16</v>
      </c>
      <c r="D375" s="9" t="s">
        <v>29</v>
      </c>
      <c r="E375" s="9" t="s">
        <v>46</v>
      </c>
      <c r="F375" s="9">
        <v>48328</v>
      </c>
      <c r="G375" s="9">
        <v>65552</v>
      </c>
      <c r="H375" s="9">
        <v>5143</v>
      </c>
      <c r="I375" s="9">
        <v>329</v>
      </c>
      <c r="J375" s="9">
        <v>441</v>
      </c>
      <c r="K375" s="9">
        <v>811</v>
      </c>
      <c r="L375" s="9">
        <v>26328</v>
      </c>
      <c r="M375" s="9">
        <v>139</v>
      </c>
      <c r="N375" s="12">
        <v>0.625</v>
      </c>
      <c r="O375" s="10" t="s">
        <v>47</v>
      </c>
      <c r="P375">
        <f t="shared" si="30"/>
        <v>1</v>
      </c>
      <c r="R375">
        <f t="shared" si="31"/>
        <v>6724</v>
      </c>
      <c r="S375">
        <f t="shared" si="32"/>
        <v>7.187388459250446</v>
      </c>
      <c r="T375" t="str">
        <f t="shared" si="33"/>
        <v>Medium</v>
      </c>
      <c r="U375">
        <f t="shared" si="34"/>
        <v>2026</v>
      </c>
      <c r="V375">
        <f t="shared" si="35"/>
        <v>2</v>
      </c>
    </row>
    <row r="376" spans="1:22" x14ac:dyDescent="0.3">
      <c r="A376" s="5" t="s">
        <v>417</v>
      </c>
      <c r="B376" s="6">
        <v>20260329</v>
      </c>
      <c r="C376" s="6" t="s">
        <v>16</v>
      </c>
      <c r="D376" s="6" t="s">
        <v>36</v>
      </c>
      <c r="E376" s="6" t="s">
        <v>26</v>
      </c>
      <c r="F376" s="6">
        <v>5908</v>
      </c>
      <c r="G376" s="6">
        <v>8095</v>
      </c>
      <c r="H376" s="6">
        <v>290</v>
      </c>
      <c r="I376" s="6">
        <v>29</v>
      </c>
      <c r="J376" s="6">
        <v>30</v>
      </c>
      <c r="K376" s="6">
        <v>34</v>
      </c>
      <c r="L376" s="6">
        <v>3100</v>
      </c>
      <c r="M376" s="6">
        <v>45</v>
      </c>
      <c r="N376" s="11">
        <v>0.29166666666666669</v>
      </c>
      <c r="O376" s="7" t="s">
        <v>49</v>
      </c>
      <c r="P376">
        <f t="shared" si="30"/>
        <v>1</v>
      </c>
      <c r="R376">
        <f t="shared" si="31"/>
        <v>383</v>
      </c>
      <c r="S376">
        <f t="shared" si="32"/>
        <v>15.425587467362924</v>
      </c>
      <c r="T376" t="str">
        <f t="shared" si="33"/>
        <v>High</v>
      </c>
      <c r="U376">
        <f t="shared" si="34"/>
        <v>2026</v>
      </c>
      <c r="V376">
        <f t="shared" si="35"/>
        <v>3</v>
      </c>
    </row>
    <row r="377" spans="1:22" x14ac:dyDescent="0.3">
      <c r="A377" s="8" t="s">
        <v>418</v>
      </c>
      <c r="B377" s="9">
        <v>20251016</v>
      </c>
      <c r="C377" s="9" t="s">
        <v>16</v>
      </c>
      <c r="D377" s="9" t="s">
        <v>17</v>
      </c>
      <c r="E377" s="9" t="s">
        <v>41</v>
      </c>
      <c r="F377" s="9">
        <v>29931</v>
      </c>
      <c r="G377" s="9">
        <v>47744</v>
      </c>
      <c r="H377" s="9">
        <v>2601</v>
      </c>
      <c r="I377" s="9">
        <v>357</v>
      </c>
      <c r="J377" s="9">
        <v>127</v>
      </c>
      <c r="K377" s="9">
        <v>158</v>
      </c>
      <c r="L377" s="9">
        <v>13159</v>
      </c>
      <c r="M377" s="9">
        <v>256</v>
      </c>
      <c r="N377" s="12">
        <v>0.6875</v>
      </c>
      <c r="O377" s="10" t="s">
        <v>47</v>
      </c>
      <c r="P377">
        <f t="shared" si="30"/>
        <v>1</v>
      </c>
      <c r="R377">
        <f t="shared" si="31"/>
        <v>3243</v>
      </c>
      <c r="S377">
        <f t="shared" si="32"/>
        <v>9.2294172062904725</v>
      </c>
      <c r="T377" t="str">
        <f t="shared" si="33"/>
        <v>Medium</v>
      </c>
      <c r="U377">
        <f t="shared" si="34"/>
        <v>2025</v>
      </c>
      <c r="V377">
        <f t="shared" si="35"/>
        <v>10</v>
      </c>
    </row>
    <row r="378" spans="1:22" x14ac:dyDescent="0.3">
      <c r="A378" s="5" t="s">
        <v>419</v>
      </c>
      <c r="B378" s="6">
        <v>20250203</v>
      </c>
      <c r="C378" s="6" t="s">
        <v>44</v>
      </c>
      <c r="D378" s="6" t="s">
        <v>21</v>
      </c>
      <c r="E378" s="6" t="s">
        <v>18</v>
      </c>
      <c r="F378" s="6">
        <v>12304</v>
      </c>
      <c r="G378" s="6">
        <v>14072</v>
      </c>
      <c r="H378" s="6">
        <v>1026</v>
      </c>
      <c r="I378" s="6">
        <v>95</v>
      </c>
      <c r="J378" s="6">
        <v>124</v>
      </c>
      <c r="K378" s="6">
        <v>103</v>
      </c>
      <c r="L378" s="6">
        <v>0</v>
      </c>
      <c r="M378" s="6">
        <v>151</v>
      </c>
      <c r="N378" s="11">
        <v>0.55208333333333337</v>
      </c>
      <c r="O378" s="7" t="s">
        <v>42</v>
      </c>
      <c r="P378">
        <f t="shared" si="30"/>
        <v>1</v>
      </c>
      <c r="R378">
        <f t="shared" si="31"/>
        <v>1348</v>
      </c>
      <c r="S378">
        <f t="shared" si="32"/>
        <v>9.1275964391691389</v>
      </c>
      <c r="T378" t="str">
        <f t="shared" si="33"/>
        <v>Medium</v>
      </c>
      <c r="U378">
        <f t="shared" si="34"/>
        <v>2025</v>
      </c>
      <c r="V378">
        <f t="shared" si="35"/>
        <v>2</v>
      </c>
    </row>
    <row r="379" spans="1:22" x14ac:dyDescent="0.3">
      <c r="A379" s="8" t="s">
        <v>420</v>
      </c>
      <c r="B379" s="9">
        <v>20250205</v>
      </c>
      <c r="C379" s="9" t="s">
        <v>32</v>
      </c>
      <c r="D379" s="9" t="s">
        <v>36</v>
      </c>
      <c r="E379" s="9" t="s">
        <v>18</v>
      </c>
      <c r="F379" s="9">
        <v>13567</v>
      </c>
      <c r="G379" s="9">
        <v>18561</v>
      </c>
      <c r="H379" s="9">
        <v>798</v>
      </c>
      <c r="I379" s="9">
        <v>77</v>
      </c>
      <c r="J379" s="9">
        <v>147</v>
      </c>
      <c r="K379" s="9">
        <v>125</v>
      </c>
      <c r="L379" s="9">
        <v>0</v>
      </c>
      <c r="M379" s="9">
        <v>76</v>
      </c>
      <c r="N379" s="12">
        <v>0.625</v>
      </c>
      <c r="O379" s="10" t="s">
        <v>49</v>
      </c>
      <c r="P379">
        <f t="shared" si="30"/>
        <v>1</v>
      </c>
      <c r="R379">
        <f t="shared" si="31"/>
        <v>1147</v>
      </c>
      <c r="S379">
        <f t="shared" si="32"/>
        <v>11.82824760244115</v>
      </c>
      <c r="T379" t="str">
        <f t="shared" si="33"/>
        <v>High</v>
      </c>
      <c r="U379">
        <f t="shared" si="34"/>
        <v>2025</v>
      </c>
      <c r="V379">
        <f t="shared" si="35"/>
        <v>2</v>
      </c>
    </row>
    <row r="380" spans="1:22" x14ac:dyDescent="0.3">
      <c r="A380" s="5" t="s">
        <v>421</v>
      </c>
      <c r="B380" s="6">
        <v>20260316</v>
      </c>
      <c r="C380" s="6" t="s">
        <v>16</v>
      </c>
      <c r="D380" s="6" t="s">
        <v>36</v>
      </c>
      <c r="E380" s="6" t="s">
        <v>46</v>
      </c>
      <c r="F380" s="6">
        <v>37878</v>
      </c>
      <c r="G380" s="6">
        <v>56811</v>
      </c>
      <c r="H380" s="6">
        <v>2310</v>
      </c>
      <c r="I380" s="6">
        <v>272</v>
      </c>
      <c r="J380" s="6">
        <v>238</v>
      </c>
      <c r="K380" s="6">
        <v>342</v>
      </c>
      <c r="L380" s="6">
        <v>20562</v>
      </c>
      <c r="M380" s="6">
        <v>506</v>
      </c>
      <c r="N380" s="11">
        <v>0.42708333333333331</v>
      </c>
      <c r="O380" s="7" t="s">
        <v>47</v>
      </c>
      <c r="P380">
        <f t="shared" si="30"/>
        <v>1</v>
      </c>
      <c r="R380">
        <f t="shared" si="31"/>
        <v>3162</v>
      </c>
      <c r="S380">
        <f t="shared" si="32"/>
        <v>11.979127134724857</v>
      </c>
      <c r="T380" t="str">
        <f t="shared" si="33"/>
        <v>High</v>
      </c>
      <c r="U380">
        <f t="shared" si="34"/>
        <v>2026</v>
      </c>
      <c r="V380">
        <f t="shared" si="35"/>
        <v>3</v>
      </c>
    </row>
    <row r="381" spans="1:22" x14ac:dyDescent="0.3">
      <c r="A381" s="8" t="s">
        <v>422</v>
      </c>
      <c r="B381" s="9">
        <v>20250513</v>
      </c>
      <c r="C381" s="9" t="s">
        <v>16</v>
      </c>
      <c r="D381" s="9" t="s">
        <v>21</v>
      </c>
      <c r="E381" s="9" t="s">
        <v>18</v>
      </c>
      <c r="F381" s="9">
        <v>16837</v>
      </c>
      <c r="G381" s="9">
        <v>20272</v>
      </c>
      <c r="H381" s="9">
        <v>1569</v>
      </c>
      <c r="I381" s="9">
        <v>150</v>
      </c>
      <c r="J381" s="9">
        <v>267</v>
      </c>
      <c r="K381" s="9">
        <v>78</v>
      </c>
      <c r="L381" s="9">
        <v>0</v>
      </c>
      <c r="M381" s="9">
        <v>221</v>
      </c>
      <c r="N381" s="12">
        <v>0.5</v>
      </c>
      <c r="O381" s="10" t="s">
        <v>49</v>
      </c>
      <c r="P381">
        <f t="shared" si="30"/>
        <v>1</v>
      </c>
      <c r="R381">
        <f t="shared" si="31"/>
        <v>2064</v>
      </c>
      <c r="S381">
        <f t="shared" si="32"/>
        <v>8.1574612403100772</v>
      </c>
      <c r="T381" t="str">
        <f t="shared" si="33"/>
        <v>Medium</v>
      </c>
      <c r="U381">
        <f t="shared" si="34"/>
        <v>2025</v>
      </c>
      <c r="V381">
        <f t="shared" si="35"/>
        <v>5</v>
      </c>
    </row>
    <row r="382" spans="1:22" x14ac:dyDescent="0.3">
      <c r="A382" s="5" t="s">
        <v>423</v>
      </c>
      <c r="B382" s="6">
        <v>20250428</v>
      </c>
      <c r="C382" s="6" t="s">
        <v>32</v>
      </c>
      <c r="D382" s="6" t="s">
        <v>68</v>
      </c>
      <c r="E382" s="6" t="s">
        <v>22</v>
      </c>
      <c r="F382" s="6">
        <v>9128</v>
      </c>
      <c r="G382" s="6">
        <v>12283</v>
      </c>
      <c r="H382" s="6">
        <v>405</v>
      </c>
      <c r="I382" s="6">
        <v>22</v>
      </c>
      <c r="J382" s="6">
        <v>72</v>
      </c>
      <c r="K382" s="6">
        <v>17</v>
      </c>
      <c r="L382" s="6">
        <v>0</v>
      </c>
      <c r="M382" s="6">
        <v>54</v>
      </c>
      <c r="N382" s="11">
        <v>0.59375</v>
      </c>
      <c r="O382" s="7" t="s">
        <v>47</v>
      </c>
      <c r="P382">
        <f t="shared" si="30"/>
        <v>1</v>
      </c>
      <c r="R382">
        <f t="shared" si="31"/>
        <v>516</v>
      </c>
      <c r="S382">
        <f t="shared" si="32"/>
        <v>17.689922480620154</v>
      </c>
      <c r="T382" t="str">
        <f t="shared" si="33"/>
        <v>High</v>
      </c>
      <c r="U382">
        <f t="shared" si="34"/>
        <v>2025</v>
      </c>
      <c r="V382">
        <f t="shared" si="35"/>
        <v>4</v>
      </c>
    </row>
    <row r="383" spans="1:22" x14ac:dyDescent="0.3">
      <c r="A383" s="8" t="s">
        <v>424</v>
      </c>
      <c r="B383" s="9">
        <v>20250406</v>
      </c>
      <c r="C383" s="9" t="s">
        <v>25</v>
      </c>
      <c r="D383" s="9" t="s">
        <v>17</v>
      </c>
      <c r="E383" s="9" t="s">
        <v>46</v>
      </c>
      <c r="F383" s="9">
        <v>14922</v>
      </c>
      <c r="G383" s="9">
        <v>18183</v>
      </c>
      <c r="H383" s="9">
        <v>1264</v>
      </c>
      <c r="I383" s="9">
        <v>54</v>
      </c>
      <c r="J383" s="9">
        <v>242</v>
      </c>
      <c r="K383" s="9">
        <v>200</v>
      </c>
      <c r="L383" s="9">
        <v>10166</v>
      </c>
      <c r="M383" s="9">
        <v>253</v>
      </c>
      <c r="N383" s="12">
        <v>0.48958333333333331</v>
      </c>
      <c r="O383" s="10" t="s">
        <v>30</v>
      </c>
      <c r="P383">
        <f t="shared" si="30"/>
        <v>1</v>
      </c>
      <c r="R383">
        <f t="shared" si="31"/>
        <v>1760</v>
      </c>
      <c r="S383">
        <f t="shared" si="32"/>
        <v>8.478409090909091</v>
      </c>
      <c r="T383" t="str">
        <f t="shared" si="33"/>
        <v>Medium</v>
      </c>
      <c r="U383">
        <f t="shared" si="34"/>
        <v>2025</v>
      </c>
      <c r="V383">
        <f t="shared" si="35"/>
        <v>4</v>
      </c>
    </row>
    <row r="384" spans="1:22" x14ac:dyDescent="0.3">
      <c r="A384" s="5" t="s">
        <v>425</v>
      </c>
      <c r="B384" s="6">
        <v>20250531</v>
      </c>
      <c r="C384" s="6" t="s">
        <v>40</v>
      </c>
      <c r="D384" s="6" t="s">
        <v>17</v>
      </c>
      <c r="E384" s="6" t="s">
        <v>26</v>
      </c>
      <c r="F384" s="6">
        <v>4425</v>
      </c>
      <c r="G384" s="6">
        <v>6450</v>
      </c>
      <c r="H384" s="6">
        <v>467</v>
      </c>
      <c r="I384" s="6">
        <v>47</v>
      </c>
      <c r="J384" s="6">
        <v>16</v>
      </c>
      <c r="K384" s="6">
        <v>27</v>
      </c>
      <c r="L384" s="6">
        <v>3949</v>
      </c>
      <c r="M384" s="6">
        <v>45</v>
      </c>
      <c r="N384" s="11">
        <v>0.60416666666666663</v>
      </c>
      <c r="O384" s="7" t="s">
        <v>49</v>
      </c>
      <c r="P384">
        <f t="shared" si="30"/>
        <v>1</v>
      </c>
      <c r="R384">
        <f t="shared" si="31"/>
        <v>557</v>
      </c>
      <c r="S384">
        <f t="shared" si="32"/>
        <v>7.9443447037701977</v>
      </c>
      <c r="T384" t="str">
        <f t="shared" si="33"/>
        <v>Medium</v>
      </c>
      <c r="U384">
        <f t="shared" si="34"/>
        <v>2025</v>
      </c>
      <c r="V384">
        <f t="shared" si="35"/>
        <v>5</v>
      </c>
    </row>
    <row r="385" spans="1:22" x14ac:dyDescent="0.3">
      <c r="A385" s="8" t="s">
        <v>426</v>
      </c>
      <c r="B385" s="9">
        <v>20250107</v>
      </c>
      <c r="C385" s="9" t="s">
        <v>16</v>
      </c>
      <c r="D385" s="9" t="s">
        <v>21</v>
      </c>
      <c r="E385" s="9" t="s">
        <v>41</v>
      </c>
      <c r="F385" s="9">
        <v>31117</v>
      </c>
      <c r="G385" s="9">
        <v>40890</v>
      </c>
      <c r="H385" s="9">
        <v>1791</v>
      </c>
      <c r="I385" s="9">
        <v>62</v>
      </c>
      <c r="J385" s="9"/>
      <c r="K385" s="9">
        <v>164</v>
      </c>
      <c r="L385" s="9">
        <v>19121</v>
      </c>
      <c r="M385" s="9">
        <v>202</v>
      </c>
      <c r="N385" s="12">
        <v>0.66666666666666663</v>
      </c>
      <c r="O385" s="10" t="s">
        <v>42</v>
      </c>
      <c r="P385">
        <f t="shared" si="30"/>
        <v>1</v>
      </c>
      <c r="R385">
        <f t="shared" si="31"/>
        <v>2017</v>
      </c>
      <c r="S385">
        <f t="shared" si="32"/>
        <v>15.42736737729301</v>
      </c>
      <c r="T385" t="str">
        <f t="shared" si="33"/>
        <v>High</v>
      </c>
      <c r="U385">
        <f t="shared" si="34"/>
        <v>2025</v>
      </c>
      <c r="V385">
        <f t="shared" si="35"/>
        <v>1</v>
      </c>
    </row>
    <row r="386" spans="1:22" x14ac:dyDescent="0.3">
      <c r="A386" s="5" t="s">
        <v>427</v>
      </c>
      <c r="B386" s="6">
        <v>20260403</v>
      </c>
      <c r="C386" s="6" t="s">
        <v>25</v>
      </c>
      <c r="D386" s="6" t="s">
        <v>61</v>
      </c>
      <c r="E386" s="6" t="s">
        <v>26</v>
      </c>
      <c r="F386" s="6">
        <v>12873</v>
      </c>
      <c r="G386" s="6">
        <v>15701</v>
      </c>
      <c r="H386" s="6">
        <v>688</v>
      </c>
      <c r="I386" s="6">
        <v>29</v>
      </c>
      <c r="J386" s="6">
        <v>88</v>
      </c>
      <c r="K386" s="6">
        <v>75</v>
      </c>
      <c r="L386" s="6">
        <v>5039</v>
      </c>
      <c r="M386" s="6">
        <v>119</v>
      </c>
      <c r="N386" s="11">
        <v>0.76041666666666663</v>
      </c>
      <c r="O386" s="7" t="s">
        <v>38</v>
      </c>
      <c r="P386">
        <f t="shared" si="30"/>
        <v>1</v>
      </c>
      <c r="R386">
        <f t="shared" si="31"/>
        <v>880</v>
      </c>
      <c r="S386">
        <f t="shared" si="32"/>
        <v>14.628409090909091</v>
      </c>
      <c r="T386" t="str">
        <f t="shared" si="33"/>
        <v>High</v>
      </c>
      <c r="U386">
        <f t="shared" si="34"/>
        <v>2026</v>
      </c>
      <c r="V386">
        <f t="shared" si="35"/>
        <v>4</v>
      </c>
    </row>
    <row r="387" spans="1:22" x14ac:dyDescent="0.3">
      <c r="A387" s="8" t="s">
        <v>428</v>
      </c>
      <c r="B387" s="9">
        <v>20250111</v>
      </c>
      <c r="C387" s="9" t="s">
        <v>44</v>
      </c>
      <c r="D387" s="9" t="s">
        <v>17</v>
      </c>
      <c r="E387" s="9" t="s">
        <v>46</v>
      </c>
      <c r="F387" s="9">
        <v>21239</v>
      </c>
      <c r="G387" s="9">
        <v>24159</v>
      </c>
      <c r="H387" s="9">
        <v>839</v>
      </c>
      <c r="I387" s="9">
        <v>67</v>
      </c>
      <c r="J387" s="9">
        <v>108</v>
      </c>
      <c r="K387" s="9">
        <v>37</v>
      </c>
      <c r="L387" s="9">
        <v>15711</v>
      </c>
      <c r="M387" s="9">
        <v>353</v>
      </c>
      <c r="N387" s="12">
        <v>0.6875</v>
      </c>
      <c r="O387" s="10" t="s">
        <v>47</v>
      </c>
      <c r="P387">
        <f t="shared" ref="P387:P450" si="36">COUNTIF($A$2:$A$500,A387)</f>
        <v>1</v>
      </c>
      <c r="R387">
        <f t="shared" ref="R387:R450" si="37">SUM(H387:K387)</f>
        <v>1051</v>
      </c>
      <c r="S387">
        <f t="shared" ref="S387:S450" si="38">IFERROR(F387/R387,0)</f>
        <v>20.208372978116081</v>
      </c>
      <c r="T387" t="str">
        <f t="shared" ref="T387:T450" si="39">IF(S387&gt;=10,"High",IF(S387&gt;=5,"Medium",IF(S387&gt;=0,"Low")))</f>
        <v>High</v>
      </c>
      <c r="U387">
        <f t="shared" ref="U387:U450" si="40">LEFT(B387,4)*1</f>
        <v>2025</v>
      </c>
      <c r="V387">
        <f t="shared" ref="V387:V450" si="41">MID(B387,5,2)*1</f>
        <v>1</v>
      </c>
    </row>
    <row r="388" spans="1:22" x14ac:dyDescent="0.3">
      <c r="A388" s="5" t="s">
        <v>429</v>
      </c>
      <c r="B388" s="6">
        <v>20250502</v>
      </c>
      <c r="C388" s="6" t="s">
        <v>16</v>
      </c>
      <c r="D388" s="6" t="s">
        <v>29</v>
      </c>
      <c r="E388" s="6" t="s">
        <v>41</v>
      </c>
      <c r="F388" s="6">
        <v>65927</v>
      </c>
      <c r="G388" s="6">
        <v>76039</v>
      </c>
      <c r="H388" s="6">
        <v>7567</v>
      </c>
      <c r="I388" s="6">
        <v>306</v>
      </c>
      <c r="J388" s="6">
        <v>235</v>
      </c>
      <c r="K388" s="6">
        <v>399</v>
      </c>
      <c r="L388" s="6">
        <v>43205</v>
      </c>
      <c r="M388" s="6">
        <v>867</v>
      </c>
      <c r="N388" s="11">
        <v>0.625</v>
      </c>
      <c r="O388" s="7" t="s">
        <v>27</v>
      </c>
      <c r="P388">
        <f t="shared" si="36"/>
        <v>1</v>
      </c>
      <c r="R388">
        <f t="shared" si="37"/>
        <v>8507</v>
      </c>
      <c r="S388">
        <f t="shared" si="38"/>
        <v>7.7497355119313509</v>
      </c>
      <c r="T388" t="str">
        <f t="shared" si="39"/>
        <v>Medium</v>
      </c>
      <c r="U388">
        <f t="shared" si="40"/>
        <v>2025</v>
      </c>
      <c r="V388">
        <f t="shared" si="41"/>
        <v>5</v>
      </c>
    </row>
    <row r="389" spans="1:22" x14ac:dyDescent="0.3">
      <c r="A389" s="8" t="s">
        <v>430</v>
      </c>
      <c r="B389" s="9">
        <v>20250517</v>
      </c>
      <c r="C389" s="9" t="s">
        <v>32</v>
      </c>
      <c r="D389" s="9" t="s">
        <v>17</v>
      </c>
      <c r="E389" s="9" t="s">
        <v>18</v>
      </c>
      <c r="F389" s="9">
        <v>3839</v>
      </c>
      <c r="G389" s="9">
        <v>4893</v>
      </c>
      <c r="H389" s="9">
        <v>264</v>
      </c>
      <c r="I389" s="9">
        <v>13</v>
      </c>
      <c r="J389" s="9">
        <v>26</v>
      </c>
      <c r="K389" s="9">
        <v>38</v>
      </c>
      <c r="L389" s="9">
        <v>0</v>
      </c>
      <c r="M389" s="9">
        <v>53</v>
      </c>
      <c r="N389" s="12">
        <v>0.51041666666666663</v>
      </c>
      <c r="O389" s="10" t="s">
        <v>30</v>
      </c>
      <c r="P389">
        <f t="shared" si="36"/>
        <v>1</v>
      </c>
      <c r="R389">
        <f t="shared" si="37"/>
        <v>341</v>
      </c>
      <c r="S389">
        <f t="shared" si="38"/>
        <v>11.258064516129032</v>
      </c>
      <c r="T389" t="str">
        <f t="shared" si="39"/>
        <v>High</v>
      </c>
      <c r="U389">
        <f t="shared" si="40"/>
        <v>2025</v>
      </c>
      <c r="V389">
        <f t="shared" si="41"/>
        <v>5</v>
      </c>
    </row>
    <row r="390" spans="1:22" x14ac:dyDescent="0.3">
      <c r="A390" s="5" t="s">
        <v>431</v>
      </c>
      <c r="B390" s="6">
        <v>20250920</v>
      </c>
      <c r="C390" s="6" t="s">
        <v>25</v>
      </c>
      <c r="D390" s="6" t="s">
        <v>36</v>
      </c>
      <c r="E390" s="6" t="s">
        <v>18</v>
      </c>
      <c r="F390" s="6">
        <v>5939</v>
      </c>
      <c r="G390" s="6">
        <v>6842</v>
      </c>
      <c r="H390" s="6">
        <v>497</v>
      </c>
      <c r="I390" s="6">
        <v>31</v>
      </c>
      <c r="J390" s="6">
        <v>97</v>
      </c>
      <c r="K390" s="6">
        <v>63</v>
      </c>
      <c r="L390" s="6">
        <v>0</v>
      </c>
      <c r="M390" s="6">
        <v>105</v>
      </c>
      <c r="N390" s="11">
        <v>0.92708333333333337</v>
      </c>
      <c r="O390" s="7" t="s">
        <v>19</v>
      </c>
      <c r="P390">
        <f t="shared" si="36"/>
        <v>1</v>
      </c>
      <c r="R390">
        <f t="shared" si="37"/>
        <v>688</v>
      </c>
      <c r="S390">
        <f t="shared" si="38"/>
        <v>8.6322674418604652</v>
      </c>
      <c r="T390" t="str">
        <f t="shared" si="39"/>
        <v>Medium</v>
      </c>
      <c r="U390">
        <f t="shared" si="40"/>
        <v>2025</v>
      </c>
      <c r="V390">
        <f t="shared" si="41"/>
        <v>9</v>
      </c>
    </row>
    <row r="391" spans="1:22" x14ac:dyDescent="0.3">
      <c r="A391" s="8" t="s">
        <v>432</v>
      </c>
      <c r="B391" s="9">
        <v>20251203</v>
      </c>
      <c r="C391" s="9" t="s">
        <v>44</v>
      </c>
      <c r="D391" s="9" t="s">
        <v>36</v>
      </c>
      <c r="E391" s="9" t="s">
        <v>26</v>
      </c>
      <c r="F391" s="9">
        <v>23467</v>
      </c>
      <c r="G391" s="9">
        <v>33957</v>
      </c>
      <c r="H391" s="9">
        <v>2070</v>
      </c>
      <c r="I391" s="9">
        <v>72</v>
      </c>
      <c r="J391" s="9">
        <v>102</v>
      </c>
      <c r="K391" s="9">
        <v>289</v>
      </c>
      <c r="L391" s="9">
        <v>13158</v>
      </c>
      <c r="M391" s="9">
        <v>96</v>
      </c>
      <c r="N391" s="12">
        <v>0.625</v>
      </c>
      <c r="O391" s="10" t="s">
        <v>42</v>
      </c>
      <c r="P391">
        <f t="shared" si="36"/>
        <v>1</v>
      </c>
      <c r="R391">
        <f t="shared" si="37"/>
        <v>2533</v>
      </c>
      <c r="S391">
        <f t="shared" si="38"/>
        <v>9.2645084879589419</v>
      </c>
      <c r="T391" t="str">
        <f t="shared" si="39"/>
        <v>Medium</v>
      </c>
      <c r="U391">
        <f t="shared" si="40"/>
        <v>2025</v>
      </c>
      <c r="V391">
        <f t="shared" si="41"/>
        <v>12</v>
      </c>
    </row>
    <row r="392" spans="1:22" x14ac:dyDescent="0.3">
      <c r="A392" s="5" t="s">
        <v>433</v>
      </c>
      <c r="B392" s="6">
        <v>20250127</v>
      </c>
      <c r="C392" s="6" t="s">
        <v>40</v>
      </c>
      <c r="D392" s="6" t="s">
        <v>33</v>
      </c>
      <c r="E392" s="6" t="s">
        <v>41</v>
      </c>
      <c r="F392" s="6">
        <v>39285</v>
      </c>
      <c r="G392" s="6">
        <v>48247</v>
      </c>
      <c r="H392" s="6">
        <v>4444</v>
      </c>
      <c r="I392" s="6">
        <v>484</v>
      </c>
      <c r="J392" s="6">
        <v>431</v>
      </c>
      <c r="K392" s="6">
        <v>250</v>
      </c>
      <c r="L392" s="6">
        <v>19844</v>
      </c>
      <c r="M392" s="6">
        <v>660</v>
      </c>
      <c r="N392" s="11">
        <v>0.375</v>
      </c>
      <c r="O392" s="7" t="s">
        <v>27</v>
      </c>
      <c r="P392">
        <f t="shared" si="36"/>
        <v>1</v>
      </c>
      <c r="R392">
        <f t="shared" si="37"/>
        <v>5609</v>
      </c>
      <c r="S392">
        <f t="shared" si="38"/>
        <v>7.0039222677839188</v>
      </c>
      <c r="T392" t="str">
        <f t="shared" si="39"/>
        <v>Medium</v>
      </c>
      <c r="U392">
        <f t="shared" si="40"/>
        <v>2025</v>
      </c>
      <c r="V392">
        <f t="shared" si="41"/>
        <v>1</v>
      </c>
    </row>
    <row r="393" spans="1:22" x14ac:dyDescent="0.3">
      <c r="A393" s="8" t="s">
        <v>434</v>
      </c>
      <c r="B393" s="9">
        <v>20251220</v>
      </c>
      <c r="C393" s="9" t="s">
        <v>32</v>
      </c>
      <c r="D393" s="9" t="s">
        <v>17</v>
      </c>
      <c r="E393" s="9" t="s">
        <v>51</v>
      </c>
      <c r="F393" s="9">
        <v>6062</v>
      </c>
      <c r="G393" s="9">
        <v>8373</v>
      </c>
      <c r="H393" s="9">
        <v>605</v>
      </c>
      <c r="I393" s="9">
        <v>64</v>
      </c>
      <c r="J393" s="9">
        <v>103</v>
      </c>
      <c r="K393" s="9">
        <v>55</v>
      </c>
      <c r="L393" s="9">
        <v>0</v>
      </c>
      <c r="M393" s="9">
        <v>22</v>
      </c>
      <c r="N393" s="12">
        <v>0.86458333333333337</v>
      </c>
      <c r="O393" s="10" t="s">
        <v>27</v>
      </c>
      <c r="P393">
        <f t="shared" si="36"/>
        <v>1</v>
      </c>
      <c r="R393">
        <f t="shared" si="37"/>
        <v>827</v>
      </c>
      <c r="S393">
        <f t="shared" si="38"/>
        <v>7.3301088270858523</v>
      </c>
      <c r="T393" t="str">
        <f t="shared" si="39"/>
        <v>Medium</v>
      </c>
      <c r="U393">
        <f t="shared" si="40"/>
        <v>2025</v>
      </c>
      <c r="V393">
        <f t="shared" si="41"/>
        <v>12</v>
      </c>
    </row>
    <row r="394" spans="1:22" x14ac:dyDescent="0.3">
      <c r="A394" s="5" t="s">
        <v>435</v>
      </c>
      <c r="B394" s="6">
        <v>20250903</v>
      </c>
      <c r="C394" s="6" t="s">
        <v>40</v>
      </c>
      <c r="D394" s="6" t="s">
        <v>33</v>
      </c>
      <c r="E394" s="6" t="s">
        <v>41</v>
      </c>
      <c r="F394" s="6">
        <v>15686</v>
      </c>
      <c r="G394" s="6">
        <v>20015</v>
      </c>
      <c r="H394" s="6">
        <v>1134</v>
      </c>
      <c r="I394" s="6">
        <v>78</v>
      </c>
      <c r="J394" s="6">
        <v>173</v>
      </c>
      <c r="K394" s="6">
        <v>175</v>
      </c>
      <c r="L394" s="6">
        <v>5907</v>
      </c>
      <c r="M394" s="6">
        <v>54</v>
      </c>
      <c r="N394" s="11">
        <v>0.45833333333333331</v>
      </c>
      <c r="O394" s="7" t="s">
        <v>49</v>
      </c>
      <c r="P394">
        <f t="shared" si="36"/>
        <v>1</v>
      </c>
      <c r="R394">
        <f t="shared" si="37"/>
        <v>1560</v>
      </c>
      <c r="S394">
        <f t="shared" si="38"/>
        <v>10.055128205128206</v>
      </c>
      <c r="T394" t="str">
        <f t="shared" si="39"/>
        <v>High</v>
      </c>
      <c r="U394">
        <f t="shared" si="40"/>
        <v>2025</v>
      </c>
      <c r="V394">
        <f t="shared" si="41"/>
        <v>9</v>
      </c>
    </row>
    <row r="395" spans="1:22" x14ac:dyDescent="0.3">
      <c r="A395" s="8" t="s">
        <v>436</v>
      </c>
      <c r="B395" s="9">
        <v>20250603</v>
      </c>
      <c r="C395" s="9" t="s">
        <v>16</v>
      </c>
      <c r="D395" s="9" t="s">
        <v>61</v>
      </c>
      <c r="E395" s="9" t="s">
        <v>41</v>
      </c>
      <c r="F395" s="9">
        <v>11250</v>
      </c>
      <c r="G395" s="9">
        <v>11998</v>
      </c>
      <c r="H395" s="9">
        <v>1102</v>
      </c>
      <c r="I395" s="9">
        <v>91</v>
      </c>
      <c r="J395" s="9">
        <v>96</v>
      </c>
      <c r="K395" s="9">
        <v>67</v>
      </c>
      <c r="L395" s="9">
        <v>7283</v>
      </c>
      <c r="M395" s="9">
        <v>185</v>
      </c>
      <c r="N395" s="12">
        <v>0.79166666666666663</v>
      </c>
      <c r="O395" s="10" t="s">
        <v>23</v>
      </c>
      <c r="P395">
        <f t="shared" si="36"/>
        <v>1</v>
      </c>
      <c r="R395">
        <f t="shared" si="37"/>
        <v>1356</v>
      </c>
      <c r="S395">
        <f t="shared" si="38"/>
        <v>8.2964601769911503</v>
      </c>
      <c r="T395" t="str">
        <f t="shared" si="39"/>
        <v>Medium</v>
      </c>
      <c r="U395">
        <f t="shared" si="40"/>
        <v>2025</v>
      </c>
      <c r="V395">
        <f t="shared" si="41"/>
        <v>6</v>
      </c>
    </row>
    <row r="396" spans="1:22" x14ac:dyDescent="0.3">
      <c r="A396" s="5" t="s">
        <v>437</v>
      </c>
      <c r="B396" s="6">
        <v>20260423</v>
      </c>
      <c r="C396" s="6" t="s">
        <v>40</v>
      </c>
      <c r="D396" s="6" t="s">
        <v>36</v>
      </c>
      <c r="E396" s="6" t="s">
        <v>22</v>
      </c>
      <c r="F396" s="6">
        <v>9908</v>
      </c>
      <c r="G396" s="6">
        <v>16347</v>
      </c>
      <c r="H396" s="6">
        <v>388</v>
      </c>
      <c r="I396" s="6">
        <v>40</v>
      </c>
      <c r="J396" s="6">
        <v>54</v>
      </c>
      <c r="K396" s="6">
        <v>38</v>
      </c>
      <c r="L396" s="6">
        <v>0</v>
      </c>
      <c r="M396" s="6">
        <v>122</v>
      </c>
      <c r="N396" s="11">
        <v>0.41666666666666669</v>
      </c>
      <c r="O396" s="7" t="s">
        <v>19</v>
      </c>
      <c r="P396">
        <f t="shared" si="36"/>
        <v>1</v>
      </c>
      <c r="R396">
        <f t="shared" si="37"/>
        <v>520</v>
      </c>
      <c r="S396">
        <f t="shared" si="38"/>
        <v>19.053846153846155</v>
      </c>
      <c r="T396" t="str">
        <f t="shared" si="39"/>
        <v>High</v>
      </c>
      <c r="U396">
        <f t="shared" si="40"/>
        <v>2026</v>
      </c>
      <c r="V396">
        <f t="shared" si="41"/>
        <v>4</v>
      </c>
    </row>
    <row r="397" spans="1:22" x14ac:dyDescent="0.3">
      <c r="A397" s="8" t="s">
        <v>438</v>
      </c>
      <c r="B397" s="9">
        <v>20250423</v>
      </c>
      <c r="C397" s="9" t="s">
        <v>40</v>
      </c>
      <c r="D397" s="9"/>
      <c r="E397" s="9" t="s">
        <v>22</v>
      </c>
      <c r="F397" s="9">
        <v>12867</v>
      </c>
      <c r="G397" s="9">
        <v>16253</v>
      </c>
      <c r="H397" s="9">
        <v>1027</v>
      </c>
      <c r="I397" s="9">
        <v>31</v>
      </c>
      <c r="J397" s="9">
        <v>188</v>
      </c>
      <c r="K397" s="9">
        <v>76</v>
      </c>
      <c r="L397" s="9">
        <v>0</v>
      </c>
      <c r="M397" s="9">
        <v>18</v>
      </c>
      <c r="N397" s="12">
        <v>0.36458333333333331</v>
      </c>
      <c r="O397" s="10" t="s">
        <v>34</v>
      </c>
      <c r="P397">
        <f t="shared" si="36"/>
        <v>1</v>
      </c>
      <c r="R397">
        <f t="shared" si="37"/>
        <v>1322</v>
      </c>
      <c r="S397">
        <f t="shared" si="38"/>
        <v>9.7329803328290474</v>
      </c>
      <c r="T397" t="str">
        <f t="shared" si="39"/>
        <v>Medium</v>
      </c>
      <c r="U397">
        <f t="shared" si="40"/>
        <v>2025</v>
      </c>
      <c r="V397">
        <f t="shared" si="41"/>
        <v>4</v>
      </c>
    </row>
    <row r="398" spans="1:22" x14ac:dyDescent="0.3">
      <c r="A398" s="5" t="s">
        <v>439</v>
      </c>
      <c r="B398" s="6">
        <v>20260816</v>
      </c>
      <c r="C398" s="6" t="s">
        <v>16</v>
      </c>
      <c r="D398" s="6" t="s">
        <v>68</v>
      </c>
      <c r="E398" s="6" t="s">
        <v>46</v>
      </c>
      <c r="F398" s="6">
        <v>22675</v>
      </c>
      <c r="G398" s="6">
        <v>26483</v>
      </c>
      <c r="H398" s="6">
        <v>715</v>
      </c>
      <c r="I398" s="6">
        <v>48</v>
      </c>
      <c r="J398" s="6">
        <v>81</v>
      </c>
      <c r="K398" s="6">
        <v>109</v>
      </c>
      <c r="L398" s="6">
        <v>20335</v>
      </c>
      <c r="M398" s="6">
        <v>30</v>
      </c>
      <c r="N398" s="11">
        <v>0.83333333333333337</v>
      </c>
      <c r="O398" s="7" t="s">
        <v>47</v>
      </c>
      <c r="P398">
        <f t="shared" si="36"/>
        <v>1</v>
      </c>
      <c r="R398">
        <f t="shared" si="37"/>
        <v>953</v>
      </c>
      <c r="S398">
        <f t="shared" si="38"/>
        <v>23.793284365162645</v>
      </c>
      <c r="T398" t="str">
        <f t="shared" si="39"/>
        <v>High</v>
      </c>
      <c r="U398">
        <f t="shared" si="40"/>
        <v>2026</v>
      </c>
      <c r="V398">
        <f t="shared" si="41"/>
        <v>8</v>
      </c>
    </row>
    <row r="399" spans="1:22" x14ac:dyDescent="0.3">
      <c r="A399" s="8" t="s">
        <v>440</v>
      </c>
      <c r="B399" s="9">
        <v>20250322</v>
      </c>
      <c r="C399" s="9" t="s">
        <v>44</v>
      </c>
      <c r="D399" s="9" t="s">
        <v>17</v>
      </c>
      <c r="E399" s="9" t="s">
        <v>46</v>
      </c>
      <c r="F399" s="9">
        <v>78406</v>
      </c>
      <c r="G399" s="9">
        <v>114719</v>
      </c>
      <c r="H399" s="9">
        <v>7558</v>
      </c>
      <c r="I399" s="9">
        <v>192</v>
      </c>
      <c r="J399" s="9">
        <v>1399</v>
      </c>
      <c r="K399" s="9">
        <v>492</v>
      </c>
      <c r="L399" s="9">
        <v>54283</v>
      </c>
      <c r="M399" s="9">
        <v>524</v>
      </c>
      <c r="N399" s="12">
        <v>0.83333333333333337</v>
      </c>
      <c r="O399" s="10" t="s">
        <v>34</v>
      </c>
      <c r="P399">
        <f t="shared" si="36"/>
        <v>1</v>
      </c>
      <c r="R399">
        <f t="shared" si="37"/>
        <v>9641</v>
      </c>
      <c r="S399">
        <f t="shared" si="38"/>
        <v>8.132558863188466</v>
      </c>
      <c r="T399" t="str">
        <f t="shared" si="39"/>
        <v>Medium</v>
      </c>
      <c r="U399">
        <f t="shared" si="40"/>
        <v>2025</v>
      </c>
      <c r="V399">
        <f t="shared" si="41"/>
        <v>3</v>
      </c>
    </row>
    <row r="400" spans="1:22" x14ac:dyDescent="0.3">
      <c r="A400" s="5" t="s">
        <v>441</v>
      </c>
      <c r="B400" s="6">
        <v>20250830</v>
      </c>
      <c r="C400" s="6" t="s">
        <v>32</v>
      </c>
      <c r="D400" s="6" t="s">
        <v>68</v>
      </c>
      <c r="E400" s="6" t="s">
        <v>22</v>
      </c>
      <c r="F400" s="6">
        <v>8759</v>
      </c>
      <c r="G400" s="6">
        <v>14159</v>
      </c>
      <c r="H400" s="6">
        <v>842</v>
      </c>
      <c r="I400" s="6">
        <v>79</v>
      </c>
      <c r="J400" s="6">
        <v>44</v>
      </c>
      <c r="K400" s="6">
        <v>35</v>
      </c>
      <c r="L400" s="6">
        <v>0</v>
      </c>
      <c r="M400" s="6">
        <v>66</v>
      </c>
      <c r="N400" s="11">
        <v>0.42708333333333331</v>
      </c>
      <c r="O400" s="7" t="s">
        <v>34</v>
      </c>
      <c r="P400">
        <f t="shared" si="36"/>
        <v>1</v>
      </c>
      <c r="R400">
        <f t="shared" si="37"/>
        <v>1000</v>
      </c>
      <c r="S400">
        <f t="shared" si="38"/>
        <v>8.7590000000000003</v>
      </c>
      <c r="T400" t="str">
        <f t="shared" si="39"/>
        <v>Medium</v>
      </c>
      <c r="U400">
        <f t="shared" si="40"/>
        <v>2025</v>
      </c>
      <c r="V400">
        <f t="shared" si="41"/>
        <v>8</v>
      </c>
    </row>
    <row r="401" spans="1:22" x14ac:dyDescent="0.3">
      <c r="A401" s="8" t="s">
        <v>442</v>
      </c>
      <c r="B401" s="9">
        <v>20250711</v>
      </c>
      <c r="C401" s="9" t="s">
        <v>32</v>
      </c>
      <c r="D401" s="9" t="s">
        <v>68</v>
      </c>
      <c r="E401" s="9" t="s">
        <v>46</v>
      </c>
      <c r="F401" s="9">
        <v>10367</v>
      </c>
      <c r="G401" s="9">
        <v>14620</v>
      </c>
      <c r="H401" s="9">
        <v>551</v>
      </c>
      <c r="I401" s="9">
        <v>18</v>
      </c>
      <c r="J401" s="9">
        <v>22</v>
      </c>
      <c r="K401" s="9">
        <v>76</v>
      </c>
      <c r="L401" s="9">
        <v>6653</v>
      </c>
      <c r="M401" s="9">
        <v>133</v>
      </c>
      <c r="N401" s="12">
        <v>0.375</v>
      </c>
      <c r="O401" s="10" t="s">
        <v>47</v>
      </c>
      <c r="P401">
        <f t="shared" si="36"/>
        <v>1</v>
      </c>
      <c r="R401">
        <f t="shared" si="37"/>
        <v>667</v>
      </c>
      <c r="S401">
        <f t="shared" si="38"/>
        <v>15.54272863568216</v>
      </c>
      <c r="T401" t="str">
        <f t="shared" si="39"/>
        <v>High</v>
      </c>
      <c r="U401">
        <f t="shared" si="40"/>
        <v>2025</v>
      </c>
      <c r="V401">
        <f t="shared" si="41"/>
        <v>7</v>
      </c>
    </row>
    <row r="402" spans="1:22" x14ac:dyDescent="0.3">
      <c r="A402" s="5" t="s">
        <v>443</v>
      </c>
      <c r="B402" s="6">
        <v>20260301</v>
      </c>
      <c r="C402" s="6" t="s">
        <v>16</v>
      </c>
      <c r="D402" s="6" t="s">
        <v>17</v>
      </c>
      <c r="E402" s="6" t="s">
        <v>51</v>
      </c>
      <c r="F402" s="6">
        <v>32911</v>
      </c>
      <c r="G402" s="6">
        <v>51185</v>
      </c>
      <c r="H402" s="6">
        <v>3564</v>
      </c>
      <c r="I402" s="6">
        <v>279</v>
      </c>
      <c r="J402" s="6">
        <v>619</v>
      </c>
      <c r="K402" s="6">
        <v>516</v>
      </c>
      <c r="L402" s="6">
        <v>0</v>
      </c>
      <c r="M402" s="6">
        <v>398</v>
      </c>
      <c r="N402" s="11">
        <v>0.33333333333333331</v>
      </c>
      <c r="O402" s="7" t="s">
        <v>23</v>
      </c>
      <c r="P402">
        <f t="shared" si="36"/>
        <v>1</v>
      </c>
      <c r="R402">
        <f t="shared" si="37"/>
        <v>4978</v>
      </c>
      <c r="S402">
        <f t="shared" si="38"/>
        <v>6.6112896745680994</v>
      </c>
      <c r="T402" t="str">
        <f t="shared" si="39"/>
        <v>Medium</v>
      </c>
      <c r="U402">
        <f t="shared" si="40"/>
        <v>2026</v>
      </c>
      <c r="V402">
        <f t="shared" si="41"/>
        <v>3</v>
      </c>
    </row>
    <row r="403" spans="1:22" x14ac:dyDescent="0.3">
      <c r="A403" s="8" t="s">
        <v>444</v>
      </c>
      <c r="B403" s="9">
        <v>20250815</v>
      </c>
      <c r="C403" s="9" t="s">
        <v>16</v>
      </c>
      <c r="D403" s="9" t="s">
        <v>21</v>
      </c>
      <c r="E403" s="9" t="s">
        <v>46</v>
      </c>
      <c r="F403" s="9">
        <v>21400</v>
      </c>
      <c r="G403" s="9">
        <v>25362</v>
      </c>
      <c r="H403" s="9">
        <v>1375</v>
      </c>
      <c r="I403" s="9">
        <v>71</v>
      </c>
      <c r="J403" s="9">
        <v>246</v>
      </c>
      <c r="K403" s="9">
        <v>184</v>
      </c>
      <c r="L403" s="9">
        <v>7831</v>
      </c>
      <c r="M403" s="9">
        <v>212</v>
      </c>
      <c r="N403" s="12">
        <v>0.53125</v>
      </c>
      <c r="O403" s="10" t="s">
        <v>34</v>
      </c>
      <c r="P403">
        <f t="shared" si="36"/>
        <v>1</v>
      </c>
      <c r="R403">
        <f t="shared" si="37"/>
        <v>1876</v>
      </c>
      <c r="S403">
        <f t="shared" si="38"/>
        <v>11.40724946695096</v>
      </c>
      <c r="T403" t="str">
        <f t="shared" si="39"/>
        <v>High</v>
      </c>
      <c r="U403">
        <f t="shared" si="40"/>
        <v>2025</v>
      </c>
      <c r="V403">
        <f t="shared" si="41"/>
        <v>8</v>
      </c>
    </row>
    <row r="404" spans="1:22" x14ac:dyDescent="0.3">
      <c r="A404" s="5" t="s">
        <v>445</v>
      </c>
      <c r="B404" s="6">
        <v>20260616</v>
      </c>
      <c r="C404" s="6" t="s">
        <v>32</v>
      </c>
      <c r="D404" s="6" t="s">
        <v>36</v>
      </c>
      <c r="E404" s="6" t="s">
        <v>18</v>
      </c>
      <c r="F404" s="6">
        <v>7075</v>
      </c>
      <c r="G404" s="6">
        <v>8215</v>
      </c>
      <c r="H404" s="6">
        <v>540</v>
      </c>
      <c r="I404" s="6">
        <v>22</v>
      </c>
      <c r="J404" s="6">
        <v>68</v>
      </c>
      <c r="K404" s="6">
        <v>34</v>
      </c>
      <c r="L404" s="6">
        <v>0</v>
      </c>
      <c r="M404" s="6">
        <v>87</v>
      </c>
      <c r="N404" s="11">
        <v>0.71875</v>
      </c>
      <c r="O404" s="7" t="s">
        <v>19</v>
      </c>
      <c r="P404">
        <f t="shared" si="36"/>
        <v>1</v>
      </c>
      <c r="R404">
        <f t="shared" si="37"/>
        <v>664</v>
      </c>
      <c r="S404">
        <f t="shared" si="38"/>
        <v>10.65512048192771</v>
      </c>
      <c r="T404" t="str">
        <f t="shared" si="39"/>
        <v>High</v>
      </c>
      <c r="U404">
        <f t="shared" si="40"/>
        <v>2026</v>
      </c>
      <c r="V404">
        <f t="shared" si="41"/>
        <v>6</v>
      </c>
    </row>
    <row r="405" spans="1:22" x14ac:dyDescent="0.3">
      <c r="A405" s="8" t="s">
        <v>446</v>
      </c>
      <c r="B405" s="9">
        <v>20260222</v>
      </c>
      <c r="C405" s="9" t="s">
        <v>16</v>
      </c>
      <c r="D405" s="9" t="s">
        <v>29</v>
      </c>
      <c r="E405" s="9" t="s">
        <v>46</v>
      </c>
      <c r="F405" s="9">
        <v>16967</v>
      </c>
      <c r="G405" s="9">
        <v>22213</v>
      </c>
      <c r="H405" s="9">
        <v>705</v>
      </c>
      <c r="I405" s="9">
        <v>30</v>
      </c>
      <c r="J405" s="9">
        <v>84</v>
      </c>
      <c r="K405" s="9">
        <v>14</v>
      </c>
      <c r="L405" s="9">
        <v>9515</v>
      </c>
      <c r="M405" s="9">
        <v>244</v>
      </c>
      <c r="N405" s="12">
        <v>0.88541666666666663</v>
      </c>
      <c r="O405" s="10" t="s">
        <v>49</v>
      </c>
      <c r="P405">
        <f t="shared" si="36"/>
        <v>1</v>
      </c>
      <c r="R405">
        <f t="shared" si="37"/>
        <v>833</v>
      </c>
      <c r="S405">
        <f t="shared" si="38"/>
        <v>20.368547418967587</v>
      </c>
      <c r="T405" t="str">
        <f t="shared" si="39"/>
        <v>High</v>
      </c>
      <c r="U405">
        <f t="shared" si="40"/>
        <v>2026</v>
      </c>
      <c r="V405">
        <f t="shared" si="41"/>
        <v>2</v>
      </c>
    </row>
    <row r="406" spans="1:22" x14ac:dyDescent="0.3">
      <c r="A406" s="5" t="s">
        <v>447</v>
      </c>
      <c r="B406" s="6">
        <v>20250614</v>
      </c>
      <c r="C406" s="6" t="s">
        <v>32</v>
      </c>
      <c r="D406" s="6" t="s">
        <v>29</v>
      </c>
      <c r="E406" s="6" t="s">
        <v>51</v>
      </c>
      <c r="F406" s="6">
        <v>5436</v>
      </c>
      <c r="G406" s="6">
        <v>7924</v>
      </c>
      <c r="H406" s="6">
        <v>465</v>
      </c>
      <c r="I406" s="6">
        <v>21</v>
      </c>
      <c r="J406" s="6">
        <v>35</v>
      </c>
      <c r="K406" s="6">
        <v>49</v>
      </c>
      <c r="L406" s="6">
        <v>0</v>
      </c>
      <c r="M406" s="6">
        <v>13</v>
      </c>
      <c r="N406" s="11">
        <v>0.69791666666666663</v>
      </c>
      <c r="O406" s="7" t="s">
        <v>30</v>
      </c>
      <c r="P406">
        <f t="shared" si="36"/>
        <v>1</v>
      </c>
      <c r="R406">
        <f t="shared" si="37"/>
        <v>570</v>
      </c>
      <c r="S406">
        <f t="shared" si="38"/>
        <v>9.5368421052631582</v>
      </c>
      <c r="T406" t="str">
        <f t="shared" si="39"/>
        <v>Medium</v>
      </c>
      <c r="U406">
        <f t="shared" si="40"/>
        <v>2025</v>
      </c>
      <c r="V406">
        <f t="shared" si="41"/>
        <v>6</v>
      </c>
    </row>
    <row r="407" spans="1:22" x14ac:dyDescent="0.3">
      <c r="A407" s="8" t="s">
        <v>448</v>
      </c>
      <c r="B407" s="9">
        <v>20260705</v>
      </c>
      <c r="C407" s="9" t="s">
        <v>32</v>
      </c>
      <c r="D407" s="9" t="s">
        <v>17</v>
      </c>
      <c r="E407" s="9" t="s">
        <v>51</v>
      </c>
      <c r="F407" s="9">
        <v>5983</v>
      </c>
      <c r="G407" s="9">
        <v>7059</v>
      </c>
      <c r="H407" s="9">
        <v>680</v>
      </c>
      <c r="I407" s="9">
        <v>46</v>
      </c>
      <c r="J407" s="9">
        <v>34</v>
      </c>
      <c r="K407" s="9">
        <v>63</v>
      </c>
      <c r="L407" s="9">
        <v>0</v>
      </c>
      <c r="M407" s="9">
        <v>64</v>
      </c>
      <c r="N407" s="12">
        <v>0.60416666666666663</v>
      </c>
      <c r="O407" s="10" t="s">
        <v>30</v>
      </c>
      <c r="P407">
        <f t="shared" si="36"/>
        <v>1</v>
      </c>
      <c r="R407">
        <f t="shared" si="37"/>
        <v>823</v>
      </c>
      <c r="S407">
        <f t="shared" si="38"/>
        <v>7.2697448359659784</v>
      </c>
      <c r="T407" t="str">
        <f t="shared" si="39"/>
        <v>Medium</v>
      </c>
      <c r="U407">
        <f t="shared" si="40"/>
        <v>2026</v>
      </c>
      <c r="V407">
        <f t="shared" si="41"/>
        <v>7</v>
      </c>
    </row>
    <row r="408" spans="1:22" x14ac:dyDescent="0.3">
      <c r="A408" s="5" t="s">
        <v>449</v>
      </c>
      <c r="B408" s="6">
        <v>20250316</v>
      </c>
      <c r="C408" s="6" t="s">
        <v>40</v>
      </c>
      <c r="D408" s="6" t="s">
        <v>17</v>
      </c>
      <c r="E408" s="6" t="s">
        <v>51</v>
      </c>
      <c r="F408" s="6">
        <v>23404</v>
      </c>
      <c r="G408" s="6">
        <v>26382</v>
      </c>
      <c r="H408" s="6">
        <v>1842</v>
      </c>
      <c r="I408" s="6">
        <v>127</v>
      </c>
      <c r="J408" s="6">
        <v>258</v>
      </c>
      <c r="K408" s="6">
        <v>240</v>
      </c>
      <c r="L408" s="6">
        <v>0</v>
      </c>
      <c r="M408" s="6">
        <v>240</v>
      </c>
      <c r="N408" s="11">
        <v>0.58333333333333337</v>
      </c>
      <c r="O408" s="7" t="s">
        <v>34</v>
      </c>
      <c r="P408">
        <f t="shared" si="36"/>
        <v>1</v>
      </c>
      <c r="R408">
        <f t="shared" si="37"/>
        <v>2467</v>
      </c>
      <c r="S408">
        <f t="shared" si="38"/>
        <v>9.4868261045804623</v>
      </c>
      <c r="T408" t="str">
        <f t="shared" si="39"/>
        <v>Medium</v>
      </c>
      <c r="U408">
        <f t="shared" si="40"/>
        <v>2025</v>
      </c>
      <c r="V408">
        <f t="shared" si="41"/>
        <v>3</v>
      </c>
    </row>
    <row r="409" spans="1:22" x14ac:dyDescent="0.3">
      <c r="A409" s="8" t="s">
        <v>450</v>
      </c>
      <c r="B409" s="9">
        <v>20251028</v>
      </c>
      <c r="C409" s="9" t="s">
        <v>40</v>
      </c>
      <c r="D409" s="9" t="s">
        <v>33</v>
      </c>
      <c r="E409" s="9" t="s">
        <v>46</v>
      </c>
      <c r="F409" s="9">
        <v>26090</v>
      </c>
      <c r="G409" s="9">
        <v>39171</v>
      </c>
      <c r="H409" s="9">
        <v>2352</v>
      </c>
      <c r="I409" s="9">
        <v>220</v>
      </c>
      <c r="J409" s="9">
        <v>414</v>
      </c>
      <c r="K409" s="9">
        <v>344</v>
      </c>
      <c r="L409" s="9">
        <v>10247</v>
      </c>
      <c r="M409" s="9">
        <v>462</v>
      </c>
      <c r="N409" s="12">
        <v>0.78125</v>
      </c>
      <c r="O409" s="10" t="s">
        <v>53</v>
      </c>
      <c r="P409">
        <f t="shared" si="36"/>
        <v>1</v>
      </c>
      <c r="R409">
        <f t="shared" si="37"/>
        <v>3330</v>
      </c>
      <c r="S409">
        <f t="shared" si="38"/>
        <v>7.8348348348348349</v>
      </c>
      <c r="T409" t="str">
        <f t="shared" si="39"/>
        <v>Medium</v>
      </c>
      <c r="U409">
        <f t="shared" si="40"/>
        <v>2025</v>
      </c>
      <c r="V409">
        <f t="shared" si="41"/>
        <v>10</v>
      </c>
    </row>
    <row r="410" spans="1:22" x14ac:dyDescent="0.3">
      <c r="A410" s="5" t="s">
        <v>451</v>
      </c>
      <c r="B410" s="6">
        <v>20260330</v>
      </c>
      <c r="C410" s="6" t="s">
        <v>44</v>
      </c>
      <c r="D410" s="6" t="s">
        <v>21</v>
      </c>
      <c r="E410" s="6" t="s">
        <v>51</v>
      </c>
      <c r="F410" s="6">
        <v>46267</v>
      </c>
      <c r="G410" s="6">
        <v>49686</v>
      </c>
      <c r="H410" s="6">
        <v>2253</v>
      </c>
      <c r="I410" s="6">
        <v>76</v>
      </c>
      <c r="J410" s="6">
        <v>414</v>
      </c>
      <c r="K410" s="6">
        <v>148</v>
      </c>
      <c r="L410" s="6">
        <v>0</v>
      </c>
      <c r="M410" s="6">
        <v>102</v>
      </c>
      <c r="N410" s="11">
        <v>0.82291666666666663</v>
      </c>
      <c r="O410" s="7" t="s">
        <v>49</v>
      </c>
      <c r="P410">
        <f t="shared" si="36"/>
        <v>1</v>
      </c>
      <c r="R410">
        <f t="shared" si="37"/>
        <v>2891</v>
      </c>
      <c r="S410">
        <f t="shared" si="38"/>
        <v>16.003804911795225</v>
      </c>
      <c r="T410" t="str">
        <f t="shared" si="39"/>
        <v>High</v>
      </c>
      <c r="U410">
        <f t="shared" si="40"/>
        <v>2026</v>
      </c>
      <c r="V410">
        <f t="shared" si="41"/>
        <v>3</v>
      </c>
    </row>
    <row r="411" spans="1:22" x14ac:dyDescent="0.3">
      <c r="A411" s="8" t="s">
        <v>452</v>
      </c>
      <c r="B411" s="9">
        <v>20251010</v>
      </c>
      <c r="C411" s="9" t="s">
        <v>16</v>
      </c>
      <c r="D411" s="9" t="s">
        <v>68</v>
      </c>
      <c r="E411" s="9" t="s">
        <v>46</v>
      </c>
      <c r="F411" s="9">
        <v>30883</v>
      </c>
      <c r="G411" s="9">
        <v>48782</v>
      </c>
      <c r="H411" s="9">
        <v>2162</v>
      </c>
      <c r="I411" s="9">
        <v>207</v>
      </c>
      <c r="J411" s="9">
        <v>235</v>
      </c>
      <c r="K411" s="9">
        <v>226</v>
      </c>
      <c r="L411" s="9">
        <v>12406</v>
      </c>
      <c r="M411" s="9">
        <v>139</v>
      </c>
      <c r="N411" s="12">
        <v>0.5625</v>
      </c>
      <c r="O411" s="10" t="s">
        <v>49</v>
      </c>
      <c r="P411">
        <f t="shared" si="36"/>
        <v>1</v>
      </c>
      <c r="R411">
        <f t="shared" si="37"/>
        <v>2830</v>
      </c>
      <c r="S411">
        <f t="shared" si="38"/>
        <v>10.912720848056537</v>
      </c>
      <c r="T411" t="str">
        <f t="shared" si="39"/>
        <v>High</v>
      </c>
      <c r="U411">
        <f t="shared" si="40"/>
        <v>2025</v>
      </c>
      <c r="V411">
        <f t="shared" si="41"/>
        <v>10</v>
      </c>
    </row>
    <row r="412" spans="1:22" x14ac:dyDescent="0.3">
      <c r="A412" s="5" t="s">
        <v>453</v>
      </c>
      <c r="B412" s="6">
        <v>20260929</v>
      </c>
      <c r="C412" s="6" t="s">
        <v>16</v>
      </c>
      <c r="D412" s="6" t="s">
        <v>29</v>
      </c>
      <c r="E412" s="6" t="s">
        <v>18</v>
      </c>
      <c r="F412" s="6">
        <v>32822</v>
      </c>
      <c r="G412" s="6">
        <v>51501</v>
      </c>
      <c r="H412" s="6">
        <v>1047</v>
      </c>
      <c r="I412" s="6">
        <v>45</v>
      </c>
      <c r="J412" s="6">
        <v>85</v>
      </c>
      <c r="K412" s="6">
        <v>36</v>
      </c>
      <c r="L412" s="6">
        <v>0</v>
      </c>
      <c r="M412" s="6">
        <v>382</v>
      </c>
      <c r="N412" s="11">
        <v>0.48958333333333331</v>
      </c>
      <c r="O412" s="7" t="s">
        <v>53</v>
      </c>
      <c r="P412">
        <f t="shared" si="36"/>
        <v>1</v>
      </c>
      <c r="R412">
        <f t="shared" si="37"/>
        <v>1213</v>
      </c>
      <c r="S412">
        <f t="shared" si="38"/>
        <v>27.05853256389118</v>
      </c>
      <c r="T412" t="str">
        <f t="shared" si="39"/>
        <v>High</v>
      </c>
      <c r="U412">
        <f t="shared" si="40"/>
        <v>2026</v>
      </c>
      <c r="V412">
        <f t="shared" si="41"/>
        <v>9</v>
      </c>
    </row>
    <row r="413" spans="1:22" x14ac:dyDescent="0.3">
      <c r="A413" s="8" t="s">
        <v>454</v>
      </c>
      <c r="B413" s="9">
        <v>20260702</v>
      </c>
      <c r="C413" s="9" t="s">
        <v>44</v>
      </c>
      <c r="D413" s="9" t="s">
        <v>33</v>
      </c>
      <c r="E413" s="9" t="s">
        <v>51</v>
      </c>
      <c r="F413" s="9">
        <v>35729</v>
      </c>
      <c r="G413" s="9">
        <v>39736</v>
      </c>
      <c r="H413" s="9">
        <v>1708</v>
      </c>
      <c r="I413" s="9">
        <v>171</v>
      </c>
      <c r="J413" s="9">
        <v>269</v>
      </c>
      <c r="K413" s="9">
        <v>150</v>
      </c>
      <c r="L413" s="9">
        <v>0</v>
      </c>
      <c r="M413" s="9">
        <v>396</v>
      </c>
      <c r="N413" s="12">
        <v>0.9375</v>
      </c>
      <c r="O413" s="10" t="s">
        <v>38</v>
      </c>
      <c r="P413">
        <f t="shared" si="36"/>
        <v>1</v>
      </c>
      <c r="R413">
        <f t="shared" si="37"/>
        <v>2298</v>
      </c>
      <c r="S413">
        <f t="shared" si="38"/>
        <v>15.54786771105309</v>
      </c>
      <c r="T413" t="str">
        <f t="shared" si="39"/>
        <v>High</v>
      </c>
      <c r="U413">
        <f t="shared" si="40"/>
        <v>2026</v>
      </c>
      <c r="V413">
        <f t="shared" si="41"/>
        <v>7</v>
      </c>
    </row>
    <row r="414" spans="1:22" x14ac:dyDescent="0.3">
      <c r="A414" s="5" t="s">
        <v>455</v>
      </c>
      <c r="B414" s="6">
        <v>20260117</v>
      </c>
      <c r="C414" s="6" t="s">
        <v>44</v>
      </c>
      <c r="D414" s="6" t="s">
        <v>17</v>
      </c>
      <c r="E414" s="6" t="s">
        <v>18</v>
      </c>
      <c r="F414" s="6">
        <v>79974</v>
      </c>
      <c r="G414" s="6">
        <v>86031</v>
      </c>
      <c r="H414" s="6">
        <v>6055</v>
      </c>
      <c r="I414" s="6">
        <v>221</v>
      </c>
      <c r="J414" s="6">
        <v>769</v>
      </c>
      <c r="K414" s="6">
        <v>709</v>
      </c>
      <c r="L414" s="6">
        <v>0</v>
      </c>
      <c r="M414" s="6">
        <v>388</v>
      </c>
      <c r="N414" s="11">
        <v>0.63541666666666663</v>
      </c>
      <c r="O414" s="7" t="s">
        <v>30</v>
      </c>
      <c r="P414">
        <f t="shared" si="36"/>
        <v>1</v>
      </c>
      <c r="R414">
        <f t="shared" si="37"/>
        <v>7754</v>
      </c>
      <c r="S414">
        <f t="shared" si="38"/>
        <v>10.313902501934486</v>
      </c>
      <c r="T414" t="str">
        <f t="shared" si="39"/>
        <v>High</v>
      </c>
      <c r="U414">
        <f t="shared" si="40"/>
        <v>2026</v>
      </c>
      <c r="V414">
        <f t="shared" si="41"/>
        <v>1</v>
      </c>
    </row>
    <row r="415" spans="1:22" x14ac:dyDescent="0.3">
      <c r="A415" s="8" t="s">
        <v>456</v>
      </c>
      <c r="B415" s="9">
        <v>20260417</v>
      </c>
      <c r="C415" s="9" t="s">
        <v>44</v>
      </c>
      <c r="D415" s="9" t="s">
        <v>17</v>
      </c>
      <c r="E415" s="9" t="s">
        <v>41</v>
      </c>
      <c r="F415" s="9">
        <v>34808</v>
      </c>
      <c r="G415" s="9">
        <v>54757</v>
      </c>
      <c r="H415" s="9">
        <v>2180</v>
      </c>
      <c r="I415" s="9">
        <v>206</v>
      </c>
      <c r="J415" s="9">
        <v>225</v>
      </c>
      <c r="K415" s="9">
        <v>254</v>
      </c>
      <c r="L415" s="9">
        <v>12245</v>
      </c>
      <c r="M415" s="9">
        <v>283</v>
      </c>
      <c r="N415" s="12">
        <v>0.58333333333333337</v>
      </c>
      <c r="O415" s="10" t="s">
        <v>49</v>
      </c>
      <c r="P415">
        <f t="shared" si="36"/>
        <v>1</v>
      </c>
      <c r="R415">
        <f t="shared" si="37"/>
        <v>2865</v>
      </c>
      <c r="S415">
        <f t="shared" si="38"/>
        <v>12.149389179755673</v>
      </c>
      <c r="T415" t="str">
        <f t="shared" si="39"/>
        <v>High</v>
      </c>
      <c r="U415">
        <f t="shared" si="40"/>
        <v>2026</v>
      </c>
      <c r="V415">
        <f t="shared" si="41"/>
        <v>4</v>
      </c>
    </row>
    <row r="416" spans="1:22" x14ac:dyDescent="0.3">
      <c r="A416" s="5" t="s">
        <v>457</v>
      </c>
      <c r="B416" s="6">
        <v>20251130</v>
      </c>
      <c r="C416" s="6" t="s">
        <v>44</v>
      </c>
      <c r="D416" s="6" t="s">
        <v>61</v>
      </c>
      <c r="E416" s="6" t="s">
        <v>51</v>
      </c>
      <c r="F416" s="6">
        <v>130758</v>
      </c>
      <c r="G416" s="6">
        <v>215202</v>
      </c>
      <c r="H416" s="6">
        <v>7404</v>
      </c>
      <c r="I416" s="6">
        <v>410</v>
      </c>
      <c r="J416" s="6">
        <v>1359</v>
      </c>
      <c r="K416" s="6">
        <v>164</v>
      </c>
      <c r="L416" s="6">
        <v>0</v>
      </c>
      <c r="M416" s="6">
        <v>1135</v>
      </c>
      <c r="N416" s="11">
        <v>0.33333333333333331</v>
      </c>
      <c r="O416" s="7" t="s">
        <v>49</v>
      </c>
      <c r="P416">
        <f t="shared" si="36"/>
        <v>1</v>
      </c>
      <c r="R416">
        <f t="shared" si="37"/>
        <v>9337</v>
      </c>
      <c r="S416">
        <f t="shared" si="38"/>
        <v>14.004284031273428</v>
      </c>
      <c r="T416" t="str">
        <f t="shared" si="39"/>
        <v>High</v>
      </c>
      <c r="U416">
        <f t="shared" si="40"/>
        <v>2025</v>
      </c>
      <c r="V416">
        <f t="shared" si="41"/>
        <v>11</v>
      </c>
    </row>
    <row r="417" spans="1:22" x14ac:dyDescent="0.3">
      <c r="A417" s="8" t="s">
        <v>458</v>
      </c>
      <c r="B417" s="9">
        <v>20260514</v>
      </c>
      <c r="C417" s="9" t="s">
        <v>25</v>
      </c>
      <c r="D417" s="9" t="s">
        <v>17</v>
      </c>
      <c r="E417" s="9" t="s">
        <v>22</v>
      </c>
      <c r="F417" s="9">
        <v>11756</v>
      </c>
      <c r="G417" s="9">
        <v>14731</v>
      </c>
      <c r="H417" s="9">
        <v>734</v>
      </c>
      <c r="I417" s="9">
        <v>32</v>
      </c>
      <c r="J417" s="9">
        <v>105</v>
      </c>
      <c r="K417" s="9">
        <v>71</v>
      </c>
      <c r="L417" s="9">
        <v>0</v>
      </c>
      <c r="M417" s="9">
        <v>133</v>
      </c>
      <c r="N417" s="12">
        <v>0.83333333333333337</v>
      </c>
      <c r="O417" s="10" t="s">
        <v>34</v>
      </c>
      <c r="P417">
        <f t="shared" si="36"/>
        <v>1</v>
      </c>
      <c r="R417">
        <f t="shared" si="37"/>
        <v>942</v>
      </c>
      <c r="S417">
        <f t="shared" si="38"/>
        <v>12.479830148619957</v>
      </c>
      <c r="T417" t="str">
        <f t="shared" si="39"/>
        <v>High</v>
      </c>
      <c r="U417">
        <f t="shared" si="40"/>
        <v>2026</v>
      </c>
      <c r="V417">
        <f t="shared" si="41"/>
        <v>5</v>
      </c>
    </row>
    <row r="418" spans="1:22" x14ac:dyDescent="0.3">
      <c r="A418" s="5" t="s">
        <v>459</v>
      </c>
      <c r="B418" s="6">
        <v>20260808</v>
      </c>
      <c r="C418" s="6" t="s">
        <v>25</v>
      </c>
      <c r="D418" s="6" t="s">
        <v>33</v>
      </c>
      <c r="E418" s="6" t="s">
        <v>46</v>
      </c>
      <c r="F418" s="6">
        <v>19126</v>
      </c>
      <c r="G418" s="6">
        <v>22216</v>
      </c>
      <c r="H418" s="6">
        <v>1794</v>
      </c>
      <c r="I418" s="6">
        <v>84</v>
      </c>
      <c r="J418" s="6">
        <v>305</v>
      </c>
      <c r="K418" s="6">
        <v>161</v>
      </c>
      <c r="L418" s="6">
        <v>11474</v>
      </c>
      <c r="M418" s="6">
        <v>63</v>
      </c>
      <c r="N418" s="11">
        <v>0.30208333333333331</v>
      </c>
      <c r="O418" s="7" t="s">
        <v>49</v>
      </c>
      <c r="P418">
        <f t="shared" si="36"/>
        <v>1</v>
      </c>
      <c r="R418">
        <f t="shared" si="37"/>
        <v>2344</v>
      </c>
      <c r="S418">
        <f t="shared" si="38"/>
        <v>8.1595563139931748</v>
      </c>
      <c r="T418" t="str">
        <f t="shared" si="39"/>
        <v>Medium</v>
      </c>
      <c r="U418">
        <f t="shared" si="40"/>
        <v>2026</v>
      </c>
      <c r="V418">
        <f t="shared" si="41"/>
        <v>8</v>
      </c>
    </row>
    <row r="419" spans="1:22" x14ac:dyDescent="0.3">
      <c r="A419" s="8" t="s">
        <v>460</v>
      </c>
      <c r="B419" s="9">
        <v>20250208</v>
      </c>
      <c r="C419" s="9" t="s">
        <v>32</v>
      </c>
      <c r="D419" s="9" t="s">
        <v>61</v>
      </c>
      <c r="E419" s="9" t="s">
        <v>26</v>
      </c>
      <c r="F419" s="9">
        <v>10548</v>
      </c>
      <c r="G419" s="9">
        <v>11247</v>
      </c>
      <c r="H419" s="9">
        <v>1232</v>
      </c>
      <c r="I419" s="9">
        <v>83</v>
      </c>
      <c r="J419" s="9">
        <v>123</v>
      </c>
      <c r="K419" s="9">
        <v>82</v>
      </c>
      <c r="L419" s="9">
        <v>7804</v>
      </c>
      <c r="M419" s="9">
        <v>16</v>
      </c>
      <c r="N419" s="12">
        <v>0.82291666666666663</v>
      </c>
      <c r="O419" s="10" t="s">
        <v>42</v>
      </c>
      <c r="P419">
        <f t="shared" si="36"/>
        <v>1</v>
      </c>
      <c r="R419">
        <f t="shared" si="37"/>
        <v>1520</v>
      </c>
      <c r="S419">
        <f t="shared" si="38"/>
        <v>6.939473684210526</v>
      </c>
      <c r="T419" t="str">
        <f t="shared" si="39"/>
        <v>Medium</v>
      </c>
      <c r="U419">
        <f t="shared" si="40"/>
        <v>2025</v>
      </c>
      <c r="V419">
        <f t="shared" si="41"/>
        <v>2</v>
      </c>
    </row>
    <row r="420" spans="1:22" x14ac:dyDescent="0.3">
      <c r="A420" s="5" t="s">
        <v>461</v>
      </c>
      <c r="B420" s="6">
        <v>20250808</v>
      </c>
      <c r="C420" s="6" t="s">
        <v>16</v>
      </c>
      <c r="D420" s="6" t="s">
        <v>36</v>
      </c>
      <c r="E420" s="6" t="s">
        <v>51</v>
      </c>
      <c r="F420" s="6">
        <v>22864</v>
      </c>
      <c r="G420" s="6">
        <v>33275</v>
      </c>
      <c r="H420" s="6">
        <v>2155</v>
      </c>
      <c r="I420" s="6">
        <v>121</v>
      </c>
      <c r="J420" s="6">
        <v>296</v>
      </c>
      <c r="K420" s="6">
        <v>287</v>
      </c>
      <c r="L420" s="6">
        <v>0</v>
      </c>
      <c r="M420" s="6">
        <v>43</v>
      </c>
      <c r="N420" s="11">
        <v>0.5</v>
      </c>
      <c r="O420" s="7" t="s">
        <v>23</v>
      </c>
      <c r="P420">
        <f t="shared" si="36"/>
        <v>1</v>
      </c>
      <c r="R420">
        <f t="shared" si="37"/>
        <v>2859</v>
      </c>
      <c r="S420">
        <f t="shared" si="38"/>
        <v>7.9972018188177687</v>
      </c>
      <c r="T420" t="str">
        <f t="shared" si="39"/>
        <v>Medium</v>
      </c>
      <c r="U420">
        <f t="shared" si="40"/>
        <v>2025</v>
      </c>
      <c r="V420">
        <f t="shared" si="41"/>
        <v>8</v>
      </c>
    </row>
    <row r="421" spans="1:22" x14ac:dyDescent="0.3">
      <c r="A421" s="8" t="s">
        <v>462</v>
      </c>
      <c r="B421" s="9">
        <v>20250417</v>
      </c>
      <c r="C421" s="9" t="s">
        <v>16</v>
      </c>
      <c r="D421" s="9" t="s">
        <v>33</v>
      </c>
      <c r="E421" s="9" t="s">
        <v>51</v>
      </c>
      <c r="F421" s="9">
        <v>31867</v>
      </c>
      <c r="G421" s="9">
        <v>38209</v>
      </c>
      <c r="H421" s="9">
        <v>3745</v>
      </c>
      <c r="I421" s="9">
        <v>195</v>
      </c>
      <c r="J421" s="9">
        <v>324</v>
      </c>
      <c r="K421" s="9">
        <v>143</v>
      </c>
      <c r="L421" s="9">
        <v>0</v>
      </c>
      <c r="M421" s="9">
        <v>62</v>
      </c>
      <c r="N421" s="12">
        <v>0.44791666666666669</v>
      </c>
      <c r="O421" s="10" t="s">
        <v>34</v>
      </c>
      <c r="P421">
        <f t="shared" si="36"/>
        <v>1</v>
      </c>
      <c r="R421">
        <f t="shared" si="37"/>
        <v>4407</v>
      </c>
      <c r="S421">
        <f t="shared" si="38"/>
        <v>7.2309961425005671</v>
      </c>
      <c r="T421" t="str">
        <f t="shared" si="39"/>
        <v>Medium</v>
      </c>
      <c r="U421">
        <f t="shared" si="40"/>
        <v>2025</v>
      </c>
      <c r="V421">
        <f t="shared" si="41"/>
        <v>4</v>
      </c>
    </row>
    <row r="422" spans="1:22" x14ac:dyDescent="0.3">
      <c r="A422" s="5" t="s">
        <v>463</v>
      </c>
      <c r="B422" s="6">
        <v>20260602</v>
      </c>
      <c r="C422" s="6" t="s">
        <v>44</v>
      </c>
      <c r="D422" s="6" t="s">
        <v>21</v>
      </c>
      <c r="E422" s="6" t="s">
        <v>46</v>
      </c>
      <c r="F422" s="6">
        <v>38542</v>
      </c>
      <c r="G422" s="6">
        <v>49578</v>
      </c>
      <c r="H422" s="6">
        <v>2685</v>
      </c>
      <c r="I422" s="6">
        <v>217</v>
      </c>
      <c r="J422" s="6">
        <v>240</v>
      </c>
      <c r="K422" s="6">
        <v>363</v>
      </c>
      <c r="L422" s="6">
        <v>13895</v>
      </c>
      <c r="M422" s="6">
        <v>39</v>
      </c>
      <c r="N422" s="11">
        <v>0.83333333333333337</v>
      </c>
      <c r="O422" s="7" t="s">
        <v>42</v>
      </c>
      <c r="P422">
        <f t="shared" si="36"/>
        <v>1</v>
      </c>
      <c r="R422">
        <f t="shared" si="37"/>
        <v>3505</v>
      </c>
      <c r="S422">
        <f t="shared" si="38"/>
        <v>10.996291012838801</v>
      </c>
      <c r="T422" t="str">
        <f t="shared" si="39"/>
        <v>High</v>
      </c>
      <c r="U422">
        <f t="shared" si="40"/>
        <v>2026</v>
      </c>
      <c r="V422">
        <f t="shared" si="41"/>
        <v>6</v>
      </c>
    </row>
    <row r="423" spans="1:22" x14ac:dyDescent="0.3">
      <c r="A423" s="8" t="s">
        <v>464</v>
      </c>
      <c r="B423" s="9">
        <v>20250513</v>
      </c>
      <c r="C423" s="9" t="s">
        <v>16</v>
      </c>
      <c r="D423" s="9" t="s">
        <v>29</v>
      </c>
      <c r="E423" s="9" t="s">
        <v>18</v>
      </c>
      <c r="F423" s="9">
        <v>30273</v>
      </c>
      <c r="G423" s="9">
        <v>45363</v>
      </c>
      <c r="H423" s="9">
        <v>1308</v>
      </c>
      <c r="I423" s="9">
        <v>174</v>
      </c>
      <c r="J423" s="9">
        <v>201</v>
      </c>
      <c r="K423" s="9">
        <v>193</v>
      </c>
      <c r="L423" s="9">
        <v>0</v>
      </c>
      <c r="M423" s="9">
        <v>387</v>
      </c>
      <c r="N423" s="12">
        <v>0.92708333333333337</v>
      </c>
      <c r="O423" s="10" t="s">
        <v>19</v>
      </c>
      <c r="P423">
        <f t="shared" si="36"/>
        <v>1</v>
      </c>
      <c r="R423">
        <f t="shared" si="37"/>
        <v>1876</v>
      </c>
      <c r="S423">
        <f t="shared" si="38"/>
        <v>16.136993603411515</v>
      </c>
      <c r="T423" t="str">
        <f t="shared" si="39"/>
        <v>High</v>
      </c>
      <c r="U423">
        <f t="shared" si="40"/>
        <v>2025</v>
      </c>
      <c r="V423">
        <f t="shared" si="41"/>
        <v>5</v>
      </c>
    </row>
    <row r="424" spans="1:22" x14ac:dyDescent="0.3">
      <c r="A424" s="5" t="s">
        <v>465</v>
      </c>
      <c r="B424" s="6">
        <v>20260418</v>
      </c>
      <c r="C424" s="6" t="s">
        <v>32</v>
      </c>
      <c r="D424" s="6" t="s">
        <v>21</v>
      </c>
      <c r="E424" s="6" t="s">
        <v>41</v>
      </c>
      <c r="F424" s="6">
        <v>11099</v>
      </c>
      <c r="G424" s="6">
        <v>14888</v>
      </c>
      <c r="H424" s="6">
        <v>713</v>
      </c>
      <c r="I424" s="6">
        <v>72</v>
      </c>
      <c r="J424" s="6">
        <v>134</v>
      </c>
      <c r="K424" s="6">
        <v>90</v>
      </c>
      <c r="L424" s="6">
        <v>6763</v>
      </c>
      <c r="M424" s="6">
        <v>48</v>
      </c>
      <c r="N424" s="11">
        <v>0.53125</v>
      </c>
      <c r="O424" s="7" t="s">
        <v>49</v>
      </c>
      <c r="P424">
        <f t="shared" si="36"/>
        <v>1</v>
      </c>
      <c r="R424">
        <f t="shared" si="37"/>
        <v>1009</v>
      </c>
      <c r="S424">
        <f t="shared" si="38"/>
        <v>11</v>
      </c>
      <c r="T424" t="str">
        <f t="shared" si="39"/>
        <v>High</v>
      </c>
      <c r="U424">
        <f t="shared" si="40"/>
        <v>2026</v>
      </c>
      <c r="V424">
        <f t="shared" si="41"/>
        <v>4</v>
      </c>
    </row>
    <row r="425" spans="1:22" x14ac:dyDescent="0.3">
      <c r="A425" s="8" t="s">
        <v>466</v>
      </c>
      <c r="B425" s="9">
        <v>20251108</v>
      </c>
      <c r="C425" s="9" t="s">
        <v>40</v>
      </c>
      <c r="D425" s="9" t="s">
        <v>21</v>
      </c>
      <c r="E425" s="9" t="s">
        <v>18</v>
      </c>
      <c r="F425" s="9">
        <v>22225</v>
      </c>
      <c r="G425" s="9">
        <v>24664</v>
      </c>
      <c r="H425" s="9">
        <v>2348</v>
      </c>
      <c r="I425" s="9">
        <v>70</v>
      </c>
      <c r="J425" s="9">
        <v>132</v>
      </c>
      <c r="K425" s="9">
        <v>324</v>
      </c>
      <c r="L425" s="9">
        <v>0</v>
      </c>
      <c r="M425" s="9">
        <v>39</v>
      </c>
      <c r="N425" s="12">
        <v>0.80208333333333337</v>
      </c>
      <c r="O425" s="10" t="s">
        <v>38</v>
      </c>
      <c r="P425">
        <f t="shared" si="36"/>
        <v>1</v>
      </c>
      <c r="R425">
        <f t="shared" si="37"/>
        <v>2874</v>
      </c>
      <c r="S425">
        <f t="shared" si="38"/>
        <v>7.7331245650661096</v>
      </c>
      <c r="T425" t="str">
        <f t="shared" si="39"/>
        <v>Medium</v>
      </c>
      <c r="U425">
        <f t="shared" si="40"/>
        <v>2025</v>
      </c>
      <c r="V425">
        <f t="shared" si="41"/>
        <v>11</v>
      </c>
    </row>
    <row r="426" spans="1:22" x14ac:dyDescent="0.3">
      <c r="A426" s="5" t="s">
        <v>467</v>
      </c>
      <c r="B426" s="6">
        <v>20260601</v>
      </c>
      <c r="C426" s="6" t="s">
        <v>44</v>
      </c>
      <c r="D426" s="6" t="s">
        <v>33</v>
      </c>
      <c r="E426" s="6" t="s">
        <v>46</v>
      </c>
      <c r="F426" s="6">
        <v>30382</v>
      </c>
      <c r="G426" s="6">
        <v>39237</v>
      </c>
      <c r="H426" s="6">
        <v>2055</v>
      </c>
      <c r="I426" s="6">
        <v>179</v>
      </c>
      <c r="J426" s="6">
        <v>267</v>
      </c>
      <c r="K426" s="6">
        <v>290</v>
      </c>
      <c r="L426" s="6">
        <v>18203</v>
      </c>
      <c r="M426" s="6">
        <v>319</v>
      </c>
      <c r="N426" s="11">
        <v>0.39583333333333331</v>
      </c>
      <c r="O426" s="7" t="s">
        <v>47</v>
      </c>
      <c r="P426">
        <f t="shared" si="36"/>
        <v>1</v>
      </c>
      <c r="R426">
        <f t="shared" si="37"/>
        <v>2791</v>
      </c>
      <c r="S426">
        <f t="shared" si="38"/>
        <v>10.885704048728055</v>
      </c>
      <c r="T426" t="str">
        <f t="shared" si="39"/>
        <v>High</v>
      </c>
      <c r="U426">
        <f t="shared" si="40"/>
        <v>2026</v>
      </c>
      <c r="V426">
        <f t="shared" si="41"/>
        <v>6</v>
      </c>
    </row>
    <row r="427" spans="1:22" x14ac:dyDescent="0.3">
      <c r="A427" s="8" t="s">
        <v>468</v>
      </c>
      <c r="B427" s="9">
        <v>20250207</v>
      </c>
      <c r="C427" s="9" t="s">
        <v>25</v>
      </c>
      <c r="D427" s="9" t="s">
        <v>36</v>
      </c>
      <c r="E427" s="9" t="s">
        <v>26</v>
      </c>
      <c r="F427" s="9">
        <v>8306</v>
      </c>
      <c r="G427" s="9">
        <v>12173</v>
      </c>
      <c r="H427" s="9">
        <v>919</v>
      </c>
      <c r="I427" s="9">
        <v>80</v>
      </c>
      <c r="J427" s="9">
        <v>96</v>
      </c>
      <c r="K427" s="9">
        <v>143</v>
      </c>
      <c r="L427" s="9">
        <v>6755</v>
      </c>
      <c r="M427" s="9">
        <v>11</v>
      </c>
      <c r="N427" s="12">
        <v>0.42708333333333331</v>
      </c>
      <c r="O427" s="10" t="s">
        <v>42</v>
      </c>
      <c r="P427">
        <f t="shared" si="36"/>
        <v>1</v>
      </c>
      <c r="R427">
        <f t="shared" si="37"/>
        <v>1238</v>
      </c>
      <c r="S427">
        <f t="shared" si="38"/>
        <v>6.7092084006462036</v>
      </c>
      <c r="T427" t="str">
        <f t="shared" si="39"/>
        <v>Medium</v>
      </c>
      <c r="U427">
        <f t="shared" si="40"/>
        <v>2025</v>
      </c>
      <c r="V427">
        <f t="shared" si="41"/>
        <v>2</v>
      </c>
    </row>
    <row r="428" spans="1:22" x14ac:dyDescent="0.3">
      <c r="A428" s="5" t="s">
        <v>469</v>
      </c>
      <c r="B428" s="6">
        <v>20250120</v>
      </c>
      <c r="C428" s="6" t="s">
        <v>44</v>
      </c>
      <c r="D428" s="6" t="s">
        <v>29</v>
      </c>
      <c r="E428" s="6" t="s">
        <v>46</v>
      </c>
      <c r="F428" s="6">
        <v>52428</v>
      </c>
      <c r="G428" s="6">
        <v>69559</v>
      </c>
      <c r="H428" s="6">
        <v>5245</v>
      </c>
      <c r="I428" s="6">
        <v>631</v>
      </c>
      <c r="J428" s="6">
        <v>650</v>
      </c>
      <c r="K428" s="6">
        <v>762</v>
      </c>
      <c r="L428" s="6">
        <v>24270</v>
      </c>
      <c r="M428" s="6">
        <v>392</v>
      </c>
      <c r="N428" s="11">
        <v>0.53125</v>
      </c>
      <c r="O428" s="7" t="s">
        <v>38</v>
      </c>
      <c r="P428">
        <f t="shared" si="36"/>
        <v>1</v>
      </c>
      <c r="R428">
        <f t="shared" si="37"/>
        <v>7288</v>
      </c>
      <c r="S428">
        <f t="shared" si="38"/>
        <v>7.1937431394072444</v>
      </c>
      <c r="T428" t="str">
        <f t="shared" si="39"/>
        <v>Medium</v>
      </c>
      <c r="U428">
        <f t="shared" si="40"/>
        <v>2025</v>
      </c>
      <c r="V428">
        <f t="shared" si="41"/>
        <v>1</v>
      </c>
    </row>
    <row r="429" spans="1:22" x14ac:dyDescent="0.3">
      <c r="A429" s="8" t="s">
        <v>470</v>
      </c>
      <c r="B429" s="9">
        <v>20260805</v>
      </c>
      <c r="C429" s="9" t="s">
        <v>40</v>
      </c>
      <c r="D429" s="9" t="s">
        <v>36</v>
      </c>
      <c r="E429" s="9" t="s">
        <v>22</v>
      </c>
      <c r="F429" s="9">
        <v>15871</v>
      </c>
      <c r="G429" s="9">
        <v>25099</v>
      </c>
      <c r="H429" s="9">
        <v>1885</v>
      </c>
      <c r="I429" s="9">
        <v>184</v>
      </c>
      <c r="J429" s="9">
        <v>89</v>
      </c>
      <c r="K429" s="9">
        <v>175</v>
      </c>
      <c r="L429" s="9">
        <v>0</v>
      </c>
      <c r="M429" s="9">
        <v>279</v>
      </c>
      <c r="N429" s="12">
        <v>0.48958333333333331</v>
      </c>
      <c r="O429" s="10" t="s">
        <v>30</v>
      </c>
      <c r="P429">
        <f t="shared" si="36"/>
        <v>1</v>
      </c>
      <c r="R429">
        <f t="shared" si="37"/>
        <v>2333</v>
      </c>
      <c r="S429">
        <f t="shared" si="38"/>
        <v>6.8028289755679383</v>
      </c>
      <c r="T429" t="str">
        <f t="shared" si="39"/>
        <v>Medium</v>
      </c>
      <c r="U429">
        <f t="shared" si="40"/>
        <v>2026</v>
      </c>
      <c r="V429">
        <f t="shared" si="41"/>
        <v>8</v>
      </c>
    </row>
    <row r="430" spans="1:22" x14ac:dyDescent="0.3">
      <c r="A430" s="5" t="s">
        <v>471</v>
      </c>
      <c r="B430" s="6">
        <v>20260701</v>
      </c>
      <c r="C430" s="6" t="s">
        <v>44</v>
      </c>
      <c r="D430" s="6" t="s">
        <v>36</v>
      </c>
      <c r="E430" s="6" t="s">
        <v>46</v>
      </c>
      <c r="F430" s="6">
        <v>29524</v>
      </c>
      <c r="G430" s="6">
        <v>40427</v>
      </c>
      <c r="H430" s="6">
        <v>1646</v>
      </c>
      <c r="I430" s="6">
        <v>186</v>
      </c>
      <c r="J430" s="6">
        <v>171</v>
      </c>
      <c r="K430" s="6">
        <v>133</v>
      </c>
      <c r="L430" s="6">
        <v>14465</v>
      </c>
      <c r="M430" s="6">
        <v>381</v>
      </c>
      <c r="N430" s="11">
        <v>0.63541666666666663</v>
      </c>
      <c r="O430" s="7" t="s">
        <v>19</v>
      </c>
      <c r="P430">
        <f t="shared" si="36"/>
        <v>1</v>
      </c>
      <c r="R430">
        <f t="shared" si="37"/>
        <v>2136</v>
      </c>
      <c r="S430">
        <f t="shared" si="38"/>
        <v>13.822097378277153</v>
      </c>
      <c r="T430" t="str">
        <f t="shared" si="39"/>
        <v>High</v>
      </c>
      <c r="U430">
        <f t="shared" si="40"/>
        <v>2026</v>
      </c>
      <c r="V430">
        <f t="shared" si="41"/>
        <v>7</v>
      </c>
    </row>
    <row r="431" spans="1:22" x14ac:dyDescent="0.3">
      <c r="A431" s="8" t="s">
        <v>472</v>
      </c>
      <c r="B431" s="9">
        <v>20260721</v>
      </c>
      <c r="C431" s="9" t="s">
        <v>16</v>
      </c>
      <c r="D431" s="9" t="s">
        <v>61</v>
      </c>
      <c r="E431" s="9" t="s">
        <v>26</v>
      </c>
      <c r="F431" s="9">
        <v>19092</v>
      </c>
      <c r="G431" s="9">
        <v>29637</v>
      </c>
      <c r="H431" s="9">
        <v>1472</v>
      </c>
      <c r="I431" s="9">
        <v>181</v>
      </c>
      <c r="J431" s="9">
        <v>86</v>
      </c>
      <c r="K431" s="9">
        <v>52</v>
      </c>
      <c r="L431" s="9">
        <v>8353</v>
      </c>
      <c r="M431" s="9">
        <v>319</v>
      </c>
      <c r="N431" s="12">
        <v>0.88541666666666663</v>
      </c>
      <c r="O431" s="10" t="s">
        <v>47</v>
      </c>
      <c r="P431">
        <f t="shared" si="36"/>
        <v>1</v>
      </c>
      <c r="R431">
        <f t="shared" si="37"/>
        <v>1791</v>
      </c>
      <c r="S431">
        <f t="shared" si="38"/>
        <v>10.659966499162479</v>
      </c>
      <c r="T431" t="str">
        <f t="shared" si="39"/>
        <v>High</v>
      </c>
      <c r="U431">
        <f t="shared" si="40"/>
        <v>2026</v>
      </c>
      <c r="V431">
        <f t="shared" si="41"/>
        <v>7</v>
      </c>
    </row>
    <row r="432" spans="1:22" x14ac:dyDescent="0.3">
      <c r="A432" s="5" t="s">
        <v>473</v>
      </c>
      <c r="B432" s="6">
        <v>20251227</v>
      </c>
      <c r="C432" s="6" t="s">
        <v>44</v>
      </c>
      <c r="D432" s="6" t="s">
        <v>21</v>
      </c>
      <c r="E432" s="6" t="s">
        <v>46</v>
      </c>
      <c r="F432" s="6">
        <v>28031</v>
      </c>
      <c r="G432" s="6">
        <v>33297</v>
      </c>
      <c r="H432" s="6">
        <v>2120</v>
      </c>
      <c r="I432" s="6">
        <v>63</v>
      </c>
      <c r="J432" s="6">
        <v>86</v>
      </c>
      <c r="K432" s="6">
        <v>330</v>
      </c>
      <c r="L432" s="6">
        <v>19925</v>
      </c>
      <c r="M432" s="6">
        <v>367</v>
      </c>
      <c r="N432" s="11">
        <v>0.47916666666666669</v>
      </c>
      <c r="O432" s="7" t="s">
        <v>19</v>
      </c>
      <c r="P432">
        <f t="shared" si="36"/>
        <v>1</v>
      </c>
      <c r="R432">
        <f t="shared" si="37"/>
        <v>2599</v>
      </c>
      <c r="S432">
        <f t="shared" si="38"/>
        <v>10.785302039245863</v>
      </c>
      <c r="T432" t="str">
        <f t="shared" si="39"/>
        <v>High</v>
      </c>
      <c r="U432">
        <f t="shared" si="40"/>
        <v>2025</v>
      </c>
      <c r="V432">
        <f t="shared" si="41"/>
        <v>12</v>
      </c>
    </row>
    <row r="433" spans="1:22" x14ac:dyDescent="0.3">
      <c r="A433" s="8" t="s">
        <v>474</v>
      </c>
      <c r="B433" s="9">
        <v>20250929</v>
      </c>
      <c r="C433" s="9" t="s">
        <v>32</v>
      </c>
      <c r="D433" s="9" t="s">
        <v>17</v>
      </c>
      <c r="E433" s="9" t="s">
        <v>26</v>
      </c>
      <c r="F433" s="9">
        <v>6926</v>
      </c>
      <c r="G433" s="9">
        <v>8542</v>
      </c>
      <c r="H433" s="9">
        <v>306</v>
      </c>
      <c r="I433" s="9">
        <v>10</v>
      </c>
      <c r="J433" s="9">
        <v>38</v>
      </c>
      <c r="K433" s="9">
        <v>17</v>
      </c>
      <c r="L433" s="9">
        <v>2831</v>
      </c>
      <c r="M433" s="9">
        <v>64</v>
      </c>
      <c r="N433" s="12">
        <v>0.90625</v>
      </c>
      <c r="O433" s="10" t="s">
        <v>53</v>
      </c>
      <c r="P433">
        <f t="shared" si="36"/>
        <v>1</v>
      </c>
      <c r="R433">
        <f t="shared" si="37"/>
        <v>371</v>
      </c>
      <c r="S433">
        <f t="shared" si="38"/>
        <v>18.668463611859838</v>
      </c>
      <c r="T433" t="str">
        <f t="shared" si="39"/>
        <v>High</v>
      </c>
      <c r="U433">
        <f t="shared" si="40"/>
        <v>2025</v>
      </c>
      <c r="V433">
        <f t="shared" si="41"/>
        <v>9</v>
      </c>
    </row>
    <row r="434" spans="1:22" x14ac:dyDescent="0.3">
      <c r="A434" s="5" t="s">
        <v>475</v>
      </c>
      <c r="B434" s="6">
        <v>20250212</v>
      </c>
      <c r="C434" s="6" t="s">
        <v>40</v>
      </c>
      <c r="D434" s="6" t="s">
        <v>29</v>
      </c>
      <c r="E434" s="6" t="s">
        <v>22</v>
      </c>
      <c r="F434" s="6">
        <v>9270</v>
      </c>
      <c r="G434" s="6">
        <v>13442</v>
      </c>
      <c r="H434" s="6">
        <v>802</v>
      </c>
      <c r="I434" s="6">
        <v>73</v>
      </c>
      <c r="J434" s="6">
        <v>88</v>
      </c>
      <c r="K434" s="6">
        <v>68</v>
      </c>
      <c r="L434" s="6">
        <v>0</v>
      </c>
      <c r="M434" s="6">
        <v>19</v>
      </c>
      <c r="N434" s="11">
        <v>0.86458333333333337</v>
      </c>
      <c r="O434" s="7" t="s">
        <v>49</v>
      </c>
      <c r="P434">
        <f t="shared" si="36"/>
        <v>1</v>
      </c>
      <c r="R434">
        <f t="shared" si="37"/>
        <v>1031</v>
      </c>
      <c r="S434">
        <f t="shared" si="38"/>
        <v>8.9912706110572262</v>
      </c>
      <c r="T434" t="str">
        <f t="shared" si="39"/>
        <v>Medium</v>
      </c>
      <c r="U434">
        <f t="shared" si="40"/>
        <v>2025</v>
      </c>
      <c r="V434">
        <f t="shared" si="41"/>
        <v>2</v>
      </c>
    </row>
    <row r="435" spans="1:22" x14ac:dyDescent="0.3">
      <c r="A435" s="8" t="s">
        <v>476</v>
      </c>
      <c r="B435" s="9">
        <v>20260812</v>
      </c>
      <c r="C435" s="9" t="s">
        <v>40</v>
      </c>
      <c r="D435" s="9" t="s">
        <v>17</v>
      </c>
      <c r="E435" s="9" t="s">
        <v>46</v>
      </c>
      <c r="F435" s="9">
        <v>25523</v>
      </c>
      <c r="G435" s="9">
        <v>38387</v>
      </c>
      <c r="H435" s="9">
        <v>2752</v>
      </c>
      <c r="I435" s="9">
        <v>307</v>
      </c>
      <c r="J435" s="9">
        <v>212</v>
      </c>
      <c r="K435" s="9">
        <v>241</v>
      </c>
      <c r="L435" s="9">
        <v>13804</v>
      </c>
      <c r="M435" s="9">
        <v>197</v>
      </c>
      <c r="N435" s="12">
        <v>0.51041666666666663</v>
      </c>
      <c r="O435" s="10" t="s">
        <v>42</v>
      </c>
      <c r="P435">
        <f t="shared" si="36"/>
        <v>1</v>
      </c>
      <c r="R435">
        <f t="shared" si="37"/>
        <v>3512</v>
      </c>
      <c r="S435">
        <f t="shared" si="38"/>
        <v>7.267369020501139</v>
      </c>
      <c r="T435" t="str">
        <f t="shared" si="39"/>
        <v>Medium</v>
      </c>
      <c r="U435">
        <f t="shared" si="40"/>
        <v>2026</v>
      </c>
      <c r="V435">
        <f t="shared" si="41"/>
        <v>8</v>
      </c>
    </row>
    <row r="436" spans="1:22" x14ac:dyDescent="0.3">
      <c r="A436" s="5" t="s">
        <v>477</v>
      </c>
      <c r="B436" s="6">
        <v>20251229</v>
      </c>
      <c r="C436" s="6" t="s">
        <v>44</v>
      </c>
      <c r="D436" s="6" t="s">
        <v>21</v>
      </c>
      <c r="E436" s="6" t="s">
        <v>26</v>
      </c>
      <c r="F436" s="6">
        <v>31234</v>
      </c>
      <c r="G436" s="6">
        <v>41864</v>
      </c>
      <c r="H436" s="6">
        <v>3536</v>
      </c>
      <c r="I436" s="6">
        <v>309</v>
      </c>
      <c r="J436" s="6">
        <v>394</v>
      </c>
      <c r="K436" s="6">
        <v>403</v>
      </c>
      <c r="L436" s="6">
        <v>24691</v>
      </c>
      <c r="M436" s="6">
        <v>124</v>
      </c>
      <c r="N436" s="11">
        <v>0.66666666666666663</v>
      </c>
      <c r="O436" s="7" t="s">
        <v>47</v>
      </c>
      <c r="P436">
        <f t="shared" si="36"/>
        <v>1</v>
      </c>
      <c r="R436">
        <f t="shared" si="37"/>
        <v>4642</v>
      </c>
      <c r="S436">
        <f t="shared" si="38"/>
        <v>6.7285652735889698</v>
      </c>
      <c r="T436" t="str">
        <f t="shared" si="39"/>
        <v>Medium</v>
      </c>
      <c r="U436">
        <f t="shared" si="40"/>
        <v>2025</v>
      </c>
      <c r="V436">
        <f t="shared" si="41"/>
        <v>12</v>
      </c>
    </row>
    <row r="437" spans="1:22" x14ac:dyDescent="0.3">
      <c r="A437" s="8" t="s">
        <v>478</v>
      </c>
      <c r="B437" s="9">
        <v>20251012</v>
      </c>
      <c r="C437" s="9" t="s">
        <v>32</v>
      </c>
      <c r="D437" s="9" t="s">
        <v>36</v>
      </c>
      <c r="E437" s="9" t="s">
        <v>22</v>
      </c>
      <c r="F437" s="9">
        <v>9137</v>
      </c>
      <c r="G437" s="9">
        <v>12495</v>
      </c>
      <c r="H437" s="9">
        <v>589</v>
      </c>
      <c r="I437" s="9">
        <v>31</v>
      </c>
      <c r="J437" s="9">
        <v>39</v>
      </c>
      <c r="K437" s="9">
        <v>77</v>
      </c>
      <c r="L437" s="9">
        <v>0</v>
      </c>
      <c r="M437" s="9">
        <v>130</v>
      </c>
      <c r="N437" s="12">
        <v>0.44791666666666669</v>
      </c>
      <c r="O437" s="10" t="s">
        <v>47</v>
      </c>
      <c r="P437">
        <f t="shared" si="36"/>
        <v>1</v>
      </c>
      <c r="R437">
        <f t="shared" si="37"/>
        <v>736</v>
      </c>
      <c r="S437">
        <f t="shared" si="38"/>
        <v>12.414402173913043</v>
      </c>
      <c r="T437" t="str">
        <f t="shared" si="39"/>
        <v>High</v>
      </c>
      <c r="U437">
        <f t="shared" si="40"/>
        <v>2025</v>
      </c>
      <c r="V437">
        <f t="shared" si="41"/>
        <v>10</v>
      </c>
    </row>
    <row r="438" spans="1:22" x14ac:dyDescent="0.3">
      <c r="A438" s="5" t="s">
        <v>479</v>
      </c>
      <c r="B438" s="6">
        <v>20250921</v>
      </c>
      <c r="C438" s="6" t="s">
        <v>16</v>
      </c>
      <c r="D438" s="6" t="s">
        <v>68</v>
      </c>
      <c r="E438" s="6" t="s">
        <v>26</v>
      </c>
      <c r="F438" s="6">
        <v>29015</v>
      </c>
      <c r="G438" s="6">
        <v>46260</v>
      </c>
      <c r="H438" s="6">
        <v>2606</v>
      </c>
      <c r="I438" s="6">
        <v>201</v>
      </c>
      <c r="J438" s="6">
        <v>393</v>
      </c>
      <c r="K438" s="6">
        <v>401</v>
      </c>
      <c r="L438" s="6">
        <v>16472</v>
      </c>
      <c r="M438" s="6">
        <v>433</v>
      </c>
      <c r="N438" s="11">
        <v>0.9375</v>
      </c>
      <c r="O438" s="7" t="s">
        <v>34</v>
      </c>
      <c r="P438">
        <f t="shared" si="36"/>
        <v>1</v>
      </c>
      <c r="R438">
        <f t="shared" si="37"/>
        <v>3601</v>
      </c>
      <c r="S438">
        <f t="shared" si="38"/>
        <v>8.0574840322132744</v>
      </c>
      <c r="T438" t="str">
        <f t="shared" si="39"/>
        <v>Medium</v>
      </c>
      <c r="U438">
        <f t="shared" si="40"/>
        <v>2025</v>
      </c>
      <c r="V438">
        <f t="shared" si="41"/>
        <v>9</v>
      </c>
    </row>
    <row r="439" spans="1:22" x14ac:dyDescent="0.3">
      <c r="A439" s="8" t="s">
        <v>480</v>
      </c>
      <c r="B439" s="9">
        <v>20251020</v>
      </c>
      <c r="C439" s="9" t="s">
        <v>44</v>
      </c>
      <c r="D439" s="9" t="s">
        <v>61</v>
      </c>
      <c r="E439" s="9" t="s">
        <v>26</v>
      </c>
      <c r="F439" s="9">
        <v>54155</v>
      </c>
      <c r="G439" s="9">
        <v>77201</v>
      </c>
      <c r="H439" s="9">
        <v>4344</v>
      </c>
      <c r="I439" s="9">
        <v>593</v>
      </c>
      <c r="J439" s="9">
        <v>159</v>
      </c>
      <c r="K439" s="9">
        <v>490</v>
      </c>
      <c r="L439" s="9">
        <v>39866</v>
      </c>
      <c r="M439" s="9">
        <v>748</v>
      </c>
      <c r="N439" s="12">
        <v>0.91666666666666663</v>
      </c>
      <c r="O439" s="10" t="s">
        <v>23</v>
      </c>
      <c r="P439">
        <f t="shared" si="36"/>
        <v>1</v>
      </c>
      <c r="R439">
        <f t="shared" si="37"/>
        <v>5586</v>
      </c>
      <c r="S439">
        <f t="shared" si="38"/>
        <v>9.6947726459004659</v>
      </c>
      <c r="T439" t="str">
        <f t="shared" si="39"/>
        <v>Medium</v>
      </c>
      <c r="U439">
        <f t="shared" si="40"/>
        <v>2025</v>
      </c>
      <c r="V439">
        <f t="shared" si="41"/>
        <v>10</v>
      </c>
    </row>
    <row r="440" spans="1:22" x14ac:dyDescent="0.3">
      <c r="A440" s="5" t="s">
        <v>481</v>
      </c>
      <c r="B440" s="6">
        <v>20260707</v>
      </c>
      <c r="C440" s="6" t="s">
        <v>32</v>
      </c>
      <c r="D440" s="6" t="s">
        <v>21</v>
      </c>
      <c r="E440" s="6" t="s">
        <v>46</v>
      </c>
      <c r="F440" s="6">
        <v>13408</v>
      </c>
      <c r="G440" s="6">
        <v>20522</v>
      </c>
      <c r="H440" s="6">
        <v>731</v>
      </c>
      <c r="I440" s="6">
        <v>76</v>
      </c>
      <c r="J440" s="6">
        <v>54</v>
      </c>
      <c r="K440" s="6">
        <v>77</v>
      </c>
      <c r="L440" s="6">
        <v>6317</v>
      </c>
      <c r="M440" s="6">
        <v>40</v>
      </c>
      <c r="N440" s="11">
        <v>0.85416666666666663</v>
      </c>
      <c r="O440" s="7" t="s">
        <v>49</v>
      </c>
      <c r="P440">
        <f t="shared" si="36"/>
        <v>1</v>
      </c>
      <c r="R440">
        <f t="shared" si="37"/>
        <v>938</v>
      </c>
      <c r="S440">
        <f t="shared" si="38"/>
        <v>14.294243070362473</v>
      </c>
      <c r="T440" t="str">
        <f t="shared" si="39"/>
        <v>High</v>
      </c>
      <c r="U440">
        <f t="shared" si="40"/>
        <v>2026</v>
      </c>
      <c r="V440">
        <f t="shared" si="41"/>
        <v>7</v>
      </c>
    </row>
    <row r="441" spans="1:22" x14ac:dyDescent="0.3">
      <c r="A441" s="8" t="s">
        <v>482</v>
      </c>
      <c r="B441" s="9">
        <v>20250908</v>
      </c>
      <c r="C441" s="9" t="s">
        <v>44</v>
      </c>
      <c r="D441" s="9" t="s">
        <v>29</v>
      </c>
      <c r="E441" s="9" t="s">
        <v>46</v>
      </c>
      <c r="F441" s="9">
        <v>56329</v>
      </c>
      <c r="G441" s="9">
        <v>64106</v>
      </c>
      <c r="H441" s="9">
        <v>2178</v>
      </c>
      <c r="I441" s="9">
        <v>179</v>
      </c>
      <c r="J441" s="9">
        <v>422</v>
      </c>
      <c r="K441" s="9">
        <v>172</v>
      </c>
      <c r="L441" s="9">
        <v>50204</v>
      </c>
      <c r="M441" s="9">
        <v>873</v>
      </c>
      <c r="N441" s="12">
        <v>0.3125</v>
      </c>
      <c r="O441" s="10"/>
      <c r="P441">
        <f t="shared" si="36"/>
        <v>1</v>
      </c>
      <c r="R441">
        <f t="shared" si="37"/>
        <v>2951</v>
      </c>
      <c r="S441">
        <f t="shared" si="38"/>
        <v>19.088105726872246</v>
      </c>
      <c r="T441" t="str">
        <f t="shared" si="39"/>
        <v>High</v>
      </c>
      <c r="U441">
        <f t="shared" si="40"/>
        <v>2025</v>
      </c>
      <c r="V441">
        <f t="shared" si="41"/>
        <v>9</v>
      </c>
    </row>
    <row r="442" spans="1:22" x14ac:dyDescent="0.3">
      <c r="A442" s="5" t="s">
        <v>483</v>
      </c>
      <c r="B442" s="6">
        <v>20260917</v>
      </c>
      <c r="C442" s="6" t="s">
        <v>44</v>
      </c>
      <c r="D442" s="6" t="s">
        <v>17</v>
      </c>
      <c r="E442" s="6" t="s">
        <v>46</v>
      </c>
      <c r="F442" s="6">
        <v>136950</v>
      </c>
      <c r="G442" s="6">
        <v>221085</v>
      </c>
      <c r="H442" s="6">
        <v>13236</v>
      </c>
      <c r="I442" s="6">
        <v>645</v>
      </c>
      <c r="J442" s="6">
        <v>918</v>
      </c>
      <c r="K442" s="6">
        <v>1205</v>
      </c>
      <c r="L442" s="6">
        <v>61763</v>
      </c>
      <c r="M442" s="6">
        <v>469</v>
      </c>
      <c r="N442" s="11">
        <v>0.92708333333333337</v>
      </c>
      <c r="O442" s="7" t="s">
        <v>23</v>
      </c>
      <c r="P442">
        <f t="shared" si="36"/>
        <v>1</v>
      </c>
      <c r="R442">
        <f t="shared" si="37"/>
        <v>16004</v>
      </c>
      <c r="S442">
        <f t="shared" si="38"/>
        <v>8.5572356910772314</v>
      </c>
      <c r="T442" t="str">
        <f t="shared" si="39"/>
        <v>Medium</v>
      </c>
      <c r="U442">
        <f t="shared" si="40"/>
        <v>2026</v>
      </c>
      <c r="V442">
        <f t="shared" si="41"/>
        <v>9</v>
      </c>
    </row>
    <row r="443" spans="1:22" x14ac:dyDescent="0.3">
      <c r="A443" s="8" t="s">
        <v>484</v>
      </c>
      <c r="B443" s="9">
        <v>20251119</v>
      </c>
      <c r="C443" s="9" t="s">
        <v>16</v>
      </c>
      <c r="D443" s="9" t="s">
        <v>61</v>
      </c>
      <c r="E443" s="9" t="s">
        <v>26</v>
      </c>
      <c r="F443" s="9">
        <v>15793</v>
      </c>
      <c r="G443" s="9">
        <v>23217</v>
      </c>
      <c r="H443" s="9">
        <v>1225</v>
      </c>
      <c r="I443" s="9">
        <v>90</v>
      </c>
      <c r="J443" s="9">
        <v>226</v>
      </c>
      <c r="K443" s="9">
        <v>189</v>
      </c>
      <c r="L443" s="9">
        <v>10433</v>
      </c>
      <c r="M443" s="9">
        <v>251</v>
      </c>
      <c r="N443" s="12">
        <v>0.85416666666666663</v>
      </c>
      <c r="O443" s="10" t="s">
        <v>19</v>
      </c>
      <c r="P443">
        <f t="shared" si="36"/>
        <v>1</v>
      </c>
      <c r="R443">
        <f t="shared" si="37"/>
        <v>1730</v>
      </c>
      <c r="S443">
        <f t="shared" si="38"/>
        <v>9.1289017341040459</v>
      </c>
      <c r="T443" t="str">
        <f t="shared" si="39"/>
        <v>Medium</v>
      </c>
      <c r="U443">
        <f t="shared" si="40"/>
        <v>2025</v>
      </c>
      <c r="V443">
        <f t="shared" si="41"/>
        <v>11</v>
      </c>
    </row>
    <row r="444" spans="1:22" x14ac:dyDescent="0.3">
      <c r="A444" s="5" t="s">
        <v>485</v>
      </c>
      <c r="B444" s="6">
        <v>20250726</v>
      </c>
      <c r="C444" s="6" t="s">
        <v>44</v>
      </c>
      <c r="D444" s="6" t="s">
        <v>21</v>
      </c>
      <c r="E444" s="6" t="s">
        <v>46</v>
      </c>
      <c r="F444" s="6">
        <v>17712</v>
      </c>
      <c r="G444" s="6">
        <v>22852</v>
      </c>
      <c r="H444" s="6">
        <v>473</v>
      </c>
      <c r="I444" s="6">
        <v>49</v>
      </c>
      <c r="J444" s="6">
        <v>62</v>
      </c>
      <c r="K444" s="6">
        <v>35</v>
      </c>
      <c r="L444" s="6">
        <v>11182</v>
      </c>
      <c r="M444" s="6">
        <v>23</v>
      </c>
      <c r="N444" s="11">
        <v>0.45833333333333331</v>
      </c>
      <c r="O444" s="7" t="s">
        <v>42</v>
      </c>
      <c r="P444">
        <f t="shared" si="36"/>
        <v>1</v>
      </c>
      <c r="R444">
        <f t="shared" si="37"/>
        <v>619</v>
      </c>
      <c r="S444">
        <f t="shared" si="38"/>
        <v>28.613893376413571</v>
      </c>
      <c r="T444" t="str">
        <f t="shared" si="39"/>
        <v>High</v>
      </c>
      <c r="U444">
        <f t="shared" si="40"/>
        <v>2025</v>
      </c>
      <c r="V444">
        <f t="shared" si="41"/>
        <v>7</v>
      </c>
    </row>
    <row r="445" spans="1:22" x14ac:dyDescent="0.3">
      <c r="A445" s="8" t="s">
        <v>486</v>
      </c>
      <c r="B445" s="9">
        <v>20250513</v>
      </c>
      <c r="C445" s="9" t="s">
        <v>44</v>
      </c>
      <c r="D445" s="9" t="s">
        <v>68</v>
      </c>
      <c r="E445" s="9" t="s">
        <v>41</v>
      </c>
      <c r="F445" s="9">
        <v>24867</v>
      </c>
      <c r="G445" s="9">
        <v>39114</v>
      </c>
      <c r="H445" s="9">
        <v>2087</v>
      </c>
      <c r="I445" s="9">
        <v>54</v>
      </c>
      <c r="J445" s="9">
        <v>264</v>
      </c>
      <c r="K445" s="9">
        <v>254</v>
      </c>
      <c r="L445" s="9">
        <v>9413</v>
      </c>
      <c r="M445" s="9">
        <v>201</v>
      </c>
      <c r="N445" s="12">
        <v>0.44791666666666669</v>
      </c>
      <c r="O445" s="10" t="s">
        <v>34</v>
      </c>
      <c r="P445">
        <f t="shared" si="36"/>
        <v>1</v>
      </c>
      <c r="R445">
        <f t="shared" si="37"/>
        <v>2659</v>
      </c>
      <c r="S445">
        <f t="shared" si="38"/>
        <v>9.3520120345994737</v>
      </c>
      <c r="T445" t="str">
        <f t="shared" si="39"/>
        <v>Medium</v>
      </c>
      <c r="U445">
        <f t="shared" si="40"/>
        <v>2025</v>
      </c>
      <c r="V445">
        <f t="shared" si="41"/>
        <v>5</v>
      </c>
    </row>
    <row r="446" spans="1:22" x14ac:dyDescent="0.3">
      <c r="A446" s="5" t="s">
        <v>487</v>
      </c>
      <c r="B446" s="6">
        <v>20250304</v>
      </c>
      <c r="C446" s="6" t="s">
        <v>44</v>
      </c>
      <c r="D446" s="6" t="s">
        <v>36</v>
      </c>
      <c r="E446" s="6" t="s">
        <v>26</v>
      </c>
      <c r="F446" s="6">
        <v>37476</v>
      </c>
      <c r="G446" s="6">
        <v>59396</v>
      </c>
      <c r="H446" s="6">
        <v>1584</v>
      </c>
      <c r="I446" s="6">
        <v>106</v>
      </c>
      <c r="J446" s="6">
        <v>190</v>
      </c>
      <c r="K446" s="6">
        <v>123</v>
      </c>
      <c r="L446" s="6">
        <v>19692</v>
      </c>
      <c r="M446" s="6">
        <v>607</v>
      </c>
      <c r="N446" s="11">
        <v>0.86458333333333337</v>
      </c>
      <c r="O446" s="7" t="s">
        <v>30</v>
      </c>
      <c r="P446">
        <f t="shared" si="36"/>
        <v>1</v>
      </c>
      <c r="R446">
        <f t="shared" si="37"/>
        <v>2003</v>
      </c>
      <c r="S446">
        <f t="shared" si="38"/>
        <v>18.70993509735397</v>
      </c>
      <c r="T446" t="str">
        <f t="shared" si="39"/>
        <v>High</v>
      </c>
      <c r="U446">
        <f t="shared" si="40"/>
        <v>2025</v>
      </c>
      <c r="V446">
        <f t="shared" si="41"/>
        <v>3</v>
      </c>
    </row>
    <row r="447" spans="1:22" x14ac:dyDescent="0.3">
      <c r="A447" s="8" t="s">
        <v>488</v>
      </c>
      <c r="B447" s="9">
        <v>20260531</v>
      </c>
      <c r="C447" s="9" t="s">
        <v>16</v>
      </c>
      <c r="D447" s="9" t="s">
        <v>21</v>
      </c>
      <c r="E447" s="9" t="s">
        <v>46</v>
      </c>
      <c r="F447" s="9">
        <v>28882</v>
      </c>
      <c r="G447" s="9">
        <v>30427</v>
      </c>
      <c r="H447" s="9">
        <v>1997</v>
      </c>
      <c r="I447" s="9">
        <v>89</v>
      </c>
      <c r="J447" s="9">
        <v>318</v>
      </c>
      <c r="K447" s="9">
        <v>47</v>
      </c>
      <c r="L447" s="9">
        <v>13093</v>
      </c>
      <c r="M447" s="9">
        <v>172</v>
      </c>
      <c r="N447" s="12">
        <v>0.48958333333333331</v>
      </c>
      <c r="O447" s="10" t="s">
        <v>30</v>
      </c>
      <c r="P447">
        <f t="shared" si="36"/>
        <v>1</v>
      </c>
      <c r="R447">
        <f t="shared" si="37"/>
        <v>2451</v>
      </c>
      <c r="S447">
        <f t="shared" si="38"/>
        <v>11.783761729906161</v>
      </c>
      <c r="T447" t="str">
        <f t="shared" si="39"/>
        <v>High</v>
      </c>
      <c r="U447">
        <f t="shared" si="40"/>
        <v>2026</v>
      </c>
      <c r="V447">
        <f t="shared" si="41"/>
        <v>5</v>
      </c>
    </row>
    <row r="448" spans="1:22" x14ac:dyDescent="0.3">
      <c r="A448" s="5" t="s">
        <v>489</v>
      </c>
      <c r="B448" s="6">
        <v>20260205</v>
      </c>
      <c r="C448" s="6" t="s">
        <v>44</v>
      </c>
      <c r="D448" s="6" t="s">
        <v>61</v>
      </c>
      <c r="E448" s="6" t="s">
        <v>26</v>
      </c>
      <c r="F448" s="6">
        <v>17877</v>
      </c>
      <c r="G448" s="6">
        <v>28237</v>
      </c>
      <c r="H448" s="6">
        <v>578</v>
      </c>
      <c r="I448" s="6">
        <v>17</v>
      </c>
      <c r="J448" s="6">
        <v>84</v>
      </c>
      <c r="K448" s="6">
        <v>83</v>
      </c>
      <c r="L448" s="6">
        <v>7561</v>
      </c>
      <c r="M448" s="6">
        <v>277</v>
      </c>
      <c r="N448" s="11">
        <v>0.625</v>
      </c>
      <c r="O448" s="7" t="s">
        <v>38</v>
      </c>
      <c r="P448">
        <f t="shared" si="36"/>
        <v>1</v>
      </c>
      <c r="R448">
        <f t="shared" si="37"/>
        <v>762</v>
      </c>
      <c r="S448">
        <f t="shared" si="38"/>
        <v>23.460629921259841</v>
      </c>
      <c r="T448" t="str">
        <f t="shared" si="39"/>
        <v>High</v>
      </c>
      <c r="U448">
        <f t="shared" si="40"/>
        <v>2026</v>
      </c>
      <c r="V448">
        <f t="shared" si="41"/>
        <v>2</v>
      </c>
    </row>
    <row r="449" spans="1:22" x14ac:dyDescent="0.3">
      <c r="A449" s="8" t="s">
        <v>490</v>
      </c>
      <c r="B449" s="9">
        <v>20250830</v>
      </c>
      <c r="C449" s="9" t="s">
        <v>16</v>
      </c>
      <c r="D449" s="9" t="s">
        <v>61</v>
      </c>
      <c r="E449" s="9" t="s">
        <v>46</v>
      </c>
      <c r="F449" s="9">
        <v>20516</v>
      </c>
      <c r="G449" s="9">
        <v>26829</v>
      </c>
      <c r="H449" s="9">
        <v>1297</v>
      </c>
      <c r="I449" s="9">
        <v>140</v>
      </c>
      <c r="J449" s="9">
        <v>87</v>
      </c>
      <c r="K449" s="9">
        <v>83</v>
      </c>
      <c r="L449" s="9">
        <v>17142</v>
      </c>
      <c r="M449" s="9">
        <v>64</v>
      </c>
      <c r="N449" s="12">
        <v>0.80208333333333337</v>
      </c>
      <c r="O449" s="10" t="s">
        <v>38</v>
      </c>
      <c r="P449">
        <f t="shared" si="36"/>
        <v>1</v>
      </c>
      <c r="R449">
        <f t="shared" si="37"/>
        <v>1607</v>
      </c>
      <c r="S449">
        <f t="shared" si="38"/>
        <v>12.766645924082141</v>
      </c>
      <c r="T449" t="str">
        <f t="shared" si="39"/>
        <v>High</v>
      </c>
      <c r="U449">
        <f t="shared" si="40"/>
        <v>2025</v>
      </c>
      <c r="V449">
        <f t="shared" si="41"/>
        <v>8</v>
      </c>
    </row>
    <row r="450" spans="1:22" x14ac:dyDescent="0.3">
      <c r="A450" s="5" t="s">
        <v>491</v>
      </c>
      <c r="B450" s="6">
        <v>20251116</v>
      </c>
      <c r="C450" s="6" t="s">
        <v>44</v>
      </c>
      <c r="D450" s="6"/>
      <c r="E450" s="6" t="s">
        <v>22</v>
      </c>
      <c r="F450" s="6">
        <v>16566</v>
      </c>
      <c r="G450" s="6">
        <v>18827</v>
      </c>
      <c r="H450" s="6">
        <v>472</v>
      </c>
      <c r="I450" s="6">
        <v>27</v>
      </c>
      <c r="J450" s="6">
        <v>48</v>
      </c>
      <c r="K450" s="6">
        <v>40</v>
      </c>
      <c r="L450" s="6">
        <v>0</v>
      </c>
      <c r="M450" s="6">
        <v>206</v>
      </c>
      <c r="N450" s="11">
        <v>0.92708333333333337</v>
      </c>
      <c r="O450" s="7" t="s">
        <v>30</v>
      </c>
      <c r="P450">
        <f t="shared" si="36"/>
        <v>1</v>
      </c>
      <c r="R450">
        <f t="shared" si="37"/>
        <v>587</v>
      </c>
      <c r="S450">
        <f t="shared" si="38"/>
        <v>28.221465076660987</v>
      </c>
      <c r="T450" t="str">
        <f t="shared" si="39"/>
        <v>High</v>
      </c>
      <c r="U450">
        <f t="shared" si="40"/>
        <v>2025</v>
      </c>
      <c r="V450">
        <f t="shared" si="41"/>
        <v>11</v>
      </c>
    </row>
    <row r="451" spans="1:22" x14ac:dyDescent="0.3">
      <c r="A451" s="8" t="s">
        <v>492</v>
      </c>
      <c r="B451" s="9">
        <v>20260905</v>
      </c>
      <c r="C451" s="9" t="s">
        <v>40</v>
      </c>
      <c r="D451" s="9" t="s">
        <v>36</v>
      </c>
      <c r="E451" s="9" t="s">
        <v>46</v>
      </c>
      <c r="F451" s="9">
        <v>12394</v>
      </c>
      <c r="G451" s="9">
        <v>18174</v>
      </c>
      <c r="H451" s="9">
        <v>653</v>
      </c>
      <c r="I451" s="9">
        <v>56</v>
      </c>
      <c r="J451" s="9">
        <v>27</v>
      </c>
      <c r="K451" s="9">
        <v>52</v>
      </c>
      <c r="L451" s="9">
        <v>4418</v>
      </c>
      <c r="M451" s="9">
        <v>59</v>
      </c>
      <c r="N451" s="12">
        <v>0.60416666666666663</v>
      </c>
      <c r="O451" s="10" t="s">
        <v>42</v>
      </c>
      <c r="P451">
        <f t="shared" ref="P451:P500" si="42">COUNTIF($A$2:$A$500,A451)</f>
        <v>1</v>
      </c>
      <c r="R451">
        <f t="shared" ref="R451:R500" si="43">SUM(H451:K451)</f>
        <v>788</v>
      </c>
      <c r="S451">
        <f t="shared" ref="S451:S500" si="44">IFERROR(F451/R451,0)</f>
        <v>15.728426395939087</v>
      </c>
      <c r="T451" t="str">
        <f t="shared" ref="T451:T500" si="45">IF(S451&gt;=10,"High",IF(S451&gt;=5,"Medium",IF(S451&gt;=0,"Low")))</f>
        <v>High</v>
      </c>
      <c r="U451">
        <f t="shared" ref="U451:U500" si="46">LEFT(B451,4)*1</f>
        <v>2026</v>
      </c>
      <c r="V451">
        <f t="shared" ref="V451:V500" si="47">MID(B451,5,2)*1</f>
        <v>9</v>
      </c>
    </row>
    <row r="452" spans="1:22" x14ac:dyDescent="0.3">
      <c r="A452" s="5" t="s">
        <v>493</v>
      </c>
      <c r="B452" s="6">
        <v>20250423</v>
      </c>
      <c r="C452" s="6" t="s">
        <v>44</v>
      </c>
      <c r="D452" s="6" t="s">
        <v>21</v>
      </c>
      <c r="E452" s="6" t="s">
        <v>51</v>
      </c>
      <c r="F452" s="6">
        <v>69516</v>
      </c>
      <c r="G452" s="6">
        <v>86381</v>
      </c>
      <c r="H452" s="6">
        <v>6949</v>
      </c>
      <c r="I452" s="6">
        <v>353</v>
      </c>
      <c r="J452" s="6">
        <v>665</v>
      </c>
      <c r="K452" s="6">
        <v>633</v>
      </c>
      <c r="L452" s="6">
        <v>0</v>
      </c>
      <c r="M452" s="6">
        <v>973</v>
      </c>
      <c r="N452" s="11">
        <v>0.72916666666666663</v>
      </c>
      <c r="O452" s="7" t="s">
        <v>19</v>
      </c>
      <c r="P452">
        <f t="shared" si="42"/>
        <v>1</v>
      </c>
      <c r="R452">
        <f t="shared" si="43"/>
        <v>8600</v>
      </c>
      <c r="S452">
        <f t="shared" si="44"/>
        <v>8.0832558139534889</v>
      </c>
      <c r="T452" t="str">
        <f t="shared" si="45"/>
        <v>Medium</v>
      </c>
      <c r="U452">
        <f t="shared" si="46"/>
        <v>2025</v>
      </c>
      <c r="V452">
        <f t="shared" si="47"/>
        <v>4</v>
      </c>
    </row>
    <row r="453" spans="1:22" x14ac:dyDescent="0.3">
      <c r="A453" s="8" t="s">
        <v>494</v>
      </c>
      <c r="B453" s="9">
        <v>20260121</v>
      </c>
      <c r="C453" s="9" t="s">
        <v>40</v>
      </c>
      <c r="D453" s="9" t="s">
        <v>33</v>
      </c>
      <c r="E453" s="9" t="s">
        <v>46</v>
      </c>
      <c r="F453" s="9">
        <v>9927</v>
      </c>
      <c r="G453" s="9">
        <v>13526</v>
      </c>
      <c r="H453" s="9">
        <v>596</v>
      </c>
      <c r="I453" s="9">
        <v>63</v>
      </c>
      <c r="J453" s="9">
        <v>32</v>
      </c>
      <c r="K453" s="9">
        <v>50</v>
      </c>
      <c r="L453" s="9">
        <v>3493</v>
      </c>
      <c r="M453" s="9">
        <v>59</v>
      </c>
      <c r="N453" s="12">
        <v>0.91666666666666663</v>
      </c>
      <c r="O453" s="10" t="s">
        <v>49</v>
      </c>
      <c r="P453">
        <f t="shared" si="42"/>
        <v>1</v>
      </c>
      <c r="R453">
        <f t="shared" si="43"/>
        <v>741</v>
      </c>
      <c r="S453">
        <f t="shared" si="44"/>
        <v>13.396761133603238</v>
      </c>
      <c r="T453" t="str">
        <f t="shared" si="45"/>
        <v>High</v>
      </c>
      <c r="U453">
        <f t="shared" si="46"/>
        <v>2026</v>
      </c>
      <c r="V453">
        <f t="shared" si="47"/>
        <v>1</v>
      </c>
    </row>
    <row r="454" spans="1:22" x14ac:dyDescent="0.3">
      <c r="A454" s="5" t="s">
        <v>495</v>
      </c>
      <c r="B454" s="6">
        <v>20251111</v>
      </c>
      <c r="C454" s="6" t="s">
        <v>16</v>
      </c>
      <c r="D454" s="6" t="s">
        <v>17</v>
      </c>
      <c r="E454" s="6" t="s">
        <v>22</v>
      </c>
      <c r="F454" s="6">
        <v>18488</v>
      </c>
      <c r="G454" s="6">
        <v>27659</v>
      </c>
      <c r="H454" s="6">
        <v>1403</v>
      </c>
      <c r="I454" s="6">
        <v>74</v>
      </c>
      <c r="J454" s="6">
        <v>101</v>
      </c>
      <c r="K454" s="6">
        <v>138</v>
      </c>
      <c r="L454" s="6">
        <v>0</v>
      </c>
      <c r="M454" s="6">
        <v>114</v>
      </c>
      <c r="N454" s="11">
        <v>0.46875</v>
      </c>
      <c r="O454" s="7" t="s">
        <v>23</v>
      </c>
      <c r="P454">
        <f t="shared" si="42"/>
        <v>1</v>
      </c>
      <c r="R454">
        <f t="shared" si="43"/>
        <v>1716</v>
      </c>
      <c r="S454">
        <f t="shared" si="44"/>
        <v>10.773892773892774</v>
      </c>
      <c r="T454" t="str">
        <f t="shared" si="45"/>
        <v>High</v>
      </c>
      <c r="U454">
        <f t="shared" si="46"/>
        <v>2025</v>
      </c>
      <c r="V454">
        <f t="shared" si="47"/>
        <v>11</v>
      </c>
    </row>
    <row r="455" spans="1:22" x14ac:dyDescent="0.3">
      <c r="A455" s="8" t="s">
        <v>496</v>
      </c>
      <c r="B455" s="9">
        <v>20260615</v>
      </c>
      <c r="C455" s="9" t="s">
        <v>40</v>
      </c>
      <c r="D455" s="9" t="s">
        <v>21</v>
      </c>
      <c r="E455" s="9" t="s">
        <v>51</v>
      </c>
      <c r="F455" s="9">
        <v>24054</v>
      </c>
      <c r="G455" s="9">
        <v>34882</v>
      </c>
      <c r="H455" s="9">
        <v>1631</v>
      </c>
      <c r="I455" s="9">
        <v>161</v>
      </c>
      <c r="J455" s="9">
        <v>212</v>
      </c>
      <c r="K455" s="9">
        <v>235</v>
      </c>
      <c r="L455" s="9">
        <v>0</v>
      </c>
      <c r="M455" s="9">
        <v>296</v>
      </c>
      <c r="N455" s="12">
        <v>0.42708333333333331</v>
      </c>
      <c r="O455" s="10" t="s">
        <v>19</v>
      </c>
      <c r="P455">
        <f t="shared" si="42"/>
        <v>1</v>
      </c>
      <c r="R455">
        <f t="shared" si="43"/>
        <v>2239</v>
      </c>
      <c r="S455">
        <f t="shared" si="44"/>
        <v>10.743188923626619</v>
      </c>
      <c r="T455" t="str">
        <f t="shared" si="45"/>
        <v>High</v>
      </c>
      <c r="U455">
        <f t="shared" si="46"/>
        <v>2026</v>
      </c>
      <c r="V455">
        <f t="shared" si="47"/>
        <v>6</v>
      </c>
    </row>
    <row r="456" spans="1:22" x14ac:dyDescent="0.3">
      <c r="A456" s="5" t="s">
        <v>497</v>
      </c>
      <c r="B456" s="6">
        <v>20251108</v>
      </c>
      <c r="C456" s="6" t="s">
        <v>32</v>
      </c>
      <c r="D456" s="6" t="s">
        <v>17</v>
      </c>
      <c r="E456" s="6" t="s">
        <v>22</v>
      </c>
      <c r="F456" s="6">
        <v>3377</v>
      </c>
      <c r="G456" s="6">
        <v>4815</v>
      </c>
      <c r="H456" s="6">
        <v>336</v>
      </c>
      <c r="I456" s="6">
        <v>33</v>
      </c>
      <c r="J456" s="6">
        <v>19</v>
      </c>
      <c r="K456" s="6">
        <v>30</v>
      </c>
      <c r="L456" s="6">
        <v>0</v>
      </c>
      <c r="M456" s="6">
        <v>14</v>
      </c>
      <c r="N456" s="11">
        <v>0.64583333333333337</v>
      </c>
      <c r="O456" s="7" t="s">
        <v>49</v>
      </c>
      <c r="P456">
        <f t="shared" si="42"/>
        <v>1</v>
      </c>
      <c r="R456">
        <f t="shared" si="43"/>
        <v>418</v>
      </c>
      <c r="S456">
        <f t="shared" si="44"/>
        <v>8.0789473684210531</v>
      </c>
      <c r="T456" t="str">
        <f t="shared" si="45"/>
        <v>Medium</v>
      </c>
      <c r="U456">
        <f t="shared" si="46"/>
        <v>2025</v>
      </c>
      <c r="V456">
        <f t="shared" si="47"/>
        <v>11</v>
      </c>
    </row>
    <row r="457" spans="1:22" x14ac:dyDescent="0.3">
      <c r="A457" s="8" t="s">
        <v>498</v>
      </c>
      <c r="B457" s="9">
        <v>20260520</v>
      </c>
      <c r="C457" s="9" t="s">
        <v>44</v>
      </c>
      <c r="D457" s="9" t="s">
        <v>68</v>
      </c>
      <c r="E457" s="9" t="s">
        <v>18</v>
      </c>
      <c r="F457" s="9">
        <v>50178</v>
      </c>
      <c r="G457" s="9">
        <v>69028</v>
      </c>
      <c r="H457" s="9">
        <v>4511</v>
      </c>
      <c r="I457" s="9">
        <v>154</v>
      </c>
      <c r="J457" s="9">
        <v>142</v>
      </c>
      <c r="K457" s="9">
        <v>661</v>
      </c>
      <c r="L457" s="9">
        <v>0</v>
      </c>
      <c r="M457" s="9">
        <v>604</v>
      </c>
      <c r="N457" s="12">
        <v>0.375</v>
      </c>
      <c r="O457" s="10" t="s">
        <v>42</v>
      </c>
      <c r="P457">
        <f t="shared" si="42"/>
        <v>1</v>
      </c>
      <c r="R457">
        <f t="shared" si="43"/>
        <v>5468</v>
      </c>
      <c r="S457">
        <f t="shared" si="44"/>
        <v>9.1766642282370157</v>
      </c>
      <c r="T457" t="str">
        <f t="shared" si="45"/>
        <v>Medium</v>
      </c>
      <c r="U457">
        <f t="shared" si="46"/>
        <v>2026</v>
      </c>
      <c r="V457">
        <f t="shared" si="47"/>
        <v>5</v>
      </c>
    </row>
    <row r="458" spans="1:22" x14ac:dyDescent="0.3">
      <c r="A458" s="5" t="s">
        <v>499</v>
      </c>
      <c r="B458" s="6">
        <v>20260526</v>
      </c>
      <c r="C458" s="6" t="s">
        <v>40</v>
      </c>
      <c r="D458" s="6" t="s">
        <v>17</v>
      </c>
      <c r="E458" s="6" t="s">
        <v>46</v>
      </c>
      <c r="F458" s="6">
        <v>31810</v>
      </c>
      <c r="G458" s="6">
        <v>49041</v>
      </c>
      <c r="H458" s="6">
        <v>1570</v>
      </c>
      <c r="I458" s="6">
        <v>133</v>
      </c>
      <c r="J458" s="6">
        <v>130</v>
      </c>
      <c r="K458" s="6">
        <v>67</v>
      </c>
      <c r="L458" s="6">
        <v>22693</v>
      </c>
      <c r="M458" s="6">
        <v>253</v>
      </c>
      <c r="N458" s="11">
        <v>0.44791666666666669</v>
      </c>
      <c r="O458" s="7" t="s">
        <v>23</v>
      </c>
      <c r="P458">
        <f t="shared" si="42"/>
        <v>1</v>
      </c>
      <c r="R458">
        <f t="shared" si="43"/>
        <v>1900</v>
      </c>
      <c r="S458">
        <f t="shared" si="44"/>
        <v>16.742105263157896</v>
      </c>
      <c r="T458" t="str">
        <f t="shared" si="45"/>
        <v>High</v>
      </c>
      <c r="U458">
        <f t="shared" si="46"/>
        <v>2026</v>
      </c>
      <c r="V458">
        <f t="shared" si="47"/>
        <v>5</v>
      </c>
    </row>
    <row r="459" spans="1:22" x14ac:dyDescent="0.3">
      <c r="A459" s="8" t="s">
        <v>500</v>
      </c>
      <c r="B459" s="9">
        <v>20250615</v>
      </c>
      <c r="C459" s="9" t="s">
        <v>16</v>
      </c>
      <c r="D459" s="9" t="s">
        <v>61</v>
      </c>
      <c r="E459" s="9" t="s">
        <v>22</v>
      </c>
      <c r="F459" s="9">
        <v>32570</v>
      </c>
      <c r="G459" s="9">
        <v>39659</v>
      </c>
      <c r="H459" s="9">
        <v>1836</v>
      </c>
      <c r="I459" s="9">
        <v>136</v>
      </c>
      <c r="J459" s="9">
        <v>238</v>
      </c>
      <c r="K459" s="9">
        <v>99</v>
      </c>
      <c r="L459" s="9">
        <v>0</v>
      </c>
      <c r="M459" s="9">
        <v>409</v>
      </c>
      <c r="N459" s="12">
        <v>0.82291666666666663</v>
      </c>
      <c r="O459" s="10" t="s">
        <v>19</v>
      </c>
      <c r="P459">
        <f t="shared" si="42"/>
        <v>1</v>
      </c>
      <c r="R459">
        <f t="shared" si="43"/>
        <v>2309</v>
      </c>
      <c r="S459">
        <f t="shared" si="44"/>
        <v>14.105673451710697</v>
      </c>
      <c r="T459" t="str">
        <f t="shared" si="45"/>
        <v>High</v>
      </c>
      <c r="U459">
        <f t="shared" si="46"/>
        <v>2025</v>
      </c>
      <c r="V459">
        <f t="shared" si="47"/>
        <v>6</v>
      </c>
    </row>
    <row r="460" spans="1:22" x14ac:dyDescent="0.3">
      <c r="A460" s="5" t="s">
        <v>501</v>
      </c>
      <c r="B460" s="6">
        <v>20251023</v>
      </c>
      <c r="C460" s="6" t="s">
        <v>16</v>
      </c>
      <c r="D460" s="6" t="s">
        <v>68</v>
      </c>
      <c r="E460" s="6" t="s">
        <v>18</v>
      </c>
      <c r="F460" s="6">
        <v>11207</v>
      </c>
      <c r="G460" s="6">
        <v>14152</v>
      </c>
      <c r="H460" s="6">
        <v>393</v>
      </c>
      <c r="I460" s="6">
        <v>41</v>
      </c>
      <c r="J460" s="6">
        <v>12</v>
      </c>
      <c r="K460" s="6">
        <v>53</v>
      </c>
      <c r="L460" s="6">
        <v>0</v>
      </c>
      <c r="M460" s="6">
        <v>193</v>
      </c>
      <c r="N460" s="11">
        <v>0.65625</v>
      </c>
      <c r="O460" s="7" t="s">
        <v>23</v>
      </c>
      <c r="P460">
        <f t="shared" si="42"/>
        <v>1</v>
      </c>
      <c r="R460">
        <f t="shared" si="43"/>
        <v>499</v>
      </c>
      <c r="S460">
        <f t="shared" si="44"/>
        <v>22.458917835671343</v>
      </c>
      <c r="T460" t="str">
        <f t="shared" si="45"/>
        <v>High</v>
      </c>
      <c r="U460">
        <f t="shared" si="46"/>
        <v>2025</v>
      </c>
      <c r="V460">
        <f t="shared" si="47"/>
        <v>10</v>
      </c>
    </row>
    <row r="461" spans="1:22" x14ac:dyDescent="0.3">
      <c r="A461" s="8" t="s">
        <v>502</v>
      </c>
      <c r="B461" s="9">
        <v>20250409</v>
      </c>
      <c r="C461" s="9" t="s">
        <v>44</v>
      </c>
      <c r="D461" s="9" t="s">
        <v>33</v>
      </c>
      <c r="E461" s="9" t="s">
        <v>41</v>
      </c>
      <c r="F461" s="9">
        <v>24678</v>
      </c>
      <c r="G461" s="9">
        <v>31464</v>
      </c>
      <c r="H461" s="9">
        <v>2520</v>
      </c>
      <c r="I461" s="9">
        <v>136</v>
      </c>
      <c r="J461" s="9">
        <v>291</v>
      </c>
      <c r="K461" s="9">
        <v>271</v>
      </c>
      <c r="L461" s="9">
        <v>11952</v>
      </c>
      <c r="M461" s="9">
        <v>312</v>
      </c>
      <c r="N461" s="12">
        <v>0.67708333333333337</v>
      </c>
      <c r="O461" s="10" t="s">
        <v>42</v>
      </c>
      <c r="P461">
        <f t="shared" si="42"/>
        <v>1</v>
      </c>
      <c r="R461">
        <f t="shared" si="43"/>
        <v>3218</v>
      </c>
      <c r="S461">
        <f t="shared" si="44"/>
        <v>7.6687383467992545</v>
      </c>
      <c r="T461" t="str">
        <f t="shared" si="45"/>
        <v>Medium</v>
      </c>
      <c r="U461">
        <f t="shared" si="46"/>
        <v>2025</v>
      </c>
      <c r="V461">
        <f t="shared" si="47"/>
        <v>4</v>
      </c>
    </row>
    <row r="462" spans="1:22" x14ac:dyDescent="0.3">
      <c r="A462" s="5" t="s">
        <v>503</v>
      </c>
      <c r="B462" s="6">
        <v>20250215</v>
      </c>
      <c r="C462" s="6" t="s">
        <v>25</v>
      </c>
      <c r="D462" s="6" t="s">
        <v>68</v>
      </c>
      <c r="E462" s="6" t="s">
        <v>18</v>
      </c>
      <c r="F462" s="6">
        <v>6996</v>
      </c>
      <c r="G462" s="6">
        <v>9145</v>
      </c>
      <c r="H462" s="6">
        <v>835</v>
      </c>
      <c r="I462" s="6">
        <v>24</v>
      </c>
      <c r="J462" s="6">
        <v>134</v>
      </c>
      <c r="K462" s="6">
        <v>76</v>
      </c>
      <c r="L462" s="6">
        <v>0</v>
      </c>
      <c r="M462" s="6">
        <v>83</v>
      </c>
      <c r="N462" s="11">
        <v>0.44791666666666669</v>
      </c>
      <c r="O462" s="7" t="s">
        <v>23</v>
      </c>
      <c r="P462">
        <f t="shared" si="42"/>
        <v>1</v>
      </c>
      <c r="R462">
        <f t="shared" si="43"/>
        <v>1069</v>
      </c>
      <c r="S462">
        <f t="shared" si="44"/>
        <v>6.5444340505144991</v>
      </c>
      <c r="T462" t="str">
        <f t="shared" si="45"/>
        <v>Medium</v>
      </c>
      <c r="U462">
        <f t="shared" si="46"/>
        <v>2025</v>
      </c>
      <c r="V462">
        <f t="shared" si="47"/>
        <v>2</v>
      </c>
    </row>
    <row r="463" spans="1:22" x14ac:dyDescent="0.3">
      <c r="A463" s="8" t="s">
        <v>504</v>
      </c>
      <c r="B463" s="9">
        <v>20250819</v>
      </c>
      <c r="C463" s="9" t="s">
        <v>16</v>
      </c>
      <c r="D463" s="9" t="s">
        <v>17</v>
      </c>
      <c r="E463" s="9" t="s">
        <v>26</v>
      </c>
      <c r="F463" s="9">
        <v>6736</v>
      </c>
      <c r="G463" s="9">
        <v>10268</v>
      </c>
      <c r="H463" s="9">
        <v>517</v>
      </c>
      <c r="I463" s="9">
        <v>65</v>
      </c>
      <c r="J463" s="9">
        <v>34</v>
      </c>
      <c r="K463" s="9">
        <v>55</v>
      </c>
      <c r="L463" s="9">
        <v>4390</v>
      </c>
      <c r="M463" s="9">
        <v>84</v>
      </c>
      <c r="N463" s="12">
        <v>0.40625</v>
      </c>
      <c r="O463" s="10" t="s">
        <v>53</v>
      </c>
      <c r="P463">
        <f t="shared" si="42"/>
        <v>1</v>
      </c>
      <c r="R463">
        <f t="shared" si="43"/>
        <v>671</v>
      </c>
      <c r="S463">
        <f t="shared" si="44"/>
        <v>10.038748137108794</v>
      </c>
      <c r="T463" t="str">
        <f t="shared" si="45"/>
        <v>High</v>
      </c>
      <c r="U463">
        <f t="shared" si="46"/>
        <v>2025</v>
      </c>
      <c r="V463">
        <f t="shared" si="47"/>
        <v>8</v>
      </c>
    </row>
    <row r="464" spans="1:22" x14ac:dyDescent="0.3">
      <c r="A464" s="5" t="s">
        <v>505</v>
      </c>
      <c r="B464" s="6">
        <v>20250205</v>
      </c>
      <c r="C464" s="6" t="s">
        <v>44</v>
      </c>
      <c r="D464" s="6" t="s">
        <v>21</v>
      </c>
      <c r="E464" s="6" t="s">
        <v>51</v>
      </c>
      <c r="F464" s="6">
        <v>33304</v>
      </c>
      <c r="G464" s="6">
        <v>39919</v>
      </c>
      <c r="H464" s="6">
        <v>1071</v>
      </c>
      <c r="I464" s="6">
        <v>64</v>
      </c>
      <c r="J464" s="6">
        <v>191</v>
      </c>
      <c r="K464" s="6">
        <v>71</v>
      </c>
      <c r="L464" s="6">
        <v>0</v>
      </c>
      <c r="M464" s="6">
        <v>430</v>
      </c>
      <c r="N464" s="11">
        <v>0.79166666666666663</v>
      </c>
      <c r="O464" s="7" t="s">
        <v>47</v>
      </c>
      <c r="P464">
        <f t="shared" si="42"/>
        <v>1</v>
      </c>
      <c r="R464">
        <f t="shared" si="43"/>
        <v>1397</v>
      </c>
      <c r="S464">
        <f t="shared" si="44"/>
        <v>23.83965640658554</v>
      </c>
      <c r="T464" t="str">
        <f t="shared" si="45"/>
        <v>High</v>
      </c>
      <c r="U464">
        <f t="shared" si="46"/>
        <v>2025</v>
      </c>
      <c r="V464">
        <f t="shared" si="47"/>
        <v>2</v>
      </c>
    </row>
    <row r="465" spans="1:22" x14ac:dyDescent="0.3">
      <c r="A465" s="8" t="s">
        <v>506</v>
      </c>
      <c r="B465" s="9">
        <v>20260322</v>
      </c>
      <c r="C465" s="9" t="s">
        <v>16</v>
      </c>
      <c r="D465" s="9" t="s">
        <v>36</v>
      </c>
      <c r="E465" s="9" t="s">
        <v>22</v>
      </c>
      <c r="F465" s="9">
        <v>22147</v>
      </c>
      <c r="G465" s="9">
        <v>36007</v>
      </c>
      <c r="H465" s="9">
        <v>1395</v>
      </c>
      <c r="I465" s="9">
        <v>166</v>
      </c>
      <c r="J465" s="9">
        <v>112</v>
      </c>
      <c r="K465" s="9">
        <v>75</v>
      </c>
      <c r="L465" s="9">
        <v>0</v>
      </c>
      <c r="M465" s="9">
        <v>341</v>
      </c>
      <c r="N465" s="12">
        <v>0.63541666666666663</v>
      </c>
      <c r="O465" s="10" t="s">
        <v>47</v>
      </c>
      <c r="P465">
        <f t="shared" si="42"/>
        <v>1</v>
      </c>
      <c r="R465">
        <f t="shared" si="43"/>
        <v>1748</v>
      </c>
      <c r="S465">
        <f t="shared" si="44"/>
        <v>12.669908466819223</v>
      </c>
      <c r="T465" t="str">
        <f t="shared" si="45"/>
        <v>High</v>
      </c>
      <c r="U465">
        <f t="shared" si="46"/>
        <v>2026</v>
      </c>
      <c r="V465">
        <f t="shared" si="47"/>
        <v>3</v>
      </c>
    </row>
    <row r="466" spans="1:22" x14ac:dyDescent="0.3">
      <c r="A466" s="5" t="s">
        <v>507</v>
      </c>
      <c r="B466" s="6">
        <v>20250109</v>
      </c>
      <c r="C466" s="6" t="s">
        <v>40</v>
      </c>
      <c r="D466" s="6" t="s">
        <v>68</v>
      </c>
      <c r="E466" s="6" t="s">
        <v>26</v>
      </c>
      <c r="F466" s="6">
        <v>13878</v>
      </c>
      <c r="G466" s="6">
        <v>19128</v>
      </c>
      <c r="H466" s="6">
        <v>1630</v>
      </c>
      <c r="I466" s="6">
        <v>160</v>
      </c>
      <c r="J466" s="6">
        <v>311</v>
      </c>
      <c r="K466" s="6">
        <v>178</v>
      </c>
      <c r="L466" s="6">
        <v>10563</v>
      </c>
      <c r="M466" s="6">
        <v>74</v>
      </c>
      <c r="N466" s="11">
        <v>0.39583333333333331</v>
      </c>
      <c r="O466" s="7" t="s">
        <v>23</v>
      </c>
      <c r="P466">
        <f t="shared" si="42"/>
        <v>1</v>
      </c>
      <c r="R466">
        <f t="shared" si="43"/>
        <v>2279</v>
      </c>
      <c r="S466">
        <f t="shared" si="44"/>
        <v>6.0895129442738041</v>
      </c>
      <c r="T466" t="str">
        <f t="shared" si="45"/>
        <v>Medium</v>
      </c>
      <c r="U466">
        <f t="shared" si="46"/>
        <v>2025</v>
      </c>
      <c r="V466">
        <f t="shared" si="47"/>
        <v>1</v>
      </c>
    </row>
    <row r="467" spans="1:22" x14ac:dyDescent="0.3">
      <c r="A467" s="8" t="s">
        <v>508</v>
      </c>
      <c r="B467" s="9">
        <v>20260205</v>
      </c>
      <c r="C467" s="9" t="s">
        <v>16</v>
      </c>
      <c r="D467" s="9" t="s">
        <v>68</v>
      </c>
      <c r="E467" s="9" t="s">
        <v>41</v>
      </c>
      <c r="F467" s="9">
        <v>23317</v>
      </c>
      <c r="G467" s="9">
        <v>34857</v>
      </c>
      <c r="H467" s="9">
        <v>1051</v>
      </c>
      <c r="I467" s="9">
        <v>137</v>
      </c>
      <c r="J467" s="9">
        <v>122</v>
      </c>
      <c r="K467" s="9">
        <v>113</v>
      </c>
      <c r="L467" s="9">
        <v>16187</v>
      </c>
      <c r="M467" s="9">
        <v>177</v>
      </c>
      <c r="N467" s="12">
        <v>0.65625</v>
      </c>
      <c r="O467" s="10" t="s">
        <v>42</v>
      </c>
      <c r="P467">
        <f t="shared" si="42"/>
        <v>1</v>
      </c>
      <c r="R467">
        <f t="shared" si="43"/>
        <v>1423</v>
      </c>
      <c r="S467">
        <f t="shared" si="44"/>
        <v>16.385804638088544</v>
      </c>
      <c r="T467" t="str">
        <f t="shared" si="45"/>
        <v>High</v>
      </c>
      <c r="U467">
        <f t="shared" si="46"/>
        <v>2026</v>
      </c>
      <c r="V467">
        <f t="shared" si="47"/>
        <v>2</v>
      </c>
    </row>
    <row r="468" spans="1:22" x14ac:dyDescent="0.3">
      <c r="A468" s="5" t="s">
        <v>509</v>
      </c>
      <c r="B468" s="6">
        <v>20250811</v>
      </c>
      <c r="C468" s="6" t="s">
        <v>44</v>
      </c>
      <c r="D468" s="6" t="s">
        <v>21</v>
      </c>
      <c r="E468" s="6" t="s">
        <v>46</v>
      </c>
      <c r="F468" s="6">
        <v>64974</v>
      </c>
      <c r="G468" s="6">
        <v>102283</v>
      </c>
      <c r="H468" s="6">
        <v>6821</v>
      </c>
      <c r="I468" s="6">
        <v>327</v>
      </c>
      <c r="J468" s="6">
        <v>798</v>
      </c>
      <c r="K468" s="6">
        <v>420</v>
      </c>
      <c r="L468" s="6">
        <v>37324</v>
      </c>
      <c r="M468" s="6">
        <v>963</v>
      </c>
      <c r="N468" s="11">
        <v>0.76041666666666663</v>
      </c>
      <c r="O468" s="7" t="s">
        <v>34</v>
      </c>
      <c r="P468">
        <f t="shared" si="42"/>
        <v>1</v>
      </c>
      <c r="R468">
        <f t="shared" si="43"/>
        <v>8366</v>
      </c>
      <c r="S468">
        <f t="shared" si="44"/>
        <v>7.766435572555582</v>
      </c>
      <c r="T468" t="str">
        <f t="shared" si="45"/>
        <v>Medium</v>
      </c>
      <c r="U468">
        <f t="shared" si="46"/>
        <v>2025</v>
      </c>
      <c r="V468">
        <f t="shared" si="47"/>
        <v>8</v>
      </c>
    </row>
    <row r="469" spans="1:22" x14ac:dyDescent="0.3">
      <c r="A469" s="8" t="s">
        <v>510</v>
      </c>
      <c r="B469" s="9">
        <v>20260913</v>
      </c>
      <c r="C469" s="9" t="s">
        <v>44</v>
      </c>
      <c r="D469" s="9" t="s">
        <v>68</v>
      </c>
      <c r="E469" s="9" t="s">
        <v>46</v>
      </c>
      <c r="F469" s="9">
        <v>30891</v>
      </c>
      <c r="G469" s="9">
        <v>49584</v>
      </c>
      <c r="H469" s="9">
        <v>1045</v>
      </c>
      <c r="I469" s="9">
        <v>115</v>
      </c>
      <c r="J469" s="9">
        <v>147</v>
      </c>
      <c r="K469" s="9">
        <v>82</v>
      </c>
      <c r="L469" s="9">
        <v>24093</v>
      </c>
      <c r="M469" s="9">
        <v>263</v>
      </c>
      <c r="N469" s="12">
        <v>0.86458333333333337</v>
      </c>
      <c r="O469" s="10" t="s">
        <v>19</v>
      </c>
      <c r="P469">
        <f t="shared" si="42"/>
        <v>1</v>
      </c>
      <c r="R469">
        <f t="shared" si="43"/>
        <v>1389</v>
      </c>
      <c r="S469">
        <f t="shared" si="44"/>
        <v>22.23974082073434</v>
      </c>
      <c r="T469" t="str">
        <f t="shared" si="45"/>
        <v>High</v>
      </c>
      <c r="U469">
        <f t="shared" si="46"/>
        <v>2026</v>
      </c>
      <c r="V469">
        <f t="shared" si="47"/>
        <v>9</v>
      </c>
    </row>
    <row r="470" spans="1:22" x14ac:dyDescent="0.3">
      <c r="A470" s="5" t="s">
        <v>511</v>
      </c>
      <c r="B470" s="6">
        <v>20250911</v>
      </c>
      <c r="C470" s="6" t="s">
        <v>44</v>
      </c>
      <c r="D470" s="6" t="s">
        <v>68</v>
      </c>
      <c r="E470" s="6" t="s">
        <v>22</v>
      </c>
      <c r="F470" s="6">
        <v>17124</v>
      </c>
      <c r="G470" s="6">
        <v>18788</v>
      </c>
      <c r="H470" s="6">
        <v>888</v>
      </c>
      <c r="I470" s="6">
        <v>98</v>
      </c>
      <c r="J470" s="6">
        <v>149</v>
      </c>
      <c r="K470" s="6">
        <v>133</v>
      </c>
      <c r="L470" s="6">
        <v>0</v>
      </c>
      <c r="M470" s="6">
        <v>158</v>
      </c>
      <c r="N470" s="11">
        <v>0.48958333333333331</v>
      </c>
      <c r="O470" s="7" t="s">
        <v>49</v>
      </c>
      <c r="P470">
        <f t="shared" si="42"/>
        <v>1</v>
      </c>
      <c r="R470">
        <f t="shared" si="43"/>
        <v>1268</v>
      </c>
      <c r="S470">
        <f t="shared" si="44"/>
        <v>13.504731861198739</v>
      </c>
      <c r="T470" t="str">
        <f t="shared" si="45"/>
        <v>High</v>
      </c>
      <c r="U470">
        <f t="shared" si="46"/>
        <v>2025</v>
      </c>
      <c r="V470">
        <f t="shared" si="47"/>
        <v>9</v>
      </c>
    </row>
    <row r="471" spans="1:22" x14ac:dyDescent="0.3">
      <c r="A471" s="8" t="s">
        <v>512</v>
      </c>
      <c r="B471" s="9">
        <v>20260827</v>
      </c>
      <c r="C471" s="9" t="s">
        <v>25</v>
      </c>
      <c r="D471" s="9" t="s">
        <v>17</v>
      </c>
      <c r="E471" s="9" t="s">
        <v>18</v>
      </c>
      <c r="F471" s="9">
        <v>4452</v>
      </c>
      <c r="G471" s="9">
        <v>5577</v>
      </c>
      <c r="H471" s="9">
        <v>154</v>
      </c>
      <c r="I471" s="9">
        <v>18</v>
      </c>
      <c r="J471" s="9">
        <v>10</v>
      </c>
      <c r="K471" s="9">
        <v>10</v>
      </c>
      <c r="L471" s="9">
        <v>0</v>
      </c>
      <c r="M471" s="9">
        <v>6</v>
      </c>
      <c r="N471" s="12">
        <v>0.71875</v>
      </c>
      <c r="O471" s="10" t="s">
        <v>19</v>
      </c>
      <c r="P471">
        <f t="shared" si="42"/>
        <v>1</v>
      </c>
      <c r="R471">
        <f t="shared" si="43"/>
        <v>192</v>
      </c>
      <c r="S471">
        <f t="shared" si="44"/>
        <v>23.1875</v>
      </c>
      <c r="T471" t="str">
        <f t="shared" si="45"/>
        <v>High</v>
      </c>
      <c r="U471">
        <f t="shared" si="46"/>
        <v>2026</v>
      </c>
      <c r="V471">
        <f t="shared" si="47"/>
        <v>8</v>
      </c>
    </row>
    <row r="472" spans="1:22" x14ac:dyDescent="0.3">
      <c r="A472" s="5" t="s">
        <v>513</v>
      </c>
      <c r="B472" s="6">
        <v>20260421</v>
      </c>
      <c r="C472" s="6" t="s">
        <v>16</v>
      </c>
      <c r="D472" s="6" t="s">
        <v>33</v>
      </c>
      <c r="E472" s="6" t="s">
        <v>46</v>
      </c>
      <c r="F472" s="6">
        <v>15337</v>
      </c>
      <c r="G472" s="6">
        <v>22816</v>
      </c>
      <c r="H472" s="6">
        <v>1397</v>
      </c>
      <c r="I472" s="6">
        <v>143</v>
      </c>
      <c r="J472" s="6">
        <v>262</v>
      </c>
      <c r="K472" s="6">
        <v>60</v>
      </c>
      <c r="L472" s="6">
        <v>13177</v>
      </c>
      <c r="M472" s="6">
        <v>106</v>
      </c>
      <c r="N472" s="11">
        <v>0.66666666666666663</v>
      </c>
      <c r="O472" s="7" t="s">
        <v>53</v>
      </c>
      <c r="P472">
        <f t="shared" si="42"/>
        <v>1</v>
      </c>
      <c r="R472">
        <f t="shared" si="43"/>
        <v>1862</v>
      </c>
      <c r="S472">
        <f t="shared" si="44"/>
        <v>8.2368421052631575</v>
      </c>
      <c r="T472" t="str">
        <f t="shared" si="45"/>
        <v>Medium</v>
      </c>
      <c r="U472">
        <f t="shared" si="46"/>
        <v>2026</v>
      </c>
      <c r="V472">
        <f t="shared" si="47"/>
        <v>4</v>
      </c>
    </row>
    <row r="473" spans="1:22" x14ac:dyDescent="0.3">
      <c r="A473" s="8" t="s">
        <v>514</v>
      </c>
      <c r="B473" s="9">
        <v>20250327</v>
      </c>
      <c r="C473" s="9" t="s">
        <v>16</v>
      </c>
      <c r="D473" s="9" t="s">
        <v>68</v>
      </c>
      <c r="E473" s="9" t="s">
        <v>18</v>
      </c>
      <c r="F473" s="9">
        <v>6516</v>
      </c>
      <c r="G473" s="9">
        <v>9158</v>
      </c>
      <c r="H473" s="9">
        <v>224</v>
      </c>
      <c r="I473" s="9">
        <v>17</v>
      </c>
      <c r="J473" s="9">
        <v>17</v>
      </c>
      <c r="K473" s="9">
        <v>18</v>
      </c>
      <c r="L473" s="9">
        <v>0</v>
      </c>
      <c r="M473" s="9">
        <v>115</v>
      </c>
      <c r="N473" s="12">
        <v>0.71875</v>
      </c>
      <c r="O473" s="10" t="s">
        <v>38</v>
      </c>
      <c r="P473">
        <f t="shared" si="42"/>
        <v>1</v>
      </c>
      <c r="R473">
        <f t="shared" si="43"/>
        <v>276</v>
      </c>
      <c r="S473">
        <f t="shared" si="44"/>
        <v>23.608695652173914</v>
      </c>
      <c r="T473" t="str">
        <f t="shared" si="45"/>
        <v>High</v>
      </c>
      <c r="U473">
        <f t="shared" si="46"/>
        <v>2025</v>
      </c>
      <c r="V473">
        <f t="shared" si="47"/>
        <v>3</v>
      </c>
    </row>
    <row r="474" spans="1:22" x14ac:dyDescent="0.3">
      <c r="A474" s="5" t="s">
        <v>515</v>
      </c>
      <c r="B474" s="6">
        <v>20260606</v>
      </c>
      <c r="C474" s="6" t="s">
        <v>40</v>
      </c>
      <c r="D474" s="6" t="s">
        <v>61</v>
      </c>
      <c r="E474" s="6" t="s">
        <v>46</v>
      </c>
      <c r="F474" s="6">
        <v>54179</v>
      </c>
      <c r="G474" s="6">
        <v>61307</v>
      </c>
      <c r="H474" s="6">
        <v>4444</v>
      </c>
      <c r="I474" s="6">
        <v>286</v>
      </c>
      <c r="J474" s="6">
        <v>356</v>
      </c>
      <c r="K474" s="6">
        <v>254</v>
      </c>
      <c r="L474" s="6">
        <v>30170</v>
      </c>
      <c r="M474" s="6">
        <v>375</v>
      </c>
      <c r="N474" s="11">
        <v>0.57291666666666663</v>
      </c>
      <c r="O474" s="7" t="s">
        <v>19</v>
      </c>
      <c r="P474">
        <f t="shared" si="42"/>
        <v>1</v>
      </c>
      <c r="R474">
        <f t="shared" si="43"/>
        <v>5340</v>
      </c>
      <c r="S474">
        <f t="shared" si="44"/>
        <v>10.145880149812735</v>
      </c>
      <c r="T474" t="str">
        <f t="shared" si="45"/>
        <v>High</v>
      </c>
      <c r="U474">
        <f t="shared" si="46"/>
        <v>2026</v>
      </c>
      <c r="V474">
        <f t="shared" si="47"/>
        <v>6</v>
      </c>
    </row>
    <row r="475" spans="1:22" x14ac:dyDescent="0.3">
      <c r="A475" s="8" t="s">
        <v>516</v>
      </c>
      <c r="B475" s="9">
        <v>20250527</v>
      </c>
      <c r="C475" s="9" t="s">
        <v>40</v>
      </c>
      <c r="D475" s="9" t="s">
        <v>33</v>
      </c>
      <c r="E475" s="9" t="s">
        <v>41</v>
      </c>
      <c r="F475" s="9">
        <v>46875</v>
      </c>
      <c r="G475" s="9">
        <v>56152</v>
      </c>
      <c r="H475" s="9">
        <v>5202</v>
      </c>
      <c r="I475" s="9">
        <v>650</v>
      </c>
      <c r="J475" s="9">
        <v>373</v>
      </c>
      <c r="K475" s="9">
        <v>778</v>
      </c>
      <c r="L475" s="9">
        <v>16620</v>
      </c>
      <c r="M475" s="9">
        <v>793</v>
      </c>
      <c r="N475" s="12">
        <v>0.48958333333333331</v>
      </c>
      <c r="O475" s="10" t="s">
        <v>30</v>
      </c>
      <c r="P475">
        <f t="shared" si="42"/>
        <v>1</v>
      </c>
      <c r="R475">
        <f t="shared" si="43"/>
        <v>7003</v>
      </c>
      <c r="S475">
        <f t="shared" si="44"/>
        <v>6.693559902898758</v>
      </c>
      <c r="T475" t="str">
        <f t="shared" si="45"/>
        <v>Medium</v>
      </c>
      <c r="U475">
        <f t="shared" si="46"/>
        <v>2025</v>
      </c>
      <c r="V475">
        <f t="shared" si="47"/>
        <v>5</v>
      </c>
    </row>
    <row r="476" spans="1:22" x14ac:dyDescent="0.3">
      <c r="A476" s="5" t="s">
        <v>517</v>
      </c>
      <c r="B476" s="6">
        <v>20260314</v>
      </c>
      <c r="C476" s="6" t="s">
        <v>44</v>
      </c>
      <c r="D476" s="6" t="s">
        <v>61</v>
      </c>
      <c r="E476" s="6" t="s">
        <v>46</v>
      </c>
      <c r="F476" s="6">
        <v>51586</v>
      </c>
      <c r="G476" s="6">
        <v>76879</v>
      </c>
      <c r="H476" s="6">
        <v>5745</v>
      </c>
      <c r="I476" s="6">
        <v>235</v>
      </c>
      <c r="J476" s="6">
        <v>775</v>
      </c>
      <c r="K476" s="6">
        <v>515</v>
      </c>
      <c r="L476" s="6">
        <v>18847</v>
      </c>
      <c r="M476" s="6">
        <v>478</v>
      </c>
      <c r="N476" s="11">
        <v>0.5</v>
      </c>
      <c r="O476" s="7" t="s">
        <v>49</v>
      </c>
      <c r="P476">
        <f t="shared" si="42"/>
        <v>1</v>
      </c>
      <c r="R476">
        <f t="shared" si="43"/>
        <v>7270</v>
      </c>
      <c r="S476">
        <f t="shared" si="44"/>
        <v>7.0957359009628611</v>
      </c>
      <c r="T476" t="str">
        <f t="shared" si="45"/>
        <v>Medium</v>
      </c>
      <c r="U476">
        <f t="shared" si="46"/>
        <v>2026</v>
      </c>
      <c r="V476">
        <f t="shared" si="47"/>
        <v>3</v>
      </c>
    </row>
    <row r="477" spans="1:22" x14ac:dyDescent="0.3">
      <c r="A477" s="8" t="s">
        <v>518</v>
      </c>
      <c r="B477" s="9">
        <v>20250115</v>
      </c>
      <c r="C477" s="9" t="s">
        <v>44</v>
      </c>
      <c r="D477" s="9" t="s">
        <v>21</v>
      </c>
      <c r="E477" s="9" t="s">
        <v>46</v>
      </c>
      <c r="F477" s="9">
        <v>96761</v>
      </c>
      <c r="G477" s="9">
        <v>102287</v>
      </c>
      <c r="H477" s="9">
        <v>4723</v>
      </c>
      <c r="I477" s="9">
        <v>649</v>
      </c>
      <c r="J477" s="9">
        <v>748</v>
      </c>
      <c r="K477" s="9">
        <v>401</v>
      </c>
      <c r="L477" s="9">
        <v>48315</v>
      </c>
      <c r="M477" s="9">
        <v>472</v>
      </c>
      <c r="N477" s="12">
        <v>0.57291666666666663</v>
      </c>
      <c r="O477" s="10" t="s">
        <v>23</v>
      </c>
      <c r="P477">
        <f t="shared" si="42"/>
        <v>1</v>
      </c>
      <c r="R477">
        <f t="shared" si="43"/>
        <v>6521</v>
      </c>
      <c r="S477">
        <f t="shared" si="44"/>
        <v>14.838368348412819</v>
      </c>
      <c r="T477" t="str">
        <f t="shared" si="45"/>
        <v>High</v>
      </c>
      <c r="U477">
        <f t="shared" si="46"/>
        <v>2025</v>
      </c>
      <c r="V477">
        <f t="shared" si="47"/>
        <v>1</v>
      </c>
    </row>
    <row r="478" spans="1:22" x14ac:dyDescent="0.3">
      <c r="A478" s="5" t="s">
        <v>519</v>
      </c>
      <c r="B478" s="6">
        <v>20250227</v>
      </c>
      <c r="C478" s="6" t="s">
        <v>16</v>
      </c>
      <c r="D478" s="6" t="s">
        <v>29</v>
      </c>
      <c r="E478" s="6" t="s">
        <v>46</v>
      </c>
      <c r="F478" s="6">
        <v>52142</v>
      </c>
      <c r="G478" s="6">
        <v>63348</v>
      </c>
      <c r="H478" s="6">
        <v>3671</v>
      </c>
      <c r="I478" s="6">
        <v>341</v>
      </c>
      <c r="J478" s="6">
        <v>294</v>
      </c>
      <c r="K478" s="6">
        <v>344</v>
      </c>
      <c r="L478" s="6">
        <v>27084</v>
      </c>
      <c r="M478" s="6">
        <v>912</v>
      </c>
      <c r="N478" s="11">
        <v>0.88541666666666663</v>
      </c>
      <c r="O478" s="7" t="s">
        <v>19</v>
      </c>
      <c r="P478">
        <f t="shared" si="42"/>
        <v>1</v>
      </c>
      <c r="R478">
        <f t="shared" si="43"/>
        <v>4650</v>
      </c>
      <c r="S478">
        <f t="shared" si="44"/>
        <v>11.213333333333333</v>
      </c>
      <c r="T478" t="str">
        <f t="shared" si="45"/>
        <v>High</v>
      </c>
      <c r="U478">
        <f t="shared" si="46"/>
        <v>2025</v>
      </c>
      <c r="V478">
        <f t="shared" si="47"/>
        <v>2</v>
      </c>
    </row>
    <row r="479" spans="1:22" x14ac:dyDescent="0.3">
      <c r="A479" s="8" t="s">
        <v>520</v>
      </c>
      <c r="B479" s="9">
        <v>20260918</v>
      </c>
      <c r="C479" s="9" t="s">
        <v>16</v>
      </c>
      <c r="D479" s="9" t="s">
        <v>61</v>
      </c>
      <c r="E479" s="9" t="s">
        <v>18</v>
      </c>
      <c r="F479" s="9">
        <v>29674</v>
      </c>
      <c r="G479" s="9">
        <v>40087</v>
      </c>
      <c r="H479" s="9">
        <v>1739</v>
      </c>
      <c r="I479" s="9">
        <v>77</v>
      </c>
      <c r="J479" s="9">
        <v>300</v>
      </c>
      <c r="K479" s="9">
        <v>49</v>
      </c>
      <c r="L479" s="9">
        <v>0</v>
      </c>
      <c r="M479" s="9">
        <v>278</v>
      </c>
      <c r="N479" s="12">
        <v>0.41666666666666669</v>
      </c>
      <c r="O479" s="10" t="s">
        <v>38</v>
      </c>
      <c r="P479">
        <f t="shared" si="42"/>
        <v>1</v>
      </c>
      <c r="R479">
        <f t="shared" si="43"/>
        <v>2165</v>
      </c>
      <c r="S479">
        <f t="shared" si="44"/>
        <v>13.706235565819862</v>
      </c>
      <c r="T479" t="str">
        <f t="shared" si="45"/>
        <v>High</v>
      </c>
      <c r="U479">
        <f t="shared" si="46"/>
        <v>2026</v>
      </c>
      <c r="V479">
        <f t="shared" si="47"/>
        <v>9</v>
      </c>
    </row>
    <row r="480" spans="1:22" x14ac:dyDescent="0.3">
      <c r="A480" s="5" t="s">
        <v>521</v>
      </c>
      <c r="B480" s="6">
        <v>20251208</v>
      </c>
      <c r="C480" s="6" t="s">
        <v>40</v>
      </c>
      <c r="D480" s="6" t="s">
        <v>36</v>
      </c>
      <c r="E480" s="6" t="s">
        <v>51</v>
      </c>
      <c r="F480" s="6">
        <v>12090</v>
      </c>
      <c r="G480" s="6">
        <v>19233</v>
      </c>
      <c r="H480" s="6">
        <v>506</v>
      </c>
      <c r="I480" s="6">
        <v>54</v>
      </c>
      <c r="J480" s="6">
        <v>43</v>
      </c>
      <c r="K480" s="6">
        <v>29</v>
      </c>
      <c r="L480" s="6">
        <v>0</v>
      </c>
      <c r="M480" s="6">
        <v>187</v>
      </c>
      <c r="N480" s="11">
        <v>0.84375</v>
      </c>
      <c r="O480" s="7" t="s">
        <v>19</v>
      </c>
      <c r="P480">
        <f t="shared" si="42"/>
        <v>1</v>
      </c>
      <c r="R480">
        <f t="shared" si="43"/>
        <v>632</v>
      </c>
      <c r="S480">
        <f t="shared" si="44"/>
        <v>19.129746835443036</v>
      </c>
      <c r="T480" t="str">
        <f t="shared" si="45"/>
        <v>High</v>
      </c>
      <c r="U480">
        <f t="shared" si="46"/>
        <v>2025</v>
      </c>
      <c r="V480">
        <f t="shared" si="47"/>
        <v>12</v>
      </c>
    </row>
    <row r="481" spans="1:22" x14ac:dyDescent="0.3">
      <c r="A481" s="8" t="s">
        <v>522</v>
      </c>
      <c r="B481" s="9">
        <v>20260706</v>
      </c>
      <c r="C481" s="9" t="s">
        <v>40</v>
      </c>
      <c r="D481" s="9" t="s">
        <v>17</v>
      </c>
      <c r="E481" s="9" t="s">
        <v>26</v>
      </c>
      <c r="F481" s="9">
        <v>20085</v>
      </c>
      <c r="G481" s="9">
        <v>28634</v>
      </c>
      <c r="H481" s="9">
        <v>1552</v>
      </c>
      <c r="I481" s="9">
        <v>85</v>
      </c>
      <c r="J481" s="9">
        <v>289</v>
      </c>
      <c r="K481" s="9">
        <v>236</v>
      </c>
      <c r="L481" s="9">
        <v>12139</v>
      </c>
      <c r="M481" s="9">
        <v>306</v>
      </c>
      <c r="N481" s="12">
        <v>0.52083333333333337</v>
      </c>
      <c r="O481" s="10" t="s">
        <v>53</v>
      </c>
      <c r="P481">
        <f t="shared" si="42"/>
        <v>1</v>
      </c>
      <c r="R481">
        <f t="shared" si="43"/>
        <v>2162</v>
      </c>
      <c r="S481">
        <f t="shared" si="44"/>
        <v>9.2900092506938012</v>
      </c>
      <c r="T481" t="str">
        <f t="shared" si="45"/>
        <v>Medium</v>
      </c>
      <c r="U481">
        <f t="shared" si="46"/>
        <v>2026</v>
      </c>
      <c r="V481">
        <f t="shared" si="47"/>
        <v>7</v>
      </c>
    </row>
    <row r="482" spans="1:22" x14ac:dyDescent="0.3">
      <c r="A482" s="5" t="s">
        <v>523</v>
      </c>
      <c r="B482" s="6">
        <v>20250308</v>
      </c>
      <c r="C482" s="6" t="s">
        <v>16</v>
      </c>
      <c r="D482" s="6" t="s">
        <v>29</v>
      </c>
      <c r="E482" s="6" t="s">
        <v>18</v>
      </c>
      <c r="F482" s="6">
        <v>26171</v>
      </c>
      <c r="G482" s="6">
        <v>39436</v>
      </c>
      <c r="H482" s="6">
        <v>1029</v>
      </c>
      <c r="I482" s="6">
        <v>40</v>
      </c>
      <c r="J482" s="6">
        <v>38</v>
      </c>
      <c r="K482" s="6">
        <v>157</v>
      </c>
      <c r="L482" s="6">
        <v>0</v>
      </c>
      <c r="M482" s="6">
        <v>373</v>
      </c>
      <c r="N482" s="11">
        <v>0.375</v>
      </c>
      <c r="O482" s="7" t="s">
        <v>19</v>
      </c>
      <c r="P482">
        <f t="shared" si="42"/>
        <v>1</v>
      </c>
      <c r="R482">
        <f t="shared" si="43"/>
        <v>1264</v>
      </c>
      <c r="S482">
        <f t="shared" si="44"/>
        <v>20.70490506329114</v>
      </c>
      <c r="T482" t="str">
        <f t="shared" si="45"/>
        <v>High</v>
      </c>
      <c r="U482">
        <f t="shared" si="46"/>
        <v>2025</v>
      </c>
      <c r="V482">
        <f t="shared" si="47"/>
        <v>3</v>
      </c>
    </row>
    <row r="483" spans="1:22" x14ac:dyDescent="0.3">
      <c r="A483" s="8" t="s">
        <v>524</v>
      </c>
      <c r="B483" s="9">
        <v>20250605</v>
      </c>
      <c r="C483" s="9" t="s">
        <v>16</v>
      </c>
      <c r="D483" s="9" t="s">
        <v>17</v>
      </c>
      <c r="E483" s="9" t="s">
        <v>51</v>
      </c>
      <c r="F483" s="9">
        <v>29556</v>
      </c>
      <c r="G483" s="9">
        <v>34231</v>
      </c>
      <c r="H483" s="9">
        <v>1340</v>
      </c>
      <c r="I483" s="9">
        <v>156</v>
      </c>
      <c r="J483" s="9">
        <v>147</v>
      </c>
      <c r="K483" s="9">
        <v>86</v>
      </c>
      <c r="L483" s="9">
        <v>0</v>
      </c>
      <c r="M483" s="9">
        <v>337</v>
      </c>
      <c r="N483" s="12">
        <v>0.40625</v>
      </c>
      <c r="O483" s="10" t="s">
        <v>49</v>
      </c>
      <c r="P483">
        <f t="shared" si="42"/>
        <v>1</v>
      </c>
      <c r="R483">
        <f t="shared" si="43"/>
        <v>1729</v>
      </c>
      <c r="S483">
        <f t="shared" si="44"/>
        <v>17.094274146905725</v>
      </c>
      <c r="T483" t="str">
        <f t="shared" si="45"/>
        <v>High</v>
      </c>
      <c r="U483">
        <f t="shared" si="46"/>
        <v>2025</v>
      </c>
      <c r="V483">
        <f t="shared" si="47"/>
        <v>6</v>
      </c>
    </row>
    <row r="484" spans="1:22" x14ac:dyDescent="0.3">
      <c r="A484" s="5" t="s">
        <v>525</v>
      </c>
      <c r="B484" s="6">
        <v>20250603</v>
      </c>
      <c r="C484" s="6" t="s">
        <v>16</v>
      </c>
      <c r="D484" s="6" t="s">
        <v>17</v>
      </c>
      <c r="E484" s="6" t="s">
        <v>46</v>
      </c>
      <c r="F484" s="6">
        <v>40084</v>
      </c>
      <c r="G484" s="6">
        <v>45070</v>
      </c>
      <c r="H484" s="6">
        <v>4326</v>
      </c>
      <c r="I484" s="6">
        <v>384</v>
      </c>
      <c r="J484" s="6">
        <v>806</v>
      </c>
      <c r="K484" s="6">
        <v>335</v>
      </c>
      <c r="L484" s="6">
        <v>32316</v>
      </c>
      <c r="M484" s="6">
        <v>453</v>
      </c>
      <c r="N484" s="11">
        <v>0.39583333333333331</v>
      </c>
      <c r="O484" s="7" t="s">
        <v>38</v>
      </c>
      <c r="P484">
        <f t="shared" si="42"/>
        <v>1</v>
      </c>
      <c r="R484">
        <f t="shared" si="43"/>
        <v>5851</v>
      </c>
      <c r="S484">
        <f t="shared" si="44"/>
        <v>6.850794735942574</v>
      </c>
      <c r="T484" t="str">
        <f t="shared" si="45"/>
        <v>Medium</v>
      </c>
      <c r="U484">
        <f t="shared" si="46"/>
        <v>2025</v>
      </c>
      <c r="V484">
        <f t="shared" si="47"/>
        <v>6</v>
      </c>
    </row>
    <row r="485" spans="1:22" x14ac:dyDescent="0.3">
      <c r="A485" s="8" t="s">
        <v>526</v>
      </c>
      <c r="B485" s="9">
        <v>20260201</v>
      </c>
      <c r="C485" s="9" t="s">
        <v>16</v>
      </c>
      <c r="D485" s="9" t="s">
        <v>21</v>
      </c>
      <c r="E485" s="9" t="s">
        <v>46</v>
      </c>
      <c r="F485" s="9">
        <v>17796</v>
      </c>
      <c r="G485" s="9">
        <v>21157</v>
      </c>
      <c r="H485" s="9">
        <v>1486</v>
      </c>
      <c r="I485" s="9">
        <v>199</v>
      </c>
      <c r="J485" s="9">
        <v>164</v>
      </c>
      <c r="K485" s="9">
        <v>197</v>
      </c>
      <c r="L485" s="9">
        <v>11503</v>
      </c>
      <c r="M485" s="9">
        <v>267</v>
      </c>
      <c r="N485" s="12">
        <v>0.57291666666666663</v>
      </c>
      <c r="O485" s="10" t="s">
        <v>47</v>
      </c>
      <c r="P485">
        <f t="shared" si="42"/>
        <v>1</v>
      </c>
      <c r="R485">
        <f t="shared" si="43"/>
        <v>2046</v>
      </c>
      <c r="S485">
        <f t="shared" si="44"/>
        <v>8.6979472140762457</v>
      </c>
      <c r="T485" t="str">
        <f t="shared" si="45"/>
        <v>Medium</v>
      </c>
      <c r="U485">
        <f t="shared" si="46"/>
        <v>2026</v>
      </c>
      <c r="V485">
        <f t="shared" si="47"/>
        <v>2</v>
      </c>
    </row>
    <row r="486" spans="1:22" x14ac:dyDescent="0.3">
      <c r="A486" s="5" t="s">
        <v>527</v>
      </c>
      <c r="B486" s="6">
        <v>20260507</v>
      </c>
      <c r="C486" s="6" t="s">
        <v>44</v>
      </c>
      <c r="D486" s="6" t="s">
        <v>17</v>
      </c>
      <c r="E486" s="6" t="s">
        <v>46</v>
      </c>
      <c r="F486" s="6">
        <v>23931</v>
      </c>
      <c r="G486" s="6">
        <v>36687</v>
      </c>
      <c r="H486" s="6">
        <v>854</v>
      </c>
      <c r="I486" s="6">
        <v>108</v>
      </c>
      <c r="J486" s="6"/>
      <c r="K486" s="6">
        <v>113</v>
      </c>
      <c r="L486" s="6">
        <v>16068</v>
      </c>
      <c r="M486" s="6">
        <v>141</v>
      </c>
      <c r="N486" s="11">
        <v>0.90625</v>
      </c>
      <c r="O486" s="7" t="s">
        <v>42</v>
      </c>
      <c r="P486">
        <f t="shared" si="42"/>
        <v>1</v>
      </c>
      <c r="R486">
        <f t="shared" si="43"/>
        <v>1075</v>
      </c>
      <c r="S486">
        <f t="shared" si="44"/>
        <v>22.261395348837208</v>
      </c>
      <c r="T486" t="str">
        <f t="shared" si="45"/>
        <v>High</v>
      </c>
      <c r="U486">
        <f t="shared" si="46"/>
        <v>2026</v>
      </c>
      <c r="V486">
        <f t="shared" si="47"/>
        <v>5</v>
      </c>
    </row>
    <row r="487" spans="1:22" x14ac:dyDescent="0.3">
      <c r="A487" s="8" t="s">
        <v>528</v>
      </c>
      <c r="B487" s="9">
        <v>20260224</v>
      </c>
      <c r="C487" s="9" t="s">
        <v>32</v>
      </c>
      <c r="D487" s="9" t="s">
        <v>21</v>
      </c>
      <c r="E487" s="9" t="s">
        <v>26</v>
      </c>
      <c r="F487" s="9">
        <v>4293</v>
      </c>
      <c r="G487" s="9">
        <v>6790</v>
      </c>
      <c r="H487" s="9">
        <v>136</v>
      </c>
      <c r="I487" s="9">
        <v>15</v>
      </c>
      <c r="J487" s="9">
        <v>11</v>
      </c>
      <c r="K487" s="9">
        <v>16</v>
      </c>
      <c r="L487" s="9">
        <v>2618</v>
      </c>
      <c r="M487" s="9">
        <v>50</v>
      </c>
      <c r="N487" s="12">
        <v>0.78125</v>
      </c>
      <c r="O487" s="10" t="s">
        <v>27</v>
      </c>
      <c r="P487">
        <f t="shared" si="42"/>
        <v>1</v>
      </c>
      <c r="R487">
        <f t="shared" si="43"/>
        <v>178</v>
      </c>
      <c r="S487">
        <f t="shared" si="44"/>
        <v>24.117977528089888</v>
      </c>
      <c r="T487" t="str">
        <f t="shared" si="45"/>
        <v>High</v>
      </c>
      <c r="U487">
        <f t="shared" si="46"/>
        <v>2026</v>
      </c>
      <c r="V487">
        <f t="shared" si="47"/>
        <v>2</v>
      </c>
    </row>
    <row r="488" spans="1:22" x14ac:dyDescent="0.3">
      <c r="A488" s="5" t="s">
        <v>529</v>
      </c>
      <c r="B488" s="6">
        <v>20251109</v>
      </c>
      <c r="C488" s="6" t="s">
        <v>16</v>
      </c>
      <c r="D488" s="6" t="s">
        <v>36</v>
      </c>
      <c r="E488" s="6" t="s">
        <v>41</v>
      </c>
      <c r="F488" s="6">
        <v>64585</v>
      </c>
      <c r="G488" s="6">
        <v>68367</v>
      </c>
      <c r="H488" s="6">
        <v>4718</v>
      </c>
      <c r="I488" s="6">
        <v>430</v>
      </c>
      <c r="J488" s="6">
        <v>233</v>
      </c>
      <c r="K488" s="6">
        <v>376</v>
      </c>
      <c r="L488" s="6">
        <v>44117</v>
      </c>
      <c r="M488" s="6">
        <v>352</v>
      </c>
      <c r="N488" s="11">
        <v>0.82291666666666663</v>
      </c>
      <c r="O488" s="7" t="s">
        <v>53</v>
      </c>
      <c r="P488">
        <f t="shared" si="42"/>
        <v>1</v>
      </c>
      <c r="R488">
        <f t="shared" si="43"/>
        <v>5757</v>
      </c>
      <c r="S488">
        <f t="shared" si="44"/>
        <v>11.218516588500956</v>
      </c>
      <c r="T488" t="str">
        <f t="shared" si="45"/>
        <v>High</v>
      </c>
      <c r="U488">
        <f t="shared" si="46"/>
        <v>2025</v>
      </c>
      <c r="V488">
        <f t="shared" si="47"/>
        <v>11</v>
      </c>
    </row>
    <row r="489" spans="1:22" x14ac:dyDescent="0.3">
      <c r="A489" s="8" t="s">
        <v>530</v>
      </c>
      <c r="B489" s="9">
        <v>20250805</v>
      </c>
      <c r="C489" s="9" t="s">
        <v>44</v>
      </c>
      <c r="D489" s="9" t="s">
        <v>68</v>
      </c>
      <c r="E489" s="9" t="s">
        <v>18</v>
      </c>
      <c r="F489" s="9">
        <v>20438</v>
      </c>
      <c r="G489" s="9">
        <v>28243</v>
      </c>
      <c r="H489" s="9">
        <v>1614</v>
      </c>
      <c r="I489" s="9">
        <v>84</v>
      </c>
      <c r="J489" s="9">
        <v>316</v>
      </c>
      <c r="K489" s="9">
        <v>169</v>
      </c>
      <c r="L489" s="9">
        <v>0</v>
      </c>
      <c r="M489" s="9">
        <v>188</v>
      </c>
      <c r="N489" s="12">
        <v>0.75</v>
      </c>
      <c r="O489" s="10" t="s">
        <v>38</v>
      </c>
      <c r="P489">
        <f t="shared" si="42"/>
        <v>1</v>
      </c>
      <c r="R489">
        <f t="shared" si="43"/>
        <v>2183</v>
      </c>
      <c r="S489">
        <f t="shared" si="44"/>
        <v>9.3623453962437022</v>
      </c>
      <c r="T489" t="str">
        <f t="shared" si="45"/>
        <v>Medium</v>
      </c>
      <c r="U489">
        <f t="shared" si="46"/>
        <v>2025</v>
      </c>
      <c r="V489">
        <f t="shared" si="47"/>
        <v>8</v>
      </c>
    </row>
    <row r="490" spans="1:22" x14ac:dyDescent="0.3">
      <c r="A490" s="5" t="s">
        <v>531</v>
      </c>
      <c r="B490" s="6">
        <v>20260508</v>
      </c>
      <c r="C490" s="6" t="s">
        <v>40</v>
      </c>
      <c r="D490" s="6" t="s">
        <v>61</v>
      </c>
      <c r="E490" s="6" t="s">
        <v>26</v>
      </c>
      <c r="F490" s="6">
        <v>7499</v>
      </c>
      <c r="G490" s="6">
        <v>8507</v>
      </c>
      <c r="H490" s="6">
        <v>332</v>
      </c>
      <c r="I490" s="6">
        <v>45</v>
      </c>
      <c r="J490" s="6">
        <v>25</v>
      </c>
      <c r="K490" s="6">
        <v>24</v>
      </c>
      <c r="L490" s="6">
        <v>3076</v>
      </c>
      <c r="M490" s="6">
        <v>88</v>
      </c>
      <c r="N490" s="11">
        <v>0.89583333333333337</v>
      </c>
      <c r="O490" s="7" t="s">
        <v>42</v>
      </c>
      <c r="P490">
        <f t="shared" si="42"/>
        <v>1</v>
      </c>
      <c r="R490">
        <f t="shared" si="43"/>
        <v>426</v>
      </c>
      <c r="S490">
        <f t="shared" si="44"/>
        <v>17.603286384976524</v>
      </c>
      <c r="T490" t="str">
        <f t="shared" si="45"/>
        <v>High</v>
      </c>
      <c r="U490">
        <f t="shared" si="46"/>
        <v>2026</v>
      </c>
      <c r="V490">
        <f t="shared" si="47"/>
        <v>5</v>
      </c>
    </row>
    <row r="491" spans="1:22" x14ac:dyDescent="0.3">
      <c r="A491" s="8" t="s">
        <v>532</v>
      </c>
      <c r="B491" s="9">
        <v>20251120</v>
      </c>
      <c r="C491" s="9" t="s">
        <v>25</v>
      </c>
      <c r="D491" s="9" t="s">
        <v>61</v>
      </c>
      <c r="E491" s="9" t="s">
        <v>41</v>
      </c>
      <c r="F491" s="9">
        <v>54277</v>
      </c>
      <c r="G491" s="9">
        <v>71628</v>
      </c>
      <c r="H491" s="9">
        <v>5671</v>
      </c>
      <c r="I491" s="9">
        <v>615</v>
      </c>
      <c r="J491" s="9">
        <v>247</v>
      </c>
      <c r="K491" s="9">
        <v>618</v>
      </c>
      <c r="L491" s="9">
        <v>28677</v>
      </c>
      <c r="M491" s="9">
        <v>746</v>
      </c>
      <c r="N491" s="12">
        <v>0.84375</v>
      </c>
      <c r="O491" s="10" t="s">
        <v>19</v>
      </c>
      <c r="P491">
        <f t="shared" si="42"/>
        <v>1</v>
      </c>
      <c r="R491">
        <f t="shared" si="43"/>
        <v>7151</v>
      </c>
      <c r="S491">
        <f t="shared" si="44"/>
        <v>7.5901272549293806</v>
      </c>
      <c r="T491" t="str">
        <f t="shared" si="45"/>
        <v>Medium</v>
      </c>
      <c r="U491">
        <f t="shared" si="46"/>
        <v>2025</v>
      </c>
      <c r="V491">
        <f t="shared" si="47"/>
        <v>11</v>
      </c>
    </row>
    <row r="492" spans="1:22" x14ac:dyDescent="0.3">
      <c r="A492" s="5" t="s">
        <v>533</v>
      </c>
      <c r="B492" s="6">
        <v>20250709</v>
      </c>
      <c r="C492" s="6" t="s">
        <v>16</v>
      </c>
      <c r="D492" s="6" t="s">
        <v>68</v>
      </c>
      <c r="E492" s="6" t="s">
        <v>41</v>
      </c>
      <c r="F492" s="6">
        <v>66584</v>
      </c>
      <c r="G492" s="6">
        <v>71198</v>
      </c>
      <c r="H492" s="6">
        <v>7907</v>
      </c>
      <c r="I492" s="6">
        <v>324</v>
      </c>
      <c r="J492" s="6">
        <v>396</v>
      </c>
      <c r="K492" s="6">
        <v>515</v>
      </c>
      <c r="L492" s="6">
        <v>54358</v>
      </c>
      <c r="M492" s="6">
        <v>496</v>
      </c>
      <c r="N492" s="11">
        <v>0.48958333333333331</v>
      </c>
      <c r="O492" s="7" t="s">
        <v>19</v>
      </c>
      <c r="P492">
        <f t="shared" si="42"/>
        <v>1</v>
      </c>
      <c r="R492">
        <f t="shared" si="43"/>
        <v>9142</v>
      </c>
      <c r="S492">
        <f t="shared" si="44"/>
        <v>7.283307810107198</v>
      </c>
      <c r="T492" t="str">
        <f t="shared" si="45"/>
        <v>Medium</v>
      </c>
      <c r="U492">
        <f t="shared" si="46"/>
        <v>2025</v>
      </c>
      <c r="V492">
        <f t="shared" si="47"/>
        <v>7</v>
      </c>
    </row>
    <row r="493" spans="1:22" x14ac:dyDescent="0.3">
      <c r="A493" s="8" t="s">
        <v>534</v>
      </c>
      <c r="B493" s="9">
        <v>20250510</v>
      </c>
      <c r="C493" s="9" t="s">
        <v>16</v>
      </c>
      <c r="D493" s="9" t="s">
        <v>17</v>
      </c>
      <c r="E493" s="9" t="s">
        <v>41</v>
      </c>
      <c r="F493" s="9">
        <v>67785</v>
      </c>
      <c r="G493" s="9">
        <v>94284</v>
      </c>
      <c r="H493" s="9">
        <v>4522</v>
      </c>
      <c r="I493" s="9">
        <v>277</v>
      </c>
      <c r="J493" s="9">
        <v>479</v>
      </c>
      <c r="K493" s="9">
        <v>352</v>
      </c>
      <c r="L493" s="9">
        <v>53855</v>
      </c>
      <c r="M493" s="9">
        <v>700</v>
      </c>
      <c r="N493" s="12">
        <v>0.79166666666666663</v>
      </c>
      <c r="O493" s="10" t="s">
        <v>19</v>
      </c>
      <c r="P493">
        <f t="shared" si="42"/>
        <v>1</v>
      </c>
      <c r="R493">
        <f t="shared" si="43"/>
        <v>5630</v>
      </c>
      <c r="S493">
        <f t="shared" si="44"/>
        <v>12.039964476021314</v>
      </c>
      <c r="T493" t="str">
        <f t="shared" si="45"/>
        <v>High</v>
      </c>
      <c r="U493">
        <f t="shared" si="46"/>
        <v>2025</v>
      </c>
      <c r="V493">
        <f t="shared" si="47"/>
        <v>5</v>
      </c>
    </row>
    <row r="494" spans="1:22" x14ac:dyDescent="0.3">
      <c r="A494" s="5" t="s">
        <v>535</v>
      </c>
      <c r="B494" s="6">
        <v>20260317</v>
      </c>
      <c r="C494" s="6" t="s">
        <v>16</v>
      </c>
      <c r="D494" s="6" t="s">
        <v>21</v>
      </c>
      <c r="E494" s="6" t="s">
        <v>41</v>
      </c>
      <c r="F494" s="6">
        <v>13026</v>
      </c>
      <c r="G494" s="6">
        <v>18822</v>
      </c>
      <c r="H494" s="6">
        <v>1467</v>
      </c>
      <c r="I494" s="6">
        <v>45</v>
      </c>
      <c r="J494" s="6">
        <v>251</v>
      </c>
      <c r="K494" s="6">
        <v>188</v>
      </c>
      <c r="L494" s="6">
        <v>9208</v>
      </c>
      <c r="M494" s="6">
        <v>99</v>
      </c>
      <c r="N494" s="11">
        <v>0.71875</v>
      </c>
      <c r="O494" s="7" t="s">
        <v>42</v>
      </c>
      <c r="P494">
        <f t="shared" si="42"/>
        <v>1</v>
      </c>
      <c r="R494">
        <f t="shared" si="43"/>
        <v>1951</v>
      </c>
      <c r="S494">
        <f t="shared" si="44"/>
        <v>6.6765761148129164</v>
      </c>
      <c r="T494" t="str">
        <f t="shared" si="45"/>
        <v>Medium</v>
      </c>
      <c r="U494">
        <f t="shared" si="46"/>
        <v>2026</v>
      </c>
      <c r="V494">
        <f t="shared" si="47"/>
        <v>3</v>
      </c>
    </row>
    <row r="495" spans="1:22" x14ac:dyDescent="0.3">
      <c r="A495" s="8" t="s">
        <v>536</v>
      </c>
      <c r="B495" s="9">
        <v>20260125</v>
      </c>
      <c r="C495" s="9" t="s">
        <v>44</v>
      </c>
      <c r="D495" s="9" t="s">
        <v>29</v>
      </c>
      <c r="E495" s="9" t="s">
        <v>51</v>
      </c>
      <c r="F495" s="9">
        <v>32764</v>
      </c>
      <c r="G495" s="9">
        <v>35806</v>
      </c>
      <c r="H495" s="9">
        <v>1141</v>
      </c>
      <c r="I495" s="9">
        <v>47</v>
      </c>
      <c r="J495" s="9">
        <v>49</v>
      </c>
      <c r="K495" s="9">
        <v>138</v>
      </c>
      <c r="L495" s="9">
        <v>0</v>
      </c>
      <c r="M495" s="9">
        <v>328</v>
      </c>
      <c r="N495" s="12">
        <v>0.88541666666666663</v>
      </c>
      <c r="O495" s="10" t="s">
        <v>27</v>
      </c>
      <c r="P495">
        <f t="shared" si="42"/>
        <v>1</v>
      </c>
      <c r="R495">
        <f t="shared" si="43"/>
        <v>1375</v>
      </c>
      <c r="S495">
        <f t="shared" si="44"/>
        <v>23.828363636363637</v>
      </c>
      <c r="T495" t="str">
        <f t="shared" si="45"/>
        <v>High</v>
      </c>
      <c r="U495">
        <f t="shared" si="46"/>
        <v>2026</v>
      </c>
      <c r="V495">
        <f t="shared" si="47"/>
        <v>1</v>
      </c>
    </row>
    <row r="496" spans="1:22" x14ac:dyDescent="0.3">
      <c r="A496" s="5" t="s">
        <v>537</v>
      </c>
      <c r="B496" s="6">
        <v>20251101</v>
      </c>
      <c r="C496" s="6" t="s">
        <v>25</v>
      </c>
      <c r="D496" s="6" t="s">
        <v>36</v>
      </c>
      <c r="E496" s="6" t="s">
        <v>18</v>
      </c>
      <c r="F496" s="6">
        <v>19918</v>
      </c>
      <c r="G496" s="6">
        <v>23555</v>
      </c>
      <c r="H496" s="6">
        <v>1921</v>
      </c>
      <c r="I496" s="6">
        <v>93</v>
      </c>
      <c r="J496" s="6">
        <v>261</v>
      </c>
      <c r="K496" s="6">
        <v>261</v>
      </c>
      <c r="L496" s="6">
        <v>0</v>
      </c>
      <c r="M496" s="6">
        <v>149</v>
      </c>
      <c r="N496" s="11">
        <v>0.55208333333333337</v>
      </c>
      <c r="O496" s="7" t="s">
        <v>42</v>
      </c>
      <c r="P496">
        <f t="shared" si="42"/>
        <v>1</v>
      </c>
      <c r="R496">
        <f t="shared" si="43"/>
        <v>2536</v>
      </c>
      <c r="S496">
        <f t="shared" si="44"/>
        <v>7.85410094637224</v>
      </c>
      <c r="T496" t="str">
        <f t="shared" si="45"/>
        <v>Medium</v>
      </c>
      <c r="U496">
        <f t="shared" si="46"/>
        <v>2025</v>
      </c>
      <c r="V496">
        <f t="shared" si="47"/>
        <v>11</v>
      </c>
    </row>
    <row r="497" spans="1:22" x14ac:dyDescent="0.3">
      <c r="A497" s="8" t="s">
        <v>538</v>
      </c>
      <c r="B497" s="9">
        <v>20260828</v>
      </c>
      <c r="C497" s="9" t="s">
        <v>40</v>
      </c>
      <c r="D497" s="9" t="s">
        <v>68</v>
      </c>
      <c r="E497" s="9" t="s">
        <v>18</v>
      </c>
      <c r="F497" s="9">
        <v>15811</v>
      </c>
      <c r="G497" s="9">
        <v>21584</v>
      </c>
      <c r="H497" s="9">
        <v>865</v>
      </c>
      <c r="I497" s="9">
        <v>32</v>
      </c>
      <c r="J497" s="9">
        <v>82</v>
      </c>
      <c r="K497" s="9">
        <v>134</v>
      </c>
      <c r="L497" s="9">
        <v>0</v>
      </c>
      <c r="M497" s="9">
        <v>264</v>
      </c>
      <c r="N497" s="12">
        <v>0.55208333333333337</v>
      </c>
      <c r="O497" s="10" t="s">
        <v>49</v>
      </c>
      <c r="P497">
        <f t="shared" si="42"/>
        <v>1</v>
      </c>
      <c r="R497">
        <f t="shared" si="43"/>
        <v>1113</v>
      </c>
      <c r="S497">
        <f t="shared" si="44"/>
        <v>14.20575022461815</v>
      </c>
      <c r="T497" t="str">
        <f t="shared" si="45"/>
        <v>High</v>
      </c>
      <c r="U497">
        <f t="shared" si="46"/>
        <v>2026</v>
      </c>
      <c r="V497">
        <f t="shared" si="47"/>
        <v>8</v>
      </c>
    </row>
    <row r="498" spans="1:22" x14ac:dyDescent="0.3">
      <c r="A498" s="5" t="s">
        <v>539</v>
      </c>
      <c r="B498" s="6">
        <v>20260126</v>
      </c>
      <c r="C498" s="6" t="s">
        <v>16</v>
      </c>
      <c r="D498" s="6" t="s">
        <v>21</v>
      </c>
      <c r="E498" s="6" t="s">
        <v>46</v>
      </c>
      <c r="F498" s="6">
        <v>47714</v>
      </c>
      <c r="G498" s="6">
        <v>62470</v>
      </c>
      <c r="H498" s="6">
        <v>1872</v>
      </c>
      <c r="I498" s="6">
        <v>217</v>
      </c>
      <c r="J498" s="6">
        <v>144</v>
      </c>
      <c r="K498" s="6">
        <v>188</v>
      </c>
      <c r="L498" s="6">
        <v>39216</v>
      </c>
      <c r="M498" s="6">
        <v>461</v>
      </c>
      <c r="N498" s="11">
        <v>0.33333333333333331</v>
      </c>
      <c r="O498" s="7" t="s">
        <v>49</v>
      </c>
      <c r="P498">
        <f t="shared" si="42"/>
        <v>1</v>
      </c>
      <c r="R498">
        <f t="shared" si="43"/>
        <v>2421</v>
      </c>
      <c r="S498">
        <f t="shared" si="44"/>
        <v>19.708384964890541</v>
      </c>
      <c r="T498" t="str">
        <f t="shared" si="45"/>
        <v>High</v>
      </c>
      <c r="U498">
        <f t="shared" si="46"/>
        <v>2026</v>
      </c>
      <c r="V498">
        <f t="shared" si="47"/>
        <v>1</v>
      </c>
    </row>
    <row r="499" spans="1:22" x14ac:dyDescent="0.3">
      <c r="A499" s="8" t="s">
        <v>540</v>
      </c>
      <c r="B499" s="9">
        <v>20250429</v>
      </c>
      <c r="C499" s="9" t="s">
        <v>40</v>
      </c>
      <c r="D499" s="9" t="s">
        <v>61</v>
      </c>
      <c r="E499" s="9" t="s">
        <v>46</v>
      </c>
      <c r="F499" s="9">
        <v>30901</v>
      </c>
      <c r="G499" s="9">
        <v>45459</v>
      </c>
      <c r="H499" s="9">
        <v>2211</v>
      </c>
      <c r="I499" s="9">
        <v>77</v>
      </c>
      <c r="J499" s="9">
        <v>368</v>
      </c>
      <c r="K499" s="9">
        <v>182</v>
      </c>
      <c r="L499" s="9">
        <v>14219</v>
      </c>
      <c r="M499" s="9">
        <v>166</v>
      </c>
      <c r="N499" s="12">
        <v>0.91666666666666663</v>
      </c>
      <c r="O499" s="10" t="s">
        <v>38</v>
      </c>
      <c r="P499">
        <f t="shared" si="42"/>
        <v>1</v>
      </c>
      <c r="R499">
        <f t="shared" si="43"/>
        <v>2838</v>
      </c>
      <c r="S499">
        <f t="shared" si="44"/>
        <v>10.88830162085976</v>
      </c>
      <c r="T499" t="str">
        <f t="shared" si="45"/>
        <v>High</v>
      </c>
      <c r="U499">
        <f t="shared" si="46"/>
        <v>2025</v>
      </c>
      <c r="V499">
        <f t="shared" si="47"/>
        <v>4</v>
      </c>
    </row>
    <row r="500" spans="1:22" x14ac:dyDescent="0.3">
      <c r="A500" s="5" t="s">
        <v>541</v>
      </c>
      <c r="B500" s="6">
        <v>20250723</v>
      </c>
      <c r="C500" s="6" t="s">
        <v>40</v>
      </c>
      <c r="D500" s="6" t="s">
        <v>68</v>
      </c>
      <c r="E500" s="6" t="s">
        <v>26</v>
      </c>
      <c r="F500" s="6">
        <v>22045</v>
      </c>
      <c r="G500" s="6">
        <v>30314</v>
      </c>
      <c r="H500" s="6">
        <v>1839</v>
      </c>
      <c r="I500" s="6">
        <v>125</v>
      </c>
      <c r="J500" s="6">
        <v>62</v>
      </c>
      <c r="K500" s="6">
        <v>47</v>
      </c>
      <c r="L500" s="6">
        <v>9573</v>
      </c>
      <c r="M500" s="6">
        <v>153</v>
      </c>
      <c r="N500" s="11">
        <v>0.38541666666666669</v>
      </c>
      <c r="O500" s="7" t="s">
        <v>42</v>
      </c>
      <c r="P500">
        <f t="shared" si="42"/>
        <v>1</v>
      </c>
      <c r="R500">
        <f t="shared" si="43"/>
        <v>2073</v>
      </c>
      <c r="S500">
        <f t="shared" si="44"/>
        <v>10.634346357935359</v>
      </c>
      <c r="T500" t="str">
        <f t="shared" si="45"/>
        <v>High</v>
      </c>
      <c r="U500">
        <f t="shared" si="46"/>
        <v>2025</v>
      </c>
      <c r="V500">
        <f t="shared" si="47"/>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SocialMedia Raw Data</vt:lpstr>
      <vt:lpstr>Pivot tab1</vt:lpstr>
      <vt:lpstr>Pivot tab2</vt:lpstr>
      <vt:lpstr>Pivot tab3</vt:lpstr>
      <vt:lpstr>Social Media 500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 vaj</dc:creator>
  <cp:lastModifiedBy>bharath vaj</cp:lastModifiedBy>
  <dcterms:created xsi:type="dcterms:W3CDTF">2026-10-20T13:03:26Z</dcterms:created>
  <dcterms:modified xsi:type="dcterms:W3CDTF">2026-10-20T18:20:00Z</dcterms:modified>
</cp:coreProperties>
</file>